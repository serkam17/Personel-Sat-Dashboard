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erkam\Desktop\"/>
    </mc:Choice>
  </mc:AlternateContent>
  <xr:revisionPtr revIDLastSave="0" documentId="13_ncr:1_{31427801-41B6-43F8-93EA-9B60E9FFA831}" xr6:coauthVersionLast="47" xr6:coauthVersionMax="47" xr10:uidLastSave="{00000000-0000-0000-0000-000000000000}"/>
  <bookViews>
    <workbookView xWindow="-120" yWindow="-120" windowWidth="20730" windowHeight="11160" tabRatio="770" activeTab="1" xr2:uid="{97EA55AE-5DAF-41ED-BD58-4B1503C1DD85}"/>
  </bookViews>
  <sheets>
    <sheet name="Analiz" sheetId="8" r:id="rId1"/>
    <sheet name="Genel Dashboard" sheetId="9" r:id="rId2"/>
    <sheet name="Personel Dashboard" sheetId="12" r:id="rId3"/>
    <sheet name="Per Dashboard Hesap" sheetId="14" state="hidden" r:id="rId4"/>
    <sheet name="Genel DashboardHesap" sheetId="10" state="hidden" r:id="rId5"/>
    <sheet name="Veri Seti" sheetId="1" r:id="rId6"/>
    <sheet name="AnalizEski" sheetId="2" state="hidden" r:id="rId7"/>
    <sheet name="DASHBOARD" sheetId="7" state="hidden" r:id="rId8"/>
  </sheets>
  <definedNames>
    <definedName name="_xlnm._FilterDatabase" localSheetId="5" hidden="1">'Veri Seti'!$A$1:$H$2890</definedName>
    <definedName name="_xlcn.WorksheetConnection_TNC_Veri_Seti.xlsxTablo31" hidden="1">Tablo3[]</definedName>
    <definedName name="Dilimleyici_Ay">#N/A</definedName>
    <definedName name="Dilimleyici_Ay1">#N/A</definedName>
    <definedName name="Dilimleyici_Personel_Ad">#N/A</definedName>
    <definedName name="Dilimleyici_Personel_Ad1">#N/A</definedName>
    <definedName name="Dilimleyici_Personel_Ad2">#N/A</definedName>
    <definedName name="Dilimleyici_Şehirler">#N/A</definedName>
    <definedName name="Dilimleyici_Urun_Ad">#N/A</definedName>
  </definedNames>
  <calcPr calcId="191029"/>
  <pivotCaches>
    <pivotCache cacheId="29" r:id="rId9"/>
    <pivotCache cacheId="1" r:id="rId10"/>
    <pivotCache cacheId="2" r:id="rId11"/>
    <pivotCache cacheId="3" r:id="rId12"/>
  </pivotCaches>
  <extLst>
    <ext xmlns:x14="http://schemas.microsoft.com/office/spreadsheetml/2009/9/main" uri="{876F7934-8845-4945-9796-88D515C7AA90}">
      <x14:pivotCaches>
        <pivotCache cacheId="4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o3" name="Tablo3" connection="WorksheetConnection_TNC_Veri_Seti.xlsx!Tablo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4" l="1"/>
  <c r="I1" i="14" s="1"/>
  <c r="G2" i="14"/>
  <c r="G1" i="14" s="1"/>
  <c r="N2" i="14"/>
  <c r="N1" i="14" s="1"/>
  <c r="L2" i="14"/>
  <c r="L1" i="14" s="1"/>
  <c r="D2" i="14"/>
  <c r="D1" i="14" s="1"/>
  <c r="C2" i="14"/>
  <c r="C1" i="14" s="1"/>
  <c r="B2" i="14"/>
  <c r="B1" i="14" s="1"/>
  <c r="N13" i="10" a="1"/>
  <c r="N13" i="10" s="1"/>
  <c r="N12" i="10" a="1"/>
  <c r="N12" i="10" s="1"/>
  <c r="N11" i="10" a="1"/>
  <c r="N11" i="10" s="1"/>
  <c r="N10" i="10" a="1"/>
  <c r="N10" i="10" s="1"/>
  <c r="N9" i="10" a="1"/>
  <c r="N9" i="10" s="1"/>
  <c r="N8" i="10" a="1"/>
  <c r="N8" i="10" s="1"/>
  <c r="N7" i="10" a="1"/>
  <c r="N7" i="10" s="1"/>
  <c r="N6" i="10" a="1"/>
  <c r="N6" i="10" s="1"/>
  <c r="N5" i="10" a="1"/>
  <c r="N5" i="10" s="1"/>
  <c r="N4" i="10" a="1"/>
  <c r="N4" i="10" s="1"/>
  <c r="N3" i="10" a="1"/>
  <c r="N3" i="10" s="1"/>
  <c r="N2" i="10" a="1"/>
  <c r="N2" i="10" s="1"/>
  <c r="O4" i="10" s="1" a="1"/>
  <c r="O4" i="10" s="1"/>
  <c r="J3190" i="10" a="1"/>
  <c r="J3190" i="10" s="1"/>
  <c r="J3189" i="10" a="1"/>
  <c r="J3189" i="10" s="1"/>
  <c r="J3188" i="10" a="1"/>
  <c r="J3188" i="10" s="1"/>
  <c r="J3187" i="10" a="1"/>
  <c r="J3187" i="10" s="1"/>
  <c r="J3186" i="10" a="1"/>
  <c r="J3186" i="10" s="1"/>
  <c r="J3185" i="10" a="1"/>
  <c r="J3185" i="10" s="1"/>
  <c r="J3184" i="10" a="1"/>
  <c r="J3184" i="10" s="1"/>
  <c r="J3183" i="10" a="1"/>
  <c r="J3183" i="10" s="1"/>
  <c r="J3182" i="10" a="1"/>
  <c r="J3182" i="10" s="1"/>
  <c r="J3181" i="10" a="1"/>
  <c r="J3181" i="10" s="1"/>
  <c r="J3180" i="10" a="1"/>
  <c r="J3180" i="10" s="1"/>
  <c r="J3179" i="10" a="1"/>
  <c r="J3179" i="10" s="1"/>
  <c r="J3178" i="10" a="1"/>
  <c r="J3178" i="10" s="1"/>
  <c r="J3177" i="10" a="1"/>
  <c r="J3177" i="10" s="1"/>
  <c r="J3176" i="10" a="1"/>
  <c r="J3176" i="10" s="1"/>
  <c r="J3175" i="10" a="1"/>
  <c r="J3175" i="10" s="1"/>
  <c r="J3174" i="10" a="1"/>
  <c r="J3174" i="10" s="1"/>
  <c r="J3173" i="10" a="1"/>
  <c r="J3173" i="10" s="1"/>
  <c r="J3172" i="10" a="1"/>
  <c r="J3172" i="10" s="1"/>
  <c r="J3171" i="10" a="1"/>
  <c r="J3171" i="10" s="1"/>
  <c r="J3170" i="10" a="1"/>
  <c r="J3170" i="10" s="1"/>
  <c r="J3169" i="10" a="1"/>
  <c r="J3169" i="10" s="1"/>
  <c r="J3168" i="10" a="1"/>
  <c r="J3168" i="10" s="1"/>
  <c r="J3167" i="10" a="1"/>
  <c r="J3167" i="10" s="1"/>
  <c r="J3166" i="10" a="1"/>
  <c r="J3166" i="10" s="1"/>
  <c r="J3165" i="10" a="1"/>
  <c r="J3165" i="10" s="1"/>
  <c r="J3164" i="10" a="1"/>
  <c r="J3164" i="10" s="1"/>
  <c r="J3163" i="10" a="1"/>
  <c r="J3163" i="10" s="1"/>
  <c r="J3162" i="10" a="1"/>
  <c r="J3162" i="10" s="1"/>
  <c r="J3161" i="10" a="1"/>
  <c r="J3161" i="10" s="1"/>
  <c r="J3160" i="10" a="1"/>
  <c r="J3160" i="10" s="1"/>
  <c r="J3159" i="10" a="1"/>
  <c r="J3159" i="10" s="1"/>
  <c r="J3158" i="10" a="1"/>
  <c r="J3158" i="10" s="1"/>
  <c r="J3157" i="10" a="1"/>
  <c r="J3157" i="10" s="1"/>
  <c r="J3156" i="10" a="1"/>
  <c r="J3156" i="10" s="1"/>
  <c r="J3155" i="10" a="1"/>
  <c r="J3155" i="10" s="1"/>
  <c r="J3154" i="10" a="1"/>
  <c r="J3154" i="10" s="1"/>
  <c r="J3153" i="10" a="1"/>
  <c r="J3153" i="10" s="1"/>
  <c r="J3152" i="10" a="1"/>
  <c r="J3152" i="10" s="1"/>
  <c r="J3151" i="10" a="1"/>
  <c r="J3151" i="10" s="1"/>
  <c r="J3150" i="10" a="1"/>
  <c r="J3150" i="10" s="1"/>
  <c r="J3149" i="10" a="1"/>
  <c r="J3149" i="10" s="1"/>
  <c r="J3148" i="10" a="1"/>
  <c r="J3148" i="10" s="1"/>
  <c r="J3147" i="10" a="1"/>
  <c r="J3147" i="10" s="1"/>
  <c r="J3146" i="10" a="1"/>
  <c r="J3146" i="10" s="1"/>
  <c r="J3145" i="10" a="1"/>
  <c r="J3145" i="10" s="1"/>
  <c r="J3144" i="10" a="1"/>
  <c r="J3144" i="10" s="1"/>
  <c r="J3143" i="10" a="1"/>
  <c r="J3143" i="10" s="1"/>
  <c r="J3142" i="10" a="1"/>
  <c r="J3142" i="10" s="1"/>
  <c r="J3141" i="10" a="1"/>
  <c r="J3141" i="10" s="1"/>
  <c r="J3140" i="10" a="1"/>
  <c r="J3140" i="10" s="1"/>
  <c r="J3139" i="10" a="1"/>
  <c r="J3139" i="10" s="1"/>
  <c r="J3138" i="10" a="1"/>
  <c r="J3138" i="10" s="1"/>
  <c r="J3137" i="10" a="1"/>
  <c r="J3137" i="10" s="1"/>
  <c r="J3136" i="10" a="1"/>
  <c r="J3136" i="10" s="1"/>
  <c r="J3135" i="10" a="1"/>
  <c r="J3135" i="10" s="1"/>
  <c r="J3134" i="10" a="1"/>
  <c r="J3134" i="10" s="1"/>
  <c r="J3133" i="10" a="1"/>
  <c r="J3133" i="10" s="1"/>
  <c r="J3132" i="10" a="1"/>
  <c r="J3132" i="10" s="1"/>
  <c r="J3131" i="10" a="1"/>
  <c r="J3131" i="10" s="1"/>
  <c r="J3130" i="10" a="1"/>
  <c r="J3130" i="10" s="1"/>
  <c r="J3129" i="10" a="1"/>
  <c r="J3129" i="10" s="1"/>
  <c r="J3128" i="10" a="1"/>
  <c r="J3128" i="10" s="1"/>
  <c r="J3127" i="10" a="1"/>
  <c r="J3127" i="10" s="1"/>
  <c r="J3126" i="10" a="1"/>
  <c r="J3126" i="10" s="1"/>
  <c r="J3125" i="10" a="1"/>
  <c r="J3125" i="10" s="1"/>
  <c r="J3124" i="10" a="1"/>
  <c r="J3124" i="10" s="1"/>
  <c r="J3123" i="10" a="1"/>
  <c r="J3123" i="10" s="1"/>
  <c r="J3122" i="10" a="1"/>
  <c r="J3122" i="10" s="1"/>
  <c r="J3121" i="10" a="1"/>
  <c r="J3121" i="10" s="1"/>
  <c r="J3120" i="10" a="1"/>
  <c r="J3120" i="10" s="1"/>
  <c r="J3119" i="10" a="1"/>
  <c r="J3119" i="10" s="1"/>
  <c r="J3118" i="10" a="1"/>
  <c r="J3118" i="10" s="1"/>
  <c r="J3117" i="10" a="1"/>
  <c r="J3117" i="10" s="1"/>
  <c r="J3116" i="10" a="1"/>
  <c r="J3116" i="10" s="1"/>
  <c r="J3115" i="10" a="1"/>
  <c r="J3115" i="10" s="1"/>
  <c r="J3114" i="10" a="1"/>
  <c r="J3114" i="10" s="1"/>
  <c r="J3113" i="10" a="1"/>
  <c r="J3113" i="10" s="1"/>
  <c r="J3112" i="10" a="1"/>
  <c r="J3112" i="10" s="1"/>
  <c r="J3111" i="10" a="1"/>
  <c r="J3111" i="10" s="1"/>
  <c r="J3110" i="10" a="1"/>
  <c r="J3110" i="10" s="1"/>
  <c r="J3109" i="10" a="1"/>
  <c r="J3109" i="10" s="1"/>
  <c r="J3108" i="10" a="1"/>
  <c r="J3108" i="10" s="1"/>
  <c r="J3107" i="10" a="1"/>
  <c r="J3107" i="10" s="1"/>
  <c r="J3106" i="10" a="1"/>
  <c r="J3106" i="10" s="1"/>
  <c r="J3105" i="10" a="1"/>
  <c r="J3105" i="10" s="1"/>
  <c r="J3104" i="10" a="1"/>
  <c r="J3104" i="10" s="1"/>
  <c r="J3103" i="10" a="1"/>
  <c r="J3103" i="10" s="1"/>
  <c r="J3102" i="10" a="1"/>
  <c r="J3102" i="10" s="1"/>
  <c r="J3101" i="10" a="1"/>
  <c r="J3101" i="10" s="1"/>
  <c r="J3100" i="10" a="1"/>
  <c r="J3100" i="10" s="1"/>
  <c r="J3099" i="10" a="1"/>
  <c r="J3099" i="10" s="1"/>
  <c r="J3098" i="10" a="1"/>
  <c r="J3098" i="10" s="1"/>
  <c r="J3097" i="10" a="1"/>
  <c r="J3097" i="10" s="1"/>
  <c r="J3096" i="10" a="1"/>
  <c r="J3096" i="10" s="1"/>
  <c r="J3095" i="10" a="1"/>
  <c r="J3095" i="10" s="1"/>
  <c r="J3094" i="10" a="1"/>
  <c r="J3094" i="10" s="1"/>
  <c r="J3093" i="10" a="1"/>
  <c r="J3093" i="10" s="1"/>
  <c r="J3092" i="10" a="1"/>
  <c r="J3092" i="10" s="1"/>
  <c r="J3091" i="10" a="1"/>
  <c r="J3091" i="10" s="1"/>
  <c r="J3090" i="10" a="1"/>
  <c r="J3090" i="10" s="1"/>
  <c r="J3089" i="10" a="1"/>
  <c r="J3089" i="10" s="1"/>
  <c r="J3088" i="10" a="1"/>
  <c r="J3088" i="10" s="1"/>
  <c r="J3087" i="10" a="1"/>
  <c r="J3087" i="10" s="1"/>
  <c r="J3086" i="10" a="1"/>
  <c r="J3086" i="10" s="1"/>
  <c r="J3085" i="10" a="1"/>
  <c r="J3085" i="10" s="1"/>
  <c r="J3084" i="10" a="1"/>
  <c r="J3084" i="10" s="1"/>
  <c r="J3083" i="10" a="1"/>
  <c r="J3083" i="10" s="1"/>
  <c r="J3082" i="10" a="1"/>
  <c r="J3082" i="10" s="1"/>
  <c r="J3081" i="10" a="1"/>
  <c r="J3081" i="10" s="1"/>
  <c r="J3080" i="10" a="1"/>
  <c r="J3080" i="10" s="1"/>
  <c r="J3079" i="10" a="1"/>
  <c r="J3079" i="10" s="1"/>
  <c r="J3078" i="10" a="1"/>
  <c r="J3078" i="10" s="1"/>
  <c r="J3077" i="10" a="1"/>
  <c r="J3077" i="10" s="1"/>
  <c r="J3076" i="10" a="1"/>
  <c r="J3076" i="10" s="1"/>
  <c r="J3075" i="10" a="1"/>
  <c r="J3075" i="10" s="1"/>
  <c r="J3074" i="10" a="1"/>
  <c r="J3074" i="10" s="1"/>
  <c r="J3073" i="10" a="1"/>
  <c r="J3073" i="10" s="1"/>
  <c r="J3072" i="10" a="1"/>
  <c r="J3072" i="10" s="1"/>
  <c r="J3071" i="10" a="1"/>
  <c r="J3071" i="10" s="1"/>
  <c r="J3070" i="10" a="1"/>
  <c r="J3070" i="10" s="1"/>
  <c r="J3069" i="10" a="1"/>
  <c r="J3069" i="10" s="1"/>
  <c r="J3068" i="10" a="1"/>
  <c r="J3068" i="10" s="1"/>
  <c r="J3067" i="10" a="1"/>
  <c r="J3067" i="10" s="1"/>
  <c r="J3066" i="10" a="1"/>
  <c r="J3066" i="10" s="1"/>
  <c r="J3065" i="10" a="1"/>
  <c r="J3065" i="10" s="1"/>
  <c r="J3064" i="10" a="1"/>
  <c r="J3064" i="10" s="1"/>
  <c r="J3063" i="10" a="1"/>
  <c r="J3063" i="10" s="1"/>
  <c r="J3062" i="10" a="1"/>
  <c r="J3062" i="10" s="1"/>
  <c r="J3061" i="10" a="1"/>
  <c r="J3061" i="10" s="1"/>
  <c r="J3060" i="10" a="1"/>
  <c r="J3060" i="10" s="1"/>
  <c r="J3059" i="10" a="1"/>
  <c r="J3059" i="10" s="1"/>
  <c r="J3058" i="10" a="1"/>
  <c r="J3058" i="10" s="1"/>
  <c r="J3057" i="10" a="1"/>
  <c r="J3057" i="10" s="1"/>
  <c r="J3056" i="10" a="1"/>
  <c r="J3056" i="10" s="1"/>
  <c r="J3055" i="10" a="1"/>
  <c r="J3055" i="10" s="1"/>
  <c r="J3054" i="10" a="1"/>
  <c r="J3054" i="10" s="1"/>
  <c r="J3053" i="10" a="1"/>
  <c r="J3053" i="10" s="1"/>
  <c r="J3052" i="10" a="1"/>
  <c r="J3052" i="10" s="1"/>
  <c r="J3051" i="10" a="1"/>
  <c r="J3051" i="10" s="1"/>
  <c r="J3050" i="10" a="1"/>
  <c r="J3050" i="10" s="1"/>
  <c r="J3049" i="10" a="1"/>
  <c r="J3049" i="10" s="1"/>
  <c r="J3048" i="10" a="1"/>
  <c r="J3048" i="10" s="1"/>
  <c r="J3047" i="10" a="1"/>
  <c r="J3047" i="10" s="1"/>
  <c r="J3046" i="10" a="1"/>
  <c r="J3046" i="10" s="1"/>
  <c r="J3045" i="10" a="1"/>
  <c r="J3045" i="10" s="1"/>
  <c r="J3044" i="10" a="1"/>
  <c r="J3044" i="10" s="1"/>
  <c r="J3043" i="10" a="1"/>
  <c r="J3043" i="10" s="1"/>
  <c r="J3042" i="10" a="1"/>
  <c r="J3042" i="10" s="1"/>
  <c r="J3041" i="10" a="1"/>
  <c r="J3041" i="10" s="1"/>
  <c r="J3040" i="10" a="1"/>
  <c r="J3040" i="10" s="1"/>
  <c r="J3039" i="10" a="1"/>
  <c r="J3039" i="10" s="1"/>
  <c r="J3038" i="10" a="1"/>
  <c r="J3038" i="10" s="1"/>
  <c r="J3037" i="10" a="1"/>
  <c r="J3037" i="10" s="1"/>
  <c r="J3036" i="10" a="1"/>
  <c r="J3036" i="10" s="1"/>
  <c r="J3035" i="10" a="1"/>
  <c r="J3035" i="10" s="1"/>
  <c r="J3034" i="10" a="1"/>
  <c r="J3034" i="10" s="1"/>
  <c r="J3033" i="10" a="1"/>
  <c r="J3033" i="10" s="1"/>
  <c r="J3032" i="10" a="1"/>
  <c r="J3032" i="10" s="1"/>
  <c r="J3031" i="10" a="1"/>
  <c r="J3031" i="10" s="1"/>
  <c r="J3030" i="10" a="1"/>
  <c r="J3030" i="10" s="1"/>
  <c r="J3029" i="10" a="1"/>
  <c r="J3029" i="10" s="1"/>
  <c r="J3028" i="10" a="1"/>
  <c r="J3028" i="10" s="1"/>
  <c r="J3027" i="10" a="1"/>
  <c r="J3027" i="10" s="1"/>
  <c r="J3026" i="10" a="1"/>
  <c r="J3026" i="10" s="1"/>
  <c r="J3025" i="10" a="1"/>
  <c r="J3025" i="10" s="1"/>
  <c r="J3024" i="10" a="1"/>
  <c r="J3024" i="10" s="1"/>
  <c r="J3023" i="10" a="1"/>
  <c r="J3023" i="10" s="1"/>
  <c r="J3022" i="10" a="1"/>
  <c r="J3022" i="10" s="1"/>
  <c r="J3021" i="10" a="1"/>
  <c r="J3021" i="10" s="1"/>
  <c r="J3020" i="10" a="1"/>
  <c r="J3020" i="10" s="1"/>
  <c r="J3019" i="10" a="1"/>
  <c r="J3019" i="10" s="1"/>
  <c r="J3018" i="10" a="1"/>
  <c r="J3018" i="10" s="1"/>
  <c r="J3017" i="10" a="1"/>
  <c r="J3017" i="10" s="1"/>
  <c r="J3016" i="10" a="1"/>
  <c r="J3016" i="10" s="1"/>
  <c r="J3015" i="10" a="1"/>
  <c r="J3015" i="10" s="1"/>
  <c r="J3014" i="10" a="1"/>
  <c r="J3014" i="10" s="1"/>
  <c r="J3013" i="10" a="1"/>
  <c r="J3013" i="10" s="1"/>
  <c r="J3012" i="10" a="1"/>
  <c r="J3012" i="10" s="1"/>
  <c r="J3011" i="10" a="1"/>
  <c r="J3011" i="10" s="1"/>
  <c r="J3010" i="10" a="1"/>
  <c r="J3010" i="10" s="1"/>
  <c r="J3009" i="10" a="1"/>
  <c r="J3009" i="10" s="1"/>
  <c r="J3008" i="10" a="1"/>
  <c r="J3008" i="10" s="1"/>
  <c r="J3007" i="10" a="1"/>
  <c r="J3007" i="10" s="1"/>
  <c r="J3006" i="10" a="1"/>
  <c r="J3006" i="10" s="1"/>
  <c r="J3005" i="10" a="1"/>
  <c r="J3005" i="10" s="1"/>
  <c r="J3004" i="10" a="1"/>
  <c r="J3004" i="10" s="1"/>
  <c r="J3003" i="10" a="1"/>
  <c r="J3003" i="10" s="1"/>
  <c r="J3002" i="10" a="1"/>
  <c r="J3002" i="10" s="1"/>
  <c r="J3001" i="10" a="1"/>
  <c r="J3001" i="10" s="1"/>
  <c r="J3000" i="10" a="1"/>
  <c r="J3000" i="10" s="1"/>
  <c r="J2999" i="10" a="1"/>
  <c r="J2999" i="10" s="1"/>
  <c r="J2998" i="10" a="1"/>
  <c r="J2998" i="10" s="1"/>
  <c r="J2997" i="10" a="1"/>
  <c r="J2997" i="10" s="1"/>
  <c r="J2996" i="10" a="1"/>
  <c r="J2996" i="10" s="1"/>
  <c r="J2995" i="10" a="1"/>
  <c r="J2995" i="10" s="1"/>
  <c r="J2994" i="10" a="1"/>
  <c r="J2994" i="10" s="1"/>
  <c r="J2993" i="10" a="1"/>
  <c r="J2993" i="10" s="1"/>
  <c r="J2992" i="10" a="1"/>
  <c r="J2992" i="10" s="1"/>
  <c r="J2991" i="10" a="1"/>
  <c r="J2991" i="10" s="1"/>
  <c r="J2990" i="10" a="1"/>
  <c r="J2990" i="10" s="1"/>
  <c r="J2989" i="10" a="1"/>
  <c r="J2989" i="10" s="1"/>
  <c r="J2988" i="10" a="1"/>
  <c r="J2988" i="10" s="1"/>
  <c r="J2987" i="10" a="1"/>
  <c r="J2987" i="10" s="1"/>
  <c r="J2986" i="10" a="1"/>
  <c r="J2986" i="10" s="1"/>
  <c r="J2985" i="10" a="1"/>
  <c r="J2985" i="10" s="1"/>
  <c r="J2984" i="10" a="1"/>
  <c r="J2984" i="10" s="1"/>
  <c r="J2983" i="10" a="1"/>
  <c r="J2983" i="10" s="1"/>
  <c r="J2982" i="10" a="1"/>
  <c r="J2982" i="10" s="1"/>
  <c r="J2981" i="10" a="1"/>
  <c r="J2981" i="10" s="1"/>
  <c r="J2980" i="10" a="1"/>
  <c r="J2980" i="10" s="1"/>
  <c r="J2979" i="10" a="1"/>
  <c r="J2979" i="10" s="1"/>
  <c r="J2978" i="10" a="1"/>
  <c r="J2978" i="10" s="1"/>
  <c r="J2977" i="10" a="1"/>
  <c r="J2977" i="10" s="1"/>
  <c r="J2976" i="10" a="1"/>
  <c r="J2976" i="10" s="1"/>
  <c r="J2975" i="10" a="1"/>
  <c r="J2975" i="10" s="1"/>
  <c r="J2974" i="10" a="1"/>
  <c r="J2974" i="10" s="1"/>
  <c r="J2973" i="10" a="1"/>
  <c r="J2973" i="10" s="1"/>
  <c r="J2972" i="10" a="1"/>
  <c r="J2972" i="10" s="1"/>
  <c r="J2971" i="10" a="1"/>
  <c r="J2971" i="10" s="1"/>
  <c r="J2970" i="10" a="1"/>
  <c r="J2970" i="10" s="1"/>
  <c r="J2969" i="10" a="1"/>
  <c r="J2969" i="10" s="1"/>
  <c r="J2968" i="10" a="1"/>
  <c r="J2968" i="10" s="1"/>
  <c r="J2967" i="10" a="1"/>
  <c r="J2967" i="10" s="1"/>
  <c r="J2966" i="10" a="1"/>
  <c r="J2966" i="10" s="1"/>
  <c r="J2965" i="10" a="1"/>
  <c r="J2965" i="10" s="1"/>
  <c r="J2964" i="10" a="1"/>
  <c r="J2964" i="10" s="1"/>
  <c r="J2963" i="10" a="1"/>
  <c r="J2963" i="10" s="1"/>
  <c r="J2962" i="10" a="1"/>
  <c r="J2962" i="10" s="1"/>
  <c r="J2961" i="10" a="1"/>
  <c r="J2961" i="10" s="1"/>
  <c r="J2960" i="10" a="1"/>
  <c r="J2960" i="10" s="1"/>
  <c r="J2959" i="10"/>
  <c r="J2959" i="10" a="1"/>
  <c r="J2958" i="10" a="1"/>
  <c r="J2958" i="10" s="1"/>
  <c r="J2957" i="10" a="1"/>
  <c r="J2957" i="10" s="1"/>
  <c r="J2956" i="10" a="1"/>
  <c r="J2956" i="10" s="1"/>
  <c r="J2955" i="10" a="1"/>
  <c r="J2955" i="10" s="1"/>
  <c r="J2954" i="10" a="1"/>
  <c r="J2954" i="10" s="1"/>
  <c r="J2953" i="10" a="1"/>
  <c r="J2953" i="10" s="1"/>
  <c r="J2952" i="10" a="1"/>
  <c r="J2952" i="10" s="1"/>
  <c r="J2951" i="10" a="1"/>
  <c r="J2951" i="10" s="1"/>
  <c r="J2950" i="10" a="1"/>
  <c r="J2950" i="10" s="1"/>
  <c r="J2949" i="10" a="1"/>
  <c r="J2949" i="10" s="1"/>
  <c r="J2948" i="10" a="1"/>
  <c r="J2948" i="10" s="1"/>
  <c r="J2947" i="10" a="1"/>
  <c r="J2947" i="10" s="1"/>
  <c r="J2946" i="10" a="1"/>
  <c r="J2946" i="10" s="1"/>
  <c r="J2945" i="10" a="1"/>
  <c r="J2945" i="10" s="1"/>
  <c r="J2944" i="10" a="1"/>
  <c r="J2944" i="10" s="1"/>
  <c r="J2943" i="10" a="1"/>
  <c r="J2943" i="10" s="1"/>
  <c r="J2942" i="10" a="1"/>
  <c r="J2942" i="10" s="1"/>
  <c r="J2941" i="10" a="1"/>
  <c r="J2941" i="10" s="1"/>
  <c r="J2940" i="10" a="1"/>
  <c r="J2940" i="10" s="1"/>
  <c r="J2939" i="10" a="1"/>
  <c r="J2939" i="10" s="1"/>
  <c r="J2938" i="10" a="1"/>
  <c r="J2938" i="10" s="1"/>
  <c r="J2937" i="10" a="1"/>
  <c r="J2937" i="10" s="1"/>
  <c r="J2936" i="10" a="1"/>
  <c r="J2936" i="10" s="1"/>
  <c r="J2935" i="10" a="1"/>
  <c r="J2935" i="10" s="1"/>
  <c r="J2934" i="10" a="1"/>
  <c r="J2934" i="10" s="1"/>
  <c r="J2933" i="10" a="1"/>
  <c r="J2933" i="10" s="1"/>
  <c r="J2932" i="10" a="1"/>
  <c r="J2932" i="10" s="1"/>
  <c r="J2931" i="10" a="1"/>
  <c r="J2931" i="10" s="1"/>
  <c r="J2930" i="10" a="1"/>
  <c r="J2930" i="10" s="1"/>
  <c r="J2929" i="10" a="1"/>
  <c r="J2929" i="10" s="1"/>
  <c r="J2928" i="10" a="1"/>
  <c r="J2928" i="10" s="1"/>
  <c r="J2927" i="10" a="1"/>
  <c r="J2927" i="10" s="1"/>
  <c r="J2926" i="10" a="1"/>
  <c r="J2926" i="10" s="1"/>
  <c r="J2925" i="10" a="1"/>
  <c r="J2925" i="10" s="1"/>
  <c r="J2924" i="10" a="1"/>
  <c r="J2924" i="10" s="1"/>
  <c r="J2923" i="10" a="1"/>
  <c r="J2923" i="10" s="1"/>
  <c r="J2922" i="10" a="1"/>
  <c r="J2922" i="10" s="1"/>
  <c r="J2921" i="10" a="1"/>
  <c r="J2921" i="10" s="1"/>
  <c r="J2920" i="10" a="1"/>
  <c r="J2920" i="10" s="1"/>
  <c r="J2919" i="10" a="1"/>
  <c r="J2919" i="10" s="1"/>
  <c r="J2918" i="10" a="1"/>
  <c r="J2918" i="10" s="1"/>
  <c r="J2917" i="10" a="1"/>
  <c r="J2917" i="10" s="1"/>
  <c r="J2916" i="10" a="1"/>
  <c r="J2916" i="10" s="1"/>
  <c r="J2915" i="10" a="1"/>
  <c r="J2915" i="10" s="1"/>
  <c r="J2914" i="10" a="1"/>
  <c r="J2914" i="10" s="1"/>
  <c r="J2913" i="10" a="1"/>
  <c r="J2913" i="10" s="1"/>
  <c r="J2912" i="10" a="1"/>
  <c r="J2912" i="10" s="1"/>
  <c r="J2911" i="10" a="1"/>
  <c r="J2911" i="10" s="1"/>
  <c r="J2910" i="10" a="1"/>
  <c r="J2910" i="10" s="1"/>
  <c r="J2909" i="10" a="1"/>
  <c r="J2909" i="10" s="1"/>
  <c r="J2908" i="10" a="1"/>
  <c r="J2908" i="10" s="1"/>
  <c r="J2907" i="10" a="1"/>
  <c r="J2907" i="10" s="1"/>
  <c r="J2906" i="10" a="1"/>
  <c r="J2906" i="10" s="1"/>
  <c r="J2905" i="10" a="1"/>
  <c r="J2905" i="10" s="1"/>
  <c r="J2904" i="10" a="1"/>
  <c r="J2904" i="10" s="1"/>
  <c r="J2903" i="10" a="1"/>
  <c r="J2903" i="10" s="1"/>
  <c r="J2902" i="10" a="1"/>
  <c r="J2902" i="10" s="1"/>
  <c r="J2901" i="10" a="1"/>
  <c r="J2901" i="10" s="1"/>
  <c r="J2900" i="10" a="1"/>
  <c r="J2900" i="10" s="1"/>
  <c r="J2899" i="10" a="1"/>
  <c r="J2899" i="10" s="1"/>
  <c r="J2898" i="10" a="1"/>
  <c r="J2898" i="10" s="1"/>
  <c r="J2897" i="10" a="1"/>
  <c r="J2897" i="10" s="1"/>
  <c r="J2896" i="10" a="1"/>
  <c r="J2896" i="10" s="1"/>
  <c r="J2895" i="10" a="1"/>
  <c r="J2895" i="10" s="1"/>
  <c r="J2894" i="10" a="1"/>
  <c r="J2894" i="10" s="1"/>
  <c r="J2893" i="10" a="1"/>
  <c r="J2893" i="10" s="1"/>
  <c r="J2892" i="10" a="1"/>
  <c r="J2892" i="10" s="1"/>
  <c r="J2891" i="10" a="1"/>
  <c r="J2891" i="10" s="1"/>
  <c r="J2890" i="10" a="1"/>
  <c r="J2890" i="10" s="1"/>
  <c r="J2889" i="10" a="1"/>
  <c r="J2889" i="10" s="1"/>
  <c r="J2888" i="10" a="1"/>
  <c r="J2888" i="10" s="1"/>
  <c r="J2887" i="10" a="1"/>
  <c r="J2887" i="10" s="1"/>
  <c r="J2886" i="10" a="1"/>
  <c r="J2886" i="10" s="1"/>
  <c r="J2885" i="10" a="1"/>
  <c r="J2885" i="10" s="1"/>
  <c r="J2884" i="10" a="1"/>
  <c r="J2884" i="10" s="1"/>
  <c r="J2883" i="10" a="1"/>
  <c r="J2883" i="10" s="1"/>
  <c r="J2882" i="10" a="1"/>
  <c r="J2882" i="10" s="1"/>
  <c r="J2881" i="10" a="1"/>
  <c r="J2881" i="10" s="1"/>
  <c r="J2880" i="10" a="1"/>
  <c r="J2880" i="10" s="1"/>
  <c r="J2879" i="10" a="1"/>
  <c r="J2879" i="10" s="1"/>
  <c r="J2878" i="10" a="1"/>
  <c r="J2878" i="10" s="1"/>
  <c r="J2877" i="10" a="1"/>
  <c r="J2877" i="10" s="1"/>
  <c r="J2876" i="10" a="1"/>
  <c r="J2876" i="10" s="1"/>
  <c r="J2875" i="10" a="1"/>
  <c r="J2875" i="10" s="1"/>
  <c r="J2874" i="10" a="1"/>
  <c r="J2874" i="10" s="1"/>
  <c r="J2873" i="10" a="1"/>
  <c r="J2873" i="10" s="1"/>
  <c r="J2872" i="10" a="1"/>
  <c r="J2872" i="10" s="1"/>
  <c r="J2871" i="10" a="1"/>
  <c r="J2871" i="10" s="1"/>
  <c r="J2870" i="10" a="1"/>
  <c r="J2870" i="10" s="1"/>
  <c r="J2869" i="10" a="1"/>
  <c r="J2869" i="10" s="1"/>
  <c r="J2868" i="10" a="1"/>
  <c r="J2868" i="10" s="1"/>
  <c r="J2867" i="10" a="1"/>
  <c r="J2867" i="10" s="1"/>
  <c r="J2866" i="10" a="1"/>
  <c r="J2866" i="10" s="1"/>
  <c r="J2865" i="10" a="1"/>
  <c r="J2865" i="10" s="1"/>
  <c r="J2864" i="10" a="1"/>
  <c r="J2864" i="10" s="1"/>
  <c r="J2863" i="10" a="1"/>
  <c r="J2863" i="10" s="1"/>
  <c r="J2862" i="10" a="1"/>
  <c r="J2862" i="10" s="1"/>
  <c r="J2861" i="10" a="1"/>
  <c r="J2861" i="10" s="1"/>
  <c r="J2860" i="10" a="1"/>
  <c r="J2860" i="10" s="1"/>
  <c r="J2859" i="10" a="1"/>
  <c r="J2859" i="10" s="1"/>
  <c r="J2858" i="10" a="1"/>
  <c r="J2858" i="10" s="1"/>
  <c r="J2857" i="10"/>
  <c r="J2857" i="10" a="1"/>
  <c r="J2856" i="10" a="1"/>
  <c r="J2856" i="10" s="1"/>
  <c r="J2855" i="10" a="1"/>
  <c r="J2855" i="10" s="1"/>
  <c r="J2854" i="10" a="1"/>
  <c r="J2854" i="10" s="1"/>
  <c r="J2853" i="10" a="1"/>
  <c r="J2853" i="10" s="1"/>
  <c r="J2852" i="10" a="1"/>
  <c r="J2852" i="10" s="1"/>
  <c r="J2851" i="10" a="1"/>
  <c r="J2851" i="10" s="1"/>
  <c r="J2850" i="10" a="1"/>
  <c r="J2850" i="10" s="1"/>
  <c r="J2849" i="10" a="1"/>
  <c r="J2849" i="10" s="1"/>
  <c r="J2848" i="10" a="1"/>
  <c r="J2848" i="10" s="1"/>
  <c r="J2847" i="10" a="1"/>
  <c r="J2847" i="10" s="1"/>
  <c r="J2846" i="10" a="1"/>
  <c r="J2846" i="10" s="1"/>
  <c r="J2845" i="10" a="1"/>
  <c r="J2845" i="10" s="1"/>
  <c r="J2844" i="10" a="1"/>
  <c r="J2844" i="10" s="1"/>
  <c r="J2843" i="10" a="1"/>
  <c r="J2843" i="10" s="1"/>
  <c r="J2842" i="10" a="1"/>
  <c r="J2842" i="10" s="1"/>
  <c r="J2841" i="10" a="1"/>
  <c r="J2841" i="10" s="1"/>
  <c r="J2840" i="10" a="1"/>
  <c r="J2840" i="10" s="1"/>
  <c r="J2839" i="10" a="1"/>
  <c r="J2839" i="10" s="1"/>
  <c r="J2838" i="10" a="1"/>
  <c r="J2838" i="10" s="1"/>
  <c r="J2837" i="10" a="1"/>
  <c r="J2837" i="10" s="1"/>
  <c r="J2836" i="10" a="1"/>
  <c r="J2836" i="10" s="1"/>
  <c r="J2835" i="10" a="1"/>
  <c r="J2835" i="10" s="1"/>
  <c r="J2834" i="10" a="1"/>
  <c r="J2834" i="10" s="1"/>
  <c r="J2833" i="10" a="1"/>
  <c r="J2833" i="10" s="1"/>
  <c r="J2832" i="10" a="1"/>
  <c r="J2832" i="10" s="1"/>
  <c r="J2831" i="10" a="1"/>
  <c r="J2831" i="10" s="1"/>
  <c r="J2830" i="10" a="1"/>
  <c r="J2830" i="10" s="1"/>
  <c r="J2829" i="10" a="1"/>
  <c r="J2829" i="10" s="1"/>
  <c r="J2828" i="10" a="1"/>
  <c r="J2828" i="10" s="1"/>
  <c r="J2827" i="10" a="1"/>
  <c r="J2827" i="10" s="1"/>
  <c r="J2826" i="10" a="1"/>
  <c r="J2826" i="10" s="1"/>
  <c r="J2825" i="10" a="1"/>
  <c r="J2825" i="10" s="1"/>
  <c r="J2824" i="10" a="1"/>
  <c r="J2824" i="10" s="1"/>
  <c r="J2823" i="10" a="1"/>
  <c r="J2823" i="10" s="1"/>
  <c r="J2822" i="10" a="1"/>
  <c r="J2822" i="10" s="1"/>
  <c r="J2821" i="10" a="1"/>
  <c r="J2821" i="10" s="1"/>
  <c r="J2820" i="10" a="1"/>
  <c r="J2820" i="10" s="1"/>
  <c r="J2819" i="10" a="1"/>
  <c r="J2819" i="10" s="1"/>
  <c r="J2818" i="10" a="1"/>
  <c r="J2818" i="10" s="1"/>
  <c r="J2817" i="10" a="1"/>
  <c r="J2817" i="10" s="1"/>
  <c r="J2816" i="10" a="1"/>
  <c r="J2816" i="10" s="1"/>
  <c r="J2815" i="10" a="1"/>
  <c r="J2815" i="10" s="1"/>
  <c r="J2814" i="10" a="1"/>
  <c r="J2814" i="10" s="1"/>
  <c r="J2813" i="10" a="1"/>
  <c r="J2813" i="10" s="1"/>
  <c r="J2812" i="10" a="1"/>
  <c r="J2812" i="10" s="1"/>
  <c r="J2811" i="10" a="1"/>
  <c r="J2811" i="10" s="1"/>
  <c r="J2810" i="10" a="1"/>
  <c r="J2810" i="10" s="1"/>
  <c r="J2809" i="10" a="1"/>
  <c r="J2809" i="10" s="1"/>
  <c r="J2808" i="10" a="1"/>
  <c r="J2808" i="10" s="1"/>
  <c r="J2807" i="10" a="1"/>
  <c r="J2807" i="10" s="1"/>
  <c r="J2806" i="10" a="1"/>
  <c r="J2806" i="10" s="1"/>
  <c r="J2805" i="10" a="1"/>
  <c r="J2805" i="10" s="1"/>
  <c r="J2804" i="10" a="1"/>
  <c r="J2804" i="10" s="1"/>
  <c r="J2803" i="10" a="1"/>
  <c r="J2803" i="10" s="1"/>
  <c r="J2802" i="10" a="1"/>
  <c r="J2802" i="10" s="1"/>
  <c r="J2801" i="10" a="1"/>
  <c r="J2801" i="10" s="1"/>
  <c r="J2800" i="10" a="1"/>
  <c r="J2800" i="10" s="1"/>
  <c r="J2799" i="10" a="1"/>
  <c r="J2799" i="10" s="1"/>
  <c r="J2798" i="10" a="1"/>
  <c r="J2798" i="10" s="1"/>
  <c r="J2797" i="10" a="1"/>
  <c r="J2797" i="10" s="1"/>
  <c r="J2796" i="10" a="1"/>
  <c r="J2796" i="10" s="1"/>
  <c r="J2795" i="10" a="1"/>
  <c r="J2795" i="10" s="1"/>
  <c r="J2794" i="10" a="1"/>
  <c r="J2794" i="10" s="1"/>
  <c r="J2793" i="10" a="1"/>
  <c r="J2793" i="10" s="1"/>
  <c r="J2792" i="10" a="1"/>
  <c r="J2792" i="10" s="1"/>
  <c r="J2791" i="10" a="1"/>
  <c r="J2791" i="10" s="1"/>
  <c r="J2790" i="10" a="1"/>
  <c r="J2790" i="10" s="1"/>
  <c r="J2789" i="10" a="1"/>
  <c r="J2789" i="10" s="1"/>
  <c r="J2788" i="10" a="1"/>
  <c r="J2788" i="10" s="1"/>
  <c r="J2787" i="10" a="1"/>
  <c r="J2787" i="10" s="1"/>
  <c r="J2786" i="10" a="1"/>
  <c r="J2786" i="10" s="1"/>
  <c r="J2785" i="10" a="1"/>
  <c r="J2785" i="10" s="1"/>
  <c r="J2784" i="10" a="1"/>
  <c r="J2784" i="10" s="1"/>
  <c r="J2783" i="10" a="1"/>
  <c r="J2783" i="10" s="1"/>
  <c r="J2782" i="10" a="1"/>
  <c r="J2782" i="10" s="1"/>
  <c r="J2781" i="10" a="1"/>
  <c r="J2781" i="10" s="1"/>
  <c r="J2780" i="10" a="1"/>
  <c r="J2780" i="10" s="1"/>
  <c r="J2779" i="10" a="1"/>
  <c r="J2779" i="10" s="1"/>
  <c r="J2778" i="10" a="1"/>
  <c r="J2778" i="10" s="1"/>
  <c r="J2777" i="10" a="1"/>
  <c r="J2777" i="10" s="1"/>
  <c r="J2776" i="10" a="1"/>
  <c r="J2776" i="10" s="1"/>
  <c r="J2775" i="10" a="1"/>
  <c r="J2775" i="10" s="1"/>
  <c r="J2774" i="10" a="1"/>
  <c r="J2774" i="10" s="1"/>
  <c r="J2773" i="10" a="1"/>
  <c r="J2773" i="10" s="1"/>
  <c r="J2772" i="10" a="1"/>
  <c r="J2772" i="10" s="1"/>
  <c r="J2771" i="10" a="1"/>
  <c r="J2771" i="10" s="1"/>
  <c r="J2770" i="10" a="1"/>
  <c r="J2770" i="10" s="1"/>
  <c r="J2769" i="10" a="1"/>
  <c r="J2769" i="10" s="1"/>
  <c r="J2768" i="10" a="1"/>
  <c r="J2768" i="10" s="1"/>
  <c r="J2767" i="10" a="1"/>
  <c r="J2767" i="10" s="1"/>
  <c r="J2766" i="10" a="1"/>
  <c r="J2766" i="10" s="1"/>
  <c r="J2765" i="10" a="1"/>
  <c r="J2765" i="10" s="1"/>
  <c r="J2764" i="10" a="1"/>
  <c r="J2764" i="10" s="1"/>
  <c r="J2763" i="10" a="1"/>
  <c r="J2763" i="10" s="1"/>
  <c r="J2762" i="10" a="1"/>
  <c r="J2762" i="10" s="1"/>
  <c r="J2761" i="10" a="1"/>
  <c r="J2761" i="10" s="1"/>
  <c r="J2760" i="10" a="1"/>
  <c r="J2760" i="10" s="1"/>
  <c r="J2759" i="10" a="1"/>
  <c r="J2759" i="10" s="1"/>
  <c r="J2758" i="10" a="1"/>
  <c r="J2758" i="10" s="1"/>
  <c r="J2757" i="10" a="1"/>
  <c r="J2757" i="10" s="1"/>
  <c r="J2756" i="10" a="1"/>
  <c r="J2756" i="10" s="1"/>
  <c r="J2755" i="10" a="1"/>
  <c r="J2755" i="10" s="1"/>
  <c r="J2754" i="10" a="1"/>
  <c r="J2754" i="10" s="1"/>
  <c r="J2753" i="10" a="1"/>
  <c r="J2753" i="10" s="1"/>
  <c r="J2752" i="10" a="1"/>
  <c r="J2752" i="10" s="1"/>
  <c r="J2751" i="10" a="1"/>
  <c r="J2751" i="10" s="1"/>
  <c r="J2750" i="10" a="1"/>
  <c r="J2750" i="10" s="1"/>
  <c r="J2749" i="10" a="1"/>
  <c r="J2749" i="10" s="1"/>
  <c r="J2748" i="10" a="1"/>
  <c r="J2748" i="10" s="1"/>
  <c r="J2747" i="10" a="1"/>
  <c r="J2747" i="10" s="1"/>
  <c r="J2746" i="10" a="1"/>
  <c r="J2746" i="10" s="1"/>
  <c r="J2745" i="10" a="1"/>
  <c r="J2745" i="10" s="1"/>
  <c r="J2744" i="10" a="1"/>
  <c r="J2744" i="10" s="1"/>
  <c r="J2743" i="10" a="1"/>
  <c r="J2743" i="10" s="1"/>
  <c r="J2742" i="10" a="1"/>
  <c r="J2742" i="10" s="1"/>
  <c r="J2741" i="10" a="1"/>
  <c r="J2741" i="10" s="1"/>
  <c r="J2740" i="10" a="1"/>
  <c r="J2740" i="10" s="1"/>
  <c r="J2739" i="10" a="1"/>
  <c r="J2739" i="10" s="1"/>
  <c r="J2738" i="10" a="1"/>
  <c r="J2738" i="10" s="1"/>
  <c r="J2737" i="10" a="1"/>
  <c r="J2737" i="10" s="1"/>
  <c r="J2736" i="10" a="1"/>
  <c r="J2736" i="10" s="1"/>
  <c r="J2735" i="10" a="1"/>
  <c r="J2735" i="10" s="1"/>
  <c r="J2734" i="10" a="1"/>
  <c r="J2734" i="10" s="1"/>
  <c r="J2733" i="10" a="1"/>
  <c r="J2733" i="10" s="1"/>
  <c r="J2732" i="10" a="1"/>
  <c r="J2732" i="10" s="1"/>
  <c r="J2731" i="10" a="1"/>
  <c r="J2731" i="10" s="1"/>
  <c r="J2730" i="10" a="1"/>
  <c r="J2730" i="10" s="1"/>
  <c r="J2729" i="10" a="1"/>
  <c r="J2729" i="10" s="1"/>
  <c r="J2728" i="10" a="1"/>
  <c r="J2728" i="10" s="1"/>
  <c r="J2727" i="10" a="1"/>
  <c r="J2727" i="10" s="1"/>
  <c r="J2726" i="10" a="1"/>
  <c r="J2726" i="10" s="1"/>
  <c r="J2725" i="10" a="1"/>
  <c r="J2725" i="10" s="1"/>
  <c r="J2724" i="10" a="1"/>
  <c r="J2724" i="10" s="1"/>
  <c r="J2723" i="10" a="1"/>
  <c r="J2723" i="10" s="1"/>
  <c r="J2722" i="10" a="1"/>
  <c r="J2722" i="10" s="1"/>
  <c r="J2721" i="10" a="1"/>
  <c r="J2721" i="10" s="1"/>
  <c r="J2720" i="10" a="1"/>
  <c r="J2720" i="10" s="1"/>
  <c r="J2719" i="10" a="1"/>
  <c r="J2719" i="10" s="1"/>
  <c r="J2718" i="10" a="1"/>
  <c r="J2718" i="10" s="1"/>
  <c r="J2717" i="10" a="1"/>
  <c r="J2717" i="10" s="1"/>
  <c r="J2716" i="10" a="1"/>
  <c r="J2716" i="10" s="1"/>
  <c r="J2715" i="10" a="1"/>
  <c r="J2715" i="10" s="1"/>
  <c r="J2714" i="10" a="1"/>
  <c r="J2714" i="10" s="1"/>
  <c r="J2713" i="10" a="1"/>
  <c r="J2713" i="10" s="1"/>
  <c r="J2712" i="10" a="1"/>
  <c r="J2712" i="10" s="1"/>
  <c r="J2711" i="10" a="1"/>
  <c r="J2711" i="10" s="1"/>
  <c r="J2710" i="10" a="1"/>
  <c r="J2710" i="10" s="1"/>
  <c r="J2709" i="10" a="1"/>
  <c r="J2709" i="10" s="1"/>
  <c r="J2708" i="10" a="1"/>
  <c r="J2708" i="10" s="1"/>
  <c r="J2707" i="10" a="1"/>
  <c r="J2707" i="10" s="1"/>
  <c r="J2706" i="10" a="1"/>
  <c r="J2706" i="10" s="1"/>
  <c r="J2705" i="10" a="1"/>
  <c r="J2705" i="10" s="1"/>
  <c r="J2704" i="10" a="1"/>
  <c r="J2704" i="10" s="1"/>
  <c r="J2703" i="10" a="1"/>
  <c r="J2703" i="10" s="1"/>
  <c r="J2702" i="10" a="1"/>
  <c r="J2702" i="10" s="1"/>
  <c r="J2701" i="10" a="1"/>
  <c r="J2701" i="10" s="1"/>
  <c r="J2700" i="10" a="1"/>
  <c r="J2700" i="10" s="1"/>
  <c r="J2699" i="10" a="1"/>
  <c r="J2699" i="10" s="1"/>
  <c r="J2698" i="10" a="1"/>
  <c r="J2698" i="10" s="1"/>
  <c r="J2697" i="10" a="1"/>
  <c r="J2697" i="10" s="1"/>
  <c r="J2696" i="10" a="1"/>
  <c r="J2696" i="10" s="1"/>
  <c r="J2695" i="10" a="1"/>
  <c r="J2695" i="10" s="1"/>
  <c r="J2694" i="10" a="1"/>
  <c r="J2694" i="10" s="1"/>
  <c r="J2693" i="10" a="1"/>
  <c r="J2693" i="10" s="1"/>
  <c r="J2692" i="10" a="1"/>
  <c r="J2692" i="10" s="1"/>
  <c r="J2691" i="10" a="1"/>
  <c r="J2691" i="10" s="1"/>
  <c r="J2690" i="10" a="1"/>
  <c r="J2690" i="10" s="1"/>
  <c r="J2689" i="10" a="1"/>
  <c r="J2689" i="10" s="1"/>
  <c r="J2688" i="10" a="1"/>
  <c r="J2688" i="10" s="1"/>
  <c r="J2687" i="10" a="1"/>
  <c r="J2687" i="10" s="1"/>
  <c r="J2686" i="10" a="1"/>
  <c r="J2686" i="10" s="1"/>
  <c r="J2685" i="10" a="1"/>
  <c r="J2685" i="10" s="1"/>
  <c r="J2684" i="10" a="1"/>
  <c r="J2684" i="10" s="1"/>
  <c r="J2683" i="10" a="1"/>
  <c r="J2683" i="10" s="1"/>
  <c r="J2682" i="10" a="1"/>
  <c r="J2682" i="10" s="1"/>
  <c r="J2681" i="10" a="1"/>
  <c r="J2681" i="10" s="1"/>
  <c r="J2680" i="10" a="1"/>
  <c r="J2680" i="10" s="1"/>
  <c r="J2679" i="10" a="1"/>
  <c r="J2679" i="10" s="1"/>
  <c r="J2678" i="10" a="1"/>
  <c r="J2678" i="10" s="1"/>
  <c r="J2677" i="10" a="1"/>
  <c r="J2677" i="10" s="1"/>
  <c r="J2676" i="10" a="1"/>
  <c r="J2676" i="10" s="1"/>
  <c r="J2675" i="10" a="1"/>
  <c r="J2675" i="10" s="1"/>
  <c r="J2674" i="10" a="1"/>
  <c r="J2674" i="10" s="1"/>
  <c r="J2673" i="10" a="1"/>
  <c r="J2673" i="10" s="1"/>
  <c r="J2672" i="10" a="1"/>
  <c r="J2672" i="10" s="1"/>
  <c r="J2671" i="10" a="1"/>
  <c r="J2671" i="10" s="1"/>
  <c r="J2670" i="10" a="1"/>
  <c r="J2670" i="10" s="1"/>
  <c r="J2669" i="10" a="1"/>
  <c r="J2669" i="10" s="1"/>
  <c r="J2668" i="10" a="1"/>
  <c r="J2668" i="10" s="1"/>
  <c r="J2667" i="10" a="1"/>
  <c r="J2667" i="10" s="1"/>
  <c r="J2666" i="10" a="1"/>
  <c r="J2666" i="10" s="1"/>
  <c r="J2665" i="10" a="1"/>
  <c r="J2665" i="10" s="1"/>
  <c r="J2664" i="10" a="1"/>
  <c r="J2664" i="10" s="1"/>
  <c r="J2663" i="10" a="1"/>
  <c r="J2663" i="10" s="1"/>
  <c r="J2662" i="10" a="1"/>
  <c r="J2662" i="10" s="1"/>
  <c r="J2661" i="10" a="1"/>
  <c r="J2661" i="10" s="1"/>
  <c r="J2660" i="10" a="1"/>
  <c r="J2660" i="10" s="1"/>
  <c r="J2659" i="10" a="1"/>
  <c r="J2659" i="10" s="1"/>
  <c r="J2658" i="10" a="1"/>
  <c r="J2658" i="10" s="1"/>
  <c r="J2657" i="10" a="1"/>
  <c r="J2657" i="10" s="1"/>
  <c r="J2656" i="10" a="1"/>
  <c r="J2656" i="10" s="1"/>
  <c r="J2655" i="10" a="1"/>
  <c r="J2655" i="10" s="1"/>
  <c r="J2654" i="10" a="1"/>
  <c r="J2654" i="10" s="1"/>
  <c r="J2653" i="10" a="1"/>
  <c r="J2653" i="10" s="1"/>
  <c r="J2652" i="10" a="1"/>
  <c r="J2652" i="10" s="1"/>
  <c r="J2651" i="10" a="1"/>
  <c r="J2651" i="10" s="1"/>
  <c r="J2650" i="10" a="1"/>
  <c r="J2650" i="10" s="1"/>
  <c r="J2649" i="10" a="1"/>
  <c r="J2649" i="10" s="1"/>
  <c r="J2648" i="10" a="1"/>
  <c r="J2648" i="10" s="1"/>
  <c r="J2647" i="10" a="1"/>
  <c r="J2647" i="10" s="1"/>
  <c r="J2646" i="10" a="1"/>
  <c r="J2646" i="10" s="1"/>
  <c r="J2645" i="10" a="1"/>
  <c r="J2645" i="10" s="1"/>
  <c r="J2644" i="10" a="1"/>
  <c r="J2644" i="10" s="1"/>
  <c r="J2643" i="10" a="1"/>
  <c r="J2643" i="10" s="1"/>
  <c r="J2642" i="10" a="1"/>
  <c r="J2642" i="10" s="1"/>
  <c r="J2641" i="10" a="1"/>
  <c r="J2641" i="10" s="1"/>
  <c r="J2640" i="10" a="1"/>
  <c r="J2640" i="10" s="1"/>
  <c r="J2639" i="10" a="1"/>
  <c r="J2639" i="10" s="1"/>
  <c r="J2638" i="10" a="1"/>
  <c r="J2638" i="10" s="1"/>
  <c r="J2637" i="10" a="1"/>
  <c r="J2637" i="10" s="1"/>
  <c r="J2636" i="10" a="1"/>
  <c r="J2636" i="10" s="1"/>
  <c r="J2635" i="10" a="1"/>
  <c r="J2635" i="10" s="1"/>
  <c r="J2634" i="10" a="1"/>
  <c r="J2634" i="10" s="1"/>
  <c r="J2633" i="10" a="1"/>
  <c r="J2633" i="10" s="1"/>
  <c r="J2632" i="10" a="1"/>
  <c r="J2632" i="10" s="1"/>
  <c r="J2631" i="10" a="1"/>
  <c r="J2631" i="10" s="1"/>
  <c r="J2630" i="10" a="1"/>
  <c r="J2630" i="10" s="1"/>
  <c r="J2629" i="10" a="1"/>
  <c r="J2629" i="10" s="1"/>
  <c r="J2628" i="10" a="1"/>
  <c r="J2628" i="10" s="1"/>
  <c r="J2627" i="10" a="1"/>
  <c r="J2627" i="10" s="1"/>
  <c r="J2626" i="10" a="1"/>
  <c r="J2626" i="10" s="1"/>
  <c r="J2625" i="10" a="1"/>
  <c r="J2625" i="10" s="1"/>
  <c r="J2624" i="10" a="1"/>
  <c r="J2624" i="10" s="1"/>
  <c r="J2623" i="10" a="1"/>
  <c r="J2623" i="10" s="1"/>
  <c r="J2622" i="10" a="1"/>
  <c r="J2622" i="10" s="1"/>
  <c r="J2621" i="10" a="1"/>
  <c r="J2621" i="10" s="1"/>
  <c r="J2620" i="10" a="1"/>
  <c r="J2620" i="10" s="1"/>
  <c r="J2619" i="10" a="1"/>
  <c r="J2619" i="10" s="1"/>
  <c r="J2618" i="10" a="1"/>
  <c r="J2618" i="10" s="1"/>
  <c r="J2617" i="10" a="1"/>
  <c r="J2617" i="10" s="1"/>
  <c r="J2616" i="10" a="1"/>
  <c r="J2616" i="10" s="1"/>
  <c r="J2615" i="10" a="1"/>
  <c r="J2615" i="10" s="1"/>
  <c r="J2614" i="10" a="1"/>
  <c r="J2614" i="10" s="1"/>
  <c r="J2613" i="10" a="1"/>
  <c r="J2613" i="10" s="1"/>
  <c r="J2612" i="10" a="1"/>
  <c r="J2612" i="10" s="1"/>
  <c r="J2611" i="10" a="1"/>
  <c r="J2611" i="10" s="1"/>
  <c r="J2610" i="10" a="1"/>
  <c r="J2610" i="10" s="1"/>
  <c r="J2609" i="10" a="1"/>
  <c r="J2609" i="10" s="1"/>
  <c r="J2608" i="10" a="1"/>
  <c r="J2608" i="10" s="1"/>
  <c r="J2607" i="10" a="1"/>
  <c r="J2607" i="10" s="1"/>
  <c r="J2606" i="10" a="1"/>
  <c r="J2606" i="10" s="1"/>
  <c r="J2605" i="10" a="1"/>
  <c r="J2605" i="10" s="1"/>
  <c r="J2604" i="10" a="1"/>
  <c r="J2604" i="10" s="1"/>
  <c r="J2603" i="10" a="1"/>
  <c r="J2603" i="10" s="1"/>
  <c r="J2602" i="10" a="1"/>
  <c r="J2602" i="10" s="1"/>
  <c r="J2601" i="10" a="1"/>
  <c r="J2601" i="10" s="1"/>
  <c r="J2600" i="10" a="1"/>
  <c r="J2600" i="10" s="1"/>
  <c r="J2599" i="10" a="1"/>
  <c r="J2599" i="10" s="1"/>
  <c r="J2598" i="10" a="1"/>
  <c r="J2598" i="10" s="1"/>
  <c r="J2597" i="10" a="1"/>
  <c r="J2597" i="10" s="1"/>
  <c r="J2596" i="10" a="1"/>
  <c r="J2596" i="10" s="1"/>
  <c r="J2595" i="10" a="1"/>
  <c r="J2595" i="10" s="1"/>
  <c r="J2594" i="10" a="1"/>
  <c r="J2594" i="10" s="1"/>
  <c r="J2593" i="10" a="1"/>
  <c r="J2593" i="10" s="1"/>
  <c r="J2592" i="10" a="1"/>
  <c r="J2592" i="10" s="1"/>
  <c r="J2591" i="10" a="1"/>
  <c r="J2591" i="10" s="1"/>
  <c r="J2590" i="10" a="1"/>
  <c r="J2590" i="10" s="1"/>
  <c r="J2589" i="10" a="1"/>
  <c r="J2589" i="10" s="1"/>
  <c r="J2588" i="10" a="1"/>
  <c r="J2588" i="10" s="1"/>
  <c r="J2587" i="10" a="1"/>
  <c r="J2587" i="10" s="1"/>
  <c r="J2586" i="10" a="1"/>
  <c r="J2586" i="10" s="1"/>
  <c r="J2585" i="10" a="1"/>
  <c r="J2585" i="10" s="1"/>
  <c r="J2584" i="10" a="1"/>
  <c r="J2584" i="10" s="1"/>
  <c r="J2583" i="10" a="1"/>
  <c r="J2583" i="10" s="1"/>
  <c r="J2582" i="10" a="1"/>
  <c r="J2582" i="10" s="1"/>
  <c r="J2581" i="10" a="1"/>
  <c r="J2581" i="10" s="1"/>
  <c r="J2580" i="10" a="1"/>
  <c r="J2580" i="10" s="1"/>
  <c r="J2579" i="10" a="1"/>
  <c r="J2579" i="10" s="1"/>
  <c r="J2578" i="10" a="1"/>
  <c r="J2578" i="10" s="1"/>
  <c r="J2577" i="10" a="1"/>
  <c r="J2577" i="10" s="1"/>
  <c r="J2576" i="10" a="1"/>
  <c r="J2576" i="10" s="1"/>
  <c r="J2575" i="10" a="1"/>
  <c r="J2575" i="10" s="1"/>
  <c r="J2574" i="10" a="1"/>
  <c r="J2574" i="10" s="1"/>
  <c r="J2573" i="10" a="1"/>
  <c r="J2573" i="10" s="1"/>
  <c r="J2572" i="10" a="1"/>
  <c r="J2572" i="10" s="1"/>
  <c r="J2571" i="10" a="1"/>
  <c r="J2571" i="10" s="1"/>
  <c r="J2570" i="10" a="1"/>
  <c r="J2570" i="10" s="1"/>
  <c r="J2569" i="10" a="1"/>
  <c r="J2569" i="10" s="1"/>
  <c r="J2568" i="10" a="1"/>
  <c r="J2568" i="10" s="1"/>
  <c r="J2567" i="10" a="1"/>
  <c r="J2567" i="10" s="1"/>
  <c r="J2566" i="10" a="1"/>
  <c r="J2566" i="10" s="1"/>
  <c r="J2565" i="10" a="1"/>
  <c r="J2565" i="10" s="1"/>
  <c r="J2564" i="10" a="1"/>
  <c r="J2564" i="10" s="1"/>
  <c r="J2563" i="10" a="1"/>
  <c r="J2563" i="10" s="1"/>
  <c r="J2562" i="10" a="1"/>
  <c r="J2562" i="10" s="1"/>
  <c r="J2561" i="10" a="1"/>
  <c r="J2561" i="10" s="1"/>
  <c r="J2560" i="10" a="1"/>
  <c r="J2560" i="10" s="1"/>
  <c r="J2559" i="10" a="1"/>
  <c r="J2559" i="10" s="1"/>
  <c r="J2558" i="10" a="1"/>
  <c r="J2558" i="10" s="1"/>
  <c r="J2557" i="10" a="1"/>
  <c r="J2557" i="10" s="1"/>
  <c r="J2556" i="10" a="1"/>
  <c r="J2556" i="10" s="1"/>
  <c r="J2555" i="10" a="1"/>
  <c r="J2555" i="10" s="1"/>
  <c r="J2554" i="10" a="1"/>
  <c r="J2554" i="10" s="1"/>
  <c r="J2553" i="10" a="1"/>
  <c r="J2553" i="10" s="1"/>
  <c r="J2552" i="10" a="1"/>
  <c r="J2552" i="10" s="1"/>
  <c r="J2551" i="10" a="1"/>
  <c r="J2551" i="10" s="1"/>
  <c r="J2550" i="10" a="1"/>
  <c r="J2550" i="10" s="1"/>
  <c r="J2549" i="10" a="1"/>
  <c r="J2549" i="10" s="1"/>
  <c r="J2548" i="10" a="1"/>
  <c r="J2548" i="10" s="1"/>
  <c r="J2547" i="10" a="1"/>
  <c r="J2547" i="10" s="1"/>
  <c r="J2546" i="10" a="1"/>
  <c r="J2546" i="10" s="1"/>
  <c r="J2545" i="10" a="1"/>
  <c r="J2545" i="10" s="1"/>
  <c r="J2544" i="10" a="1"/>
  <c r="J2544" i="10" s="1"/>
  <c r="J2543" i="10" a="1"/>
  <c r="J2543" i="10" s="1"/>
  <c r="J2542" i="10" a="1"/>
  <c r="J2542" i="10" s="1"/>
  <c r="J2541" i="10" a="1"/>
  <c r="J2541" i="10" s="1"/>
  <c r="J2540" i="10" a="1"/>
  <c r="J2540" i="10" s="1"/>
  <c r="J2539" i="10" a="1"/>
  <c r="J2539" i="10" s="1"/>
  <c r="J2538" i="10" a="1"/>
  <c r="J2538" i="10" s="1"/>
  <c r="J2537" i="10" a="1"/>
  <c r="J2537" i="10" s="1"/>
  <c r="J2536" i="10" a="1"/>
  <c r="J2536" i="10" s="1"/>
  <c r="J2535" i="10" a="1"/>
  <c r="J2535" i="10" s="1"/>
  <c r="J2534" i="10" a="1"/>
  <c r="J2534" i="10" s="1"/>
  <c r="J2533" i="10" a="1"/>
  <c r="J2533" i="10" s="1"/>
  <c r="J2532" i="10" a="1"/>
  <c r="J2532" i="10" s="1"/>
  <c r="J2531" i="10" a="1"/>
  <c r="J2531" i="10" s="1"/>
  <c r="J2530" i="10" a="1"/>
  <c r="J2530" i="10" s="1"/>
  <c r="J2529" i="10" a="1"/>
  <c r="J2529" i="10" s="1"/>
  <c r="J2528" i="10" a="1"/>
  <c r="J2528" i="10" s="1"/>
  <c r="J2527" i="10" a="1"/>
  <c r="J2527" i="10" s="1"/>
  <c r="J2526" i="10" a="1"/>
  <c r="J2526" i="10" s="1"/>
  <c r="J2525" i="10" a="1"/>
  <c r="J2525" i="10" s="1"/>
  <c r="J2524" i="10" a="1"/>
  <c r="J2524" i="10" s="1"/>
  <c r="J2523" i="10" a="1"/>
  <c r="J2523" i="10" s="1"/>
  <c r="J2522" i="10" a="1"/>
  <c r="J2522" i="10" s="1"/>
  <c r="J2521" i="10" a="1"/>
  <c r="J2521" i="10" s="1"/>
  <c r="J2520" i="10" a="1"/>
  <c r="J2520" i="10" s="1"/>
  <c r="J2519" i="10" a="1"/>
  <c r="J2519" i="10" s="1"/>
  <c r="J2518" i="10" a="1"/>
  <c r="J2518" i="10" s="1"/>
  <c r="J2517" i="10" a="1"/>
  <c r="J2517" i="10" s="1"/>
  <c r="J2516" i="10" a="1"/>
  <c r="J2516" i="10" s="1"/>
  <c r="J2515" i="10" a="1"/>
  <c r="J2515" i="10" s="1"/>
  <c r="J2514" i="10" a="1"/>
  <c r="J2514" i="10" s="1"/>
  <c r="J2513" i="10" a="1"/>
  <c r="J2513" i="10" s="1"/>
  <c r="J2512" i="10" a="1"/>
  <c r="J2512" i="10" s="1"/>
  <c r="J2511" i="10" a="1"/>
  <c r="J2511" i="10" s="1"/>
  <c r="J2510" i="10" a="1"/>
  <c r="J2510" i="10" s="1"/>
  <c r="J2509" i="10" a="1"/>
  <c r="J2509" i="10" s="1"/>
  <c r="J2508" i="10" a="1"/>
  <c r="J2508" i="10" s="1"/>
  <c r="J2507" i="10" a="1"/>
  <c r="J2507" i="10" s="1"/>
  <c r="J2506" i="10" a="1"/>
  <c r="J2506" i="10" s="1"/>
  <c r="J2505" i="10" a="1"/>
  <c r="J2505" i="10" s="1"/>
  <c r="J2504" i="10" a="1"/>
  <c r="J2504" i="10" s="1"/>
  <c r="J2503" i="10" a="1"/>
  <c r="J2503" i="10" s="1"/>
  <c r="J2502" i="10" a="1"/>
  <c r="J2502" i="10" s="1"/>
  <c r="J2501" i="10" a="1"/>
  <c r="J2501" i="10" s="1"/>
  <c r="J2500" i="10" a="1"/>
  <c r="J2500" i="10" s="1"/>
  <c r="J2499" i="10" a="1"/>
  <c r="J2499" i="10" s="1"/>
  <c r="J2498" i="10" a="1"/>
  <c r="J2498" i="10" s="1"/>
  <c r="J2497" i="10" a="1"/>
  <c r="J2497" i="10" s="1"/>
  <c r="J2496" i="10" a="1"/>
  <c r="J2496" i="10" s="1"/>
  <c r="J2495" i="10" a="1"/>
  <c r="J2495" i="10" s="1"/>
  <c r="J2494" i="10" a="1"/>
  <c r="J2494" i="10" s="1"/>
  <c r="J2493" i="10" a="1"/>
  <c r="J2493" i="10" s="1"/>
  <c r="J2492" i="10" a="1"/>
  <c r="J2492" i="10" s="1"/>
  <c r="J2491" i="10" a="1"/>
  <c r="J2491" i="10" s="1"/>
  <c r="J2490" i="10" a="1"/>
  <c r="J2490" i="10" s="1"/>
  <c r="J2489" i="10" a="1"/>
  <c r="J2489" i="10" s="1"/>
  <c r="J2488" i="10" a="1"/>
  <c r="J2488" i="10" s="1"/>
  <c r="J2487" i="10" a="1"/>
  <c r="J2487" i="10" s="1"/>
  <c r="J2486" i="10" a="1"/>
  <c r="J2486" i="10" s="1"/>
  <c r="J2485" i="10" a="1"/>
  <c r="J2485" i="10" s="1"/>
  <c r="J2484" i="10" a="1"/>
  <c r="J2484" i="10" s="1"/>
  <c r="J2483" i="10" a="1"/>
  <c r="J2483" i="10" s="1"/>
  <c r="J2482" i="10" a="1"/>
  <c r="J2482" i="10" s="1"/>
  <c r="J2481" i="10" a="1"/>
  <c r="J2481" i="10" s="1"/>
  <c r="J2480" i="10" a="1"/>
  <c r="J2480" i="10" s="1"/>
  <c r="J2479" i="10" a="1"/>
  <c r="J2479" i="10" s="1"/>
  <c r="J2478" i="10" a="1"/>
  <c r="J2478" i="10" s="1"/>
  <c r="J2477" i="10" a="1"/>
  <c r="J2477" i="10" s="1"/>
  <c r="J2476" i="10" a="1"/>
  <c r="J2476" i="10" s="1"/>
  <c r="J2475" i="10" a="1"/>
  <c r="J2475" i="10" s="1"/>
  <c r="J2474" i="10" a="1"/>
  <c r="J2474" i="10" s="1"/>
  <c r="J2473" i="10" a="1"/>
  <c r="J2473" i="10" s="1"/>
  <c r="J2472" i="10" a="1"/>
  <c r="J2472" i="10" s="1"/>
  <c r="J2471" i="10" a="1"/>
  <c r="J2471" i="10" s="1"/>
  <c r="J2470" i="10" a="1"/>
  <c r="J2470" i="10" s="1"/>
  <c r="J2469" i="10" a="1"/>
  <c r="J2469" i="10" s="1"/>
  <c r="J2468" i="10" a="1"/>
  <c r="J2468" i="10" s="1"/>
  <c r="J2467" i="10" a="1"/>
  <c r="J2467" i="10" s="1"/>
  <c r="J2466" i="10" a="1"/>
  <c r="J2466" i="10" s="1"/>
  <c r="J2465" i="10" a="1"/>
  <c r="J2465" i="10" s="1"/>
  <c r="J2464" i="10" a="1"/>
  <c r="J2464" i="10" s="1"/>
  <c r="J2463" i="10" a="1"/>
  <c r="J2463" i="10" s="1"/>
  <c r="J2462" i="10" a="1"/>
  <c r="J2462" i="10" s="1"/>
  <c r="J2461" i="10" a="1"/>
  <c r="J2461" i="10" s="1"/>
  <c r="J2460" i="10" a="1"/>
  <c r="J2460" i="10" s="1"/>
  <c r="J2459" i="10" a="1"/>
  <c r="J2459" i="10" s="1"/>
  <c r="J2458" i="10" a="1"/>
  <c r="J2458" i="10" s="1"/>
  <c r="J2457" i="10" a="1"/>
  <c r="J2457" i="10" s="1"/>
  <c r="J2456" i="10" a="1"/>
  <c r="J2456" i="10" s="1"/>
  <c r="J2455" i="10" a="1"/>
  <c r="J2455" i="10" s="1"/>
  <c r="J2454" i="10" a="1"/>
  <c r="J2454" i="10" s="1"/>
  <c r="J2453" i="10" a="1"/>
  <c r="J2453" i="10" s="1"/>
  <c r="J2452" i="10" a="1"/>
  <c r="J2452" i="10" s="1"/>
  <c r="J2451" i="10" a="1"/>
  <c r="J2451" i="10" s="1"/>
  <c r="J2450" i="10" a="1"/>
  <c r="J2450" i="10" s="1"/>
  <c r="J2449" i="10" a="1"/>
  <c r="J2449" i="10" s="1"/>
  <c r="J2448" i="10" a="1"/>
  <c r="J2448" i="10" s="1"/>
  <c r="J2447" i="10" a="1"/>
  <c r="J2447" i="10" s="1"/>
  <c r="J2446" i="10" a="1"/>
  <c r="J2446" i="10" s="1"/>
  <c r="J2445" i="10" a="1"/>
  <c r="J2445" i="10" s="1"/>
  <c r="J2444" i="10" a="1"/>
  <c r="J2444" i="10" s="1"/>
  <c r="J2443" i="10" a="1"/>
  <c r="J2443" i="10" s="1"/>
  <c r="J2442" i="10" a="1"/>
  <c r="J2442" i="10" s="1"/>
  <c r="J2441" i="10" a="1"/>
  <c r="J2441" i="10" s="1"/>
  <c r="J2440" i="10" a="1"/>
  <c r="J2440" i="10" s="1"/>
  <c r="J2439" i="10" a="1"/>
  <c r="J2439" i="10" s="1"/>
  <c r="J2438" i="10" a="1"/>
  <c r="J2438" i="10" s="1"/>
  <c r="J2437" i="10" a="1"/>
  <c r="J2437" i="10" s="1"/>
  <c r="J2436" i="10" a="1"/>
  <c r="J2436" i="10" s="1"/>
  <c r="J2435" i="10" a="1"/>
  <c r="J2435" i="10" s="1"/>
  <c r="J2434" i="10" a="1"/>
  <c r="J2434" i="10" s="1"/>
  <c r="J2433" i="10" a="1"/>
  <c r="J2433" i="10" s="1"/>
  <c r="J2432" i="10" a="1"/>
  <c r="J2432" i="10" s="1"/>
  <c r="J2431" i="10" a="1"/>
  <c r="J2431" i="10" s="1"/>
  <c r="J2430" i="10" a="1"/>
  <c r="J2430" i="10" s="1"/>
  <c r="J2429" i="10" a="1"/>
  <c r="J2429" i="10" s="1"/>
  <c r="J2428" i="10" a="1"/>
  <c r="J2428" i="10" s="1"/>
  <c r="J2427" i="10" a="1"/>
  <c r="J2427" i="10" s="1"/>
  <c r="J2426" i="10" a="1"/>
  <c r="J2426" i="10" s="1"/>
  <c r="J2425" i="10" a="1"/>
  <c r="J2425" i="10" s="1"/>
  <c r="J2424" i="10" a="1"/>
  <c r="J2424" i="10" s="1"/>
  <c r="J2423" i="10" a="1"/>
  <c r="J2423" i="10" s="1"/>
  <c r="J2422" i="10" a="1"/>
  <c r="J2422" i="10" s="1"/>
  <c r="J2421" i="10" a="1"/>
  <c r="J2421" i="10" s="1"/>
  <c r="J2420" i="10" a="1"/>
  <c r="J2420" i="10" s="1"/>
  <c r="J2419" i="10" a="1"/>
  <c r="J2419" i="10" s="1"/>
  <c r="J2418" i="10" a="1"/>
  <c r="J2418" i="10" s="1"/>
  <c r="J2417" i="10" a="1"/>
  <c r="J2417" i="10" s="1"/>
  <c r="J2416" i="10" a="1"/>
  <c r="J2416" i="10" s="1"/>
  <c r="J2415" i="10" a="1"/>
  <c r="J2415" i="10" s="1"/>
  <c r="J2414" i="10" a="1"/>
  <c r="J2414" i="10" s="1"/>
  <c r="J2413" i="10" a="1"/>
  <c r="J2413" i="10" s="1"/>
  <c r="J2412" i="10" a="1"/>
  <c r="J2412" i="10" s="1"/>
  <c r="J2411" i="10" a="1"/>
  <c r="J2411" i="10" s="1"/>
  <c r="J2410" i="10" a="1"/>
  <c r="J2410" i="10" s="1"/>
  <c r="J2409" i="10" a="1"/>
  <c r="J2409" i="10" s="1"/>
  <c r="J2408" i="10" a="1"/>
  <c r="J2408" i="10" s="1"/>
  <c r="J2407" i="10" a="1"/>
  <c r="J2407" i="10" s="1"/>
  <c r="J2406" i="10" a="1"/>
  <c r="J2406" i="10" s="1"/>
  <c r="J2405" i="10" a="1"/>
  <c r="J2405" i="10" s="1"/>
  <c r="J2404" i="10" a="1"/>
  <c r="J2404" i="10" s="1"/>
  <c r="J2403" i="10" a="1"/>
  <c r="J2403" i="10" s="1"/>
  <c r="J2402" i="10" a="1"/>
  <c r="J2402" i="10" s="1"/>
  <c r="J2401" i="10" a="1"/>
  <c r="J2401" i="10" s="1"/>
  <c r="J2400" i="10" a="1"/>
  <c r="J2400" i="10" s="1"/>
  <c r="J2399" i="10" a="1"/>
  <c r="J2399" i="10" s="1"/>
  <c r="J2398" i="10" a="1"/>
  <c r="J2398" i="10" s="1"/>
  <c r="J2397" i="10" a="1"/>
  <c r="J2397" i="10" s="1"/>
  <c r="J2396" i="10" a="1"/>
  <c r="J2396" i="10" s="1"/>
  <c r="J2395" i="10" a="1"/>
  <c r="J2395" i="10" s="1"/>
  <c r="J2394" i="10" a="1"/>
  <c r="J2394" i="10" s="1"/>
  <c r="J2393" i="10" a="1"/>
  <c r="J2393" i="10" s="1"/>
  <c r="J2392" i="10" a="1"/>
  <c r="J2392" i="10" s="1"/>
  <c r="J2391" i="10" a="1"/>
  <c r="J2391" i="10" s="1"/>
  <c r="J2390" i="10" a="1"/>
  <c r="J2390" i="10" s="1"/>
  <c r="J2389" i="10" a="1"/>
  <c r="J2389" i="10" s="1"/>
  <c r="J2388" i="10" a="1"/>
  <c r="J2388" i="10" s="1"/>
  <c r="J2387" i="10" a="1"/>
  <c r="J2387" i="10" s="1"/>
  <c r="J2386" i="10" a="1"/>
  <c r="J2386" i="10" s="1"/>
  <c r="J2385" i="10" a="1"/>
  <c r="J2385" i="10" s="1"/>
  <c r="J2384" i="10" a="1"/>
  <c r="J2384" i="10" s="1"/>
  <c r="J2383" i="10" a="1"/>
  <c r="J2383" i="10" s="1"/>
  <c r="J2382" i="10" a="1"/>
  <c r="J2382" i="10" s="1"/>
  <c r="J2381" i="10" a="1"/>
  <c r="J2381" i="10" s="1"/>
  <c r="J2380" i="10" a="1"/>
  <c r="J2380" i="10" s="1"/>
  <c r="J2379" i="10" a="1"/>
  <c r="J2379" i="10" s="1"/>
  <c r="J2378" i="10" a="1"/>
  <c r="J2378" i="10" s="1"/>
  <c r="J2377" i="10" a="1"/>
  <c r="J2377" i="10" s="1"/>
  <c r="J2376" i="10" a="1"/>
  <c r="J2376" i="10" s="1"/>
  <c r="J2375" i="10" a="1"/>
  <c r="J2375" i="10" s="1"/>
  <c r="J2374" i="10" a="1"/>
  <c r="J2374" i="10" s="1"/>
  <c r="J2373" i="10" a="1"/>
  <c r="J2373" i="10" s="1"/>
  <c r="J2372" i="10" a="1"/>
  <c r="J2372" i="10" s="1"/>
  <c r="J2371" i="10" a="1"/>
  <c r="J2371" i="10" s="1"/>
  <c r="J2370" i="10" a="1"/>
  <c r="J2370" i="10" s="1"/>
  <c r="J2369" i="10" a="1"/>
  <c r="J2369" i="10" s="1"/>
  <c r="J2368" i="10" a="1"/>
  <c r="J2368" i="10" s="1"/>
  <c r="J2367" i="10" a="1"/>
  <c r="J2367" i="10" s="1"/>
  <c r="J2366" i="10" a="1"/>
  <c r="J2366" i="10" s="1"/>
  <c r="J2365" i="10" a="1"/>
  <c r="J2365" i="10" s="1"/>
  <c r="J2364" i="10" a="1"/>
  <c r="J2364" i="10" s="1"/>
  <c r="J2363" i="10" a="1"/>
  <c r="J2363" i="10" s="1"/>
  <c r="J2362" i="10" a="1"/>
  <c r="J2362" i="10" s="1"/>
  <c r="J2361" i="10" a="1"/>
  <c r="J2361" i="10" s="1"/>
  <c r="J2360" i="10" a="1"/>
  <c r="J2360" i="10" s="1"/>
  <c r="J2359" i="10" a="1"/>
  <c r="J2359" i="10" s="1"/>
  <c r="J2358" i="10" a="1"/>
  <c r="J2358" i="10" s="1"/>
  <c r="J2357" i="10" a="1"/>
  <c r="J2357" i="10" s="1"/>
  <c r="J2356" i="10" a="1"/>
  <c r="J2356" i="10" s="1"/>
  <c r="J2355" i="10" a="1"/>
  <c r="J2355" i="10" s="1"/>
  <c r="J2354" i="10" a="1"/>
  <c r="J2354" i="10" s="1"/>
  <c r="J2353" i="10" a="1"/>
  <c r="J2353" i="10" s="1"/>
  <c r="J2352" i="10" a="1"/>
  <c r="J2352" i="10" s="1"/>
  <c r="J2351" i="10" a="1"/>
  <c r="J2351" i="10" s="1"/>
  <c r="J2350" i="10" a="1"/>
  <c r="J2350" i="10" s="1"/>
  <c r="J2349" i="10" a="1"/>
  <c r="J2349" i="10" s="1"/>
  <c r="J2348" i="10" a="1"/>
  <c r="J2348" i="10" s="1"/>
  <c r="J2347" i="10" a="1"/>
  <c r="J2347" i="10" s="1"/>
  <c r="J2346" i="10" a="1"/>
  <c r="J2346" i="10" s="1"/>
  <c r="J2345" i="10" a="1"/>
  <c r="J2345" i="10" s="1"/>
  <c r="J2344" i="10" a="1"/>
  <c r="J2344" i="10" s="1"/>
  <c r="J2343" i="10" a="1"/>
  <c r="J2343" i="10" s="1"/>
  <c r="J2342" i="10" a="1"/>
  <c r="J2342" i="10" s="1"/>
  <c r="J2341" i="10" a="1"/>
  <c r="J2341" i="10" s="1"/>
  <c r="J2340" i="10" a="1"/>
  <c r="J2340" i="10" s="1"/>
  <c r="J2339" i="10" a="1"/>
  <c r="J2339" i="10" s="1"/>
  <c r="J2338" i="10" a="1"/>
  <c r="J2338" i="10" s="1"/>
  <c r="J2337" i="10" a="1"/>
  <c r="J2337" i="10" s="1"/>
  <c r="J2336" i="10" a="1"/>
  <c r="J2336" i="10" s="1"/>
  <c r="J2335" i="10" a="1"/>
  <c r="J2335" i="10" s="1"/>
  <c r="J2334" i="10" a="1"/>
  <c r="J2334" i="10" s="1"/>
  <c r="J2333" i="10" a="1"/>
  <c r="J2333" i="10" s="1"/>
  <c r="J2332" i="10" a="1"/>
  <c r="J2332" i="10" s="1"/>
  <c r="J2331" i="10" a="1"/>
  <c r="J2331" i="10" s="1"/>
  <c r="J2330" i="10" a="1"/>
  <c r="J2330" i="10" s="1"/>
  <c r="J2329" i="10" a="1"/>
  <c r="J2329" i="10" s="1"/>
  <c r="J2328" i="10" a="1"/>
  <c r="J2328" i="10" s="1"/>
  <c r="J2327" i="10" a="1"/>
  <c r="J2327" i="10" s="1"/>
  <c r="J2326" i="10" a="1"/>
  <c r="J2326" i="10" s="1"/>
  <c r="J2325" i="10" a="1"/>
  <c r="J2325" i="10" s="1"/>
  <c r="J2324" i="10" a="1"/>
  <c r="J2324" i="10" s="1"/>
  <c r="J2323" i="10" a="1"/>
  <c r="J2323" i="10" s="1"/>
  <c r="J2322" i="10" a="1"/>
  <c r="J2322" i="10" s="1"/>
  <c r="J2321" i="10" a="1"/>
  <c r="J2321" i="10" s="1"/>
  <c r="J2320" i="10" a="1"/>
  <c r="J2320" i="10" s="1"/>
  <c r="J2319" i="10" a="1"/>
  <c r="J2319" i="10" s="1"/>
  <c r="J2318" i="10" a="1"/>
  <c r="J2318" i="10" s="1"/>
  <c r="J2317" i="10" a="1"/>
  <c r="J2317" i="10" s="1"/>
  <c r="J2316" i="10" a="1"/>
  <c r="J2316" i="10" s="1"/>
  <c r="J2315" i="10" a="1"/>
  <c r="J2315" i="10" s="1"/>
  <c r="J2314" i="10" a="1"/>
  <c r="J2314" i="10" s="1"/>
  <c r="J2313" i="10" a="1"/>
  <c r="J2313" i="10" s="1"/>
  <c r="J2312" i="10" a="1"/>
  <c r="J2312" i="10" s="1"/>
  <c r="J2311" i="10" a="1"/>
  <c r="J2311" i="10" s="1"/>
  <c r="J2310" i="10" a="1"/>
  <c r="J2310" i="10" s="1"/>
  <c r="J2309" i="10" a="1"/>
  <c r="J2309" i="10" s="1"/>
  <c r="J2308" i="10" a="1"/>
  <c r="J2308" i="10" s="1"/>
  <c r="J2307" i="10" a="1"/>
  <c r="J2307" i="10" s="1"/>
  <c r="J2306" i="10" a="1"/>
  <c r="J2306" i="10" s="1"/>
  <c r="J2305" i="10" a="1"/>
  <c r="J2305" i="10" s="1"/>
  <c r="J2304" i="10" a="1"/>
  <c r="J2304" i="10" s="1"/>
  <c r="J2303" i="10" a="1"/>
  <c r="J2303" i="10" s="1"/>
  <c r="J2302" i="10" a="1"/>
  <c r="J2302" i="10" s="1"/>
  <c r="J2301" i="10" a="1"/>
  <c r="J2301" i="10" s="1"/>
  <c r="J2300" i="10" a="1"/>
  <c r="J2300" i="10" s="1"/>
  <c r="J2299" i="10" a="1"/>
  <c r="J2299" i="10" s="1"/>
  <c r="J2298" i="10" a="1"/>
  <c r="J2298" i="10" s="1"/>
  <c r="J2297" i="10" a="1"/>
  <c r="J2297" i="10" s="1"/>
  <c r="J2296" i="10" a="1"/>
  <c r="J2296" i="10" s="1"/>
  <c r="J2295" i="10" a="1"/>
  <c r="J2295" i="10" s="1"/>
  <c r="J2294" i="10" a="1"/>
  <c r="J2294" i="10" s="1"/>
  <c r="J2293" i="10" a="1"/>
  <c r="J2293" i="10" s="1"/>
  <c r="J2292" i="10" a="1"/>
  <c r="J2292" i="10" s="1"/>
  <c r="J2291" i="10" a="1"/>
  <c r="J2291" i="10" s="1"/>
  <c r="J2290" i="10" a="1"/>
  <c r="J2290" i="10" s="1"/>
  <c r="J2289" i="10" a="1"/>
  <c r="J2289" i="10" s="1"/>
  <c r="J2288" i="10" a="1"/>
  <c r="J2288" i="10" s="1"/>
  <c r="J2287" i="10" a="1"/>
  <c r="J2287" i="10" s="1"/>
  <c r="J2286" i="10" a="1"/>
  <c r="J2286" i="10" s="1"/>
  <c r="J2285" i="10" a="1"/>
  <c r="J2285" i="10" s="1"/>
  <c r="J2284" i="10" a="1"/>
  <c r="J2284" i="10" s="1"/>
  <c r="J2283" i="10" a="1"/>
  <c r="J2283" i="10" s="1"/>
  <c r="J2282" i="10" a="1"/>
  <c r="J2282" i="10" s="1"/>
  <c r="J2281" i="10" a="1"/>
  <c r="J2281" i="10" s="1"/>
  <c r="J2280" i="10" a="1"/>
  <c r="J2280" i="10" s="1"/>
  <c r="J2279" i="10" a="1"/>
  <c r="J2279" i="10" s="1"/>
  <c r="J2278" i="10" a="1"/>
  <c r="J2278" i="10" s="1"/>
  <c r="J2277" i="10" a="1"/>
  <c r="J2277" i="10" s="1"/>
  <c r="J2276" i="10" a="1"/>
  <c r="J2276" i="10" s="1"/>
  <c r="J2275" i="10" a="1"/>
  <c r="J2275" i="10" s="1"/>
  <c r="J2274" i="10" a="1"/>
  <c r="J2274" i="10" s="1"/>
  <c r="J2273" i="10" a="1"/>
  <c r="J2273" i="10" s="1"/>
  <c r="J2272" i="10" a="1"/>
  <c r="J2272" i="10" s="1"/>
  <c r="J2271" i="10" a="1"/>
  <c r="J2271" i="10" s="1"/>
  <c r="J2270" i="10" a="1"/>
  <c r="J2270" i="10" s="1"/>
  <c r="J2269" i="10" a="1"/>
  <c r="J2269" i="10" s="1"/>
  <c r="J2268" i="10" a="1"/>
  <c r="J2268" i="10" s="1"/>
  <c r="J2267" i="10" a="1"/>
  <c r="J2267" i="10" s="1"/>
  <c r="J2266" i="10" a="1"/>
  <c r="J2266" i="10" s="1"/>
  <c r="J2265" i="10" a="1"/>
  <c r="J2265" i="10" s="1"/>
  <c r="J2264" i="10" a="1"/>
  <c r="J2264" i="10" s="1"/>
  <c r="J2263" i="10" a="1"/>
  <c r="J2263" i="10" s="1"/>
  <c r="J2262" i="10" a="1"/>
  <c r="J2262" i="10" s="1"/>
  <c r="J2261" i="10" a="1"/>
  <c r="J2261" i="10" s="1"/>
  <c r="J2260" i="10" a="1"/>
  <c r="J2260" i="10" s="1"/>
  <c r="J2259" i="10" a="1"/>
  <c r="J2259" i="10" s="1"/>
  <c r="J2258" i="10" a="1"/>
  <c r="J2258" i="10" s="1"/>
  <c r="J2257" i="10" a="1"/>
  <c r="J2257" i="10" s="1"/>
  <c r="J2256" i="10" a="1"/>
  <c r="J2256" i="10" s="1"/>
  <c r="J2255" i="10" a="1"/>
  <c r="J2255" i="10" s="1"/>
  <c r="J2254" i="10" a="1"/>
  <c r="J2254" i="10" s="1"/>
  <c r="J2253" i="10" a="1"/>
  <c r="J2253" i="10" s="1"/>
  <c r="J2252" i="10" a="1"/>
  <c r="J2252" i="10" s="1"/>
  <c r="J2251" i="10" a="1"/>
  <c r="J2251" i="10" s="1"/>
  <c r="J2250" i="10" a="1"/>
  <c r="J2250" i="10" s="1"/>
  <c r="J2249" i="10" a="1"/>
  <c r="J2249" i="10" s="1"/>
  <c r="J2248" i="10" a="1"/>
  <c r="J2248" i="10" s="1"/>
  <c r="J2247" i="10" a="1"/>
  <c r="J2247" i="10" s="1"/>
  <c r="J2246" i="10" a="1"/>
  <c r="J2246" i="10" s="1"/>
  <c r="J2245" i="10" a="1"/>
  <c r="J2245" i="10" s="1"/>
  <c r="J2244" i="10" a="1"/>
  <c r="J2244" i="10" s="1"/>
  <c r="J2243" i="10" a="1"/>
  <c r="J2243" i="10" s="1"/>
  <c r="J2242" i="10" a="1"/>
  <c r="J2242" i="10" s="1"/>
  <c r="J2241" i="10" a="1"/>
  <c r="J2241" i="10" s="1"/>
  <c r="J2240" i="10" a="1"/>
  <c r="J2240" i="10" s="1"/>
  <c r="J2239" i="10" a="1"/>
  <c r="J2239" i="10" s="1"/>
  <c r="J2238" i="10" a="1"/>
  <c r="J2238" i="10" s="1"/>
  <c r="J2237" i="10" a="1"/>
  <c r="J2237" i="10" s="1"/>
  <c r="J2236" i="10" a="1"/>
  <c r="J2236" i="10" s="1"/>
  <c r="J2235" i="10" a="1"/>
  <c r="J2235" i="10" s="1"/>
  <c r="J2234" i="10" a="1"/>
  <c r="J2234" i="10" s="1"/>
  <c r="J2233" i="10" a="1"/>
  <c r="J2233" i="10" s="1"/>
  <c r="J2232" i="10" a="1"/>
  <c r="J2232" i="10" s="1"/>
  <c r="J2231" i="10" a="1"/>
  <c r="J2231" i="10" s="1"/>
  <c r="J2230" i="10" a="1"/>
  <c r="J2230" i="10" s="1"/>
  <c r="J2229" i="10" a="1"/>
  <c r="J2229" i="10" s="1"/>
  <c r="J2228" i="10" a="1"/>
  <c r="J2228" i="10" s="1"/>
  <c r="J2227" i="10" a="1"/>
  <c r="J2227" i="10" s="1"/>
  <c r="J2226" i="10" a="1"/>
  <c r="J2226" i="10" s="1"/>
  <c r="J2225" i="10" a="1"/>
  <c r="J2225" i="10" s="1"/>
  <c r="J2224" i="10" a="1"/>
  <c r="J2224" i="10" s="1"/>
  <c r="J2223" i="10" a="1"/>
  <c r="J2223" i="10" s="1"/>
  <c r="J2222" i="10" a="1"/>
  <c r="J2222" i="10" s="1"/>
  <c r="J2221" i="10" a="1"/>
  <c r="J2221" i="10" s="1"/>
  <c r="J2220" i="10" a="1"/>
  <c r="J2220" i="10" s="1"/>
  <c r="J2219" i="10" a="1"/>
  <c r="J2219" i="10" s="1"/>
  <c r="J2218" i="10" a="1"/>
  <c r="J2218" i="10" s="1"/>
  <c r="J2217" i="10" a="1"/>
  <c r="J2217" i="10" s="1"/>
  <c r="J2216" i="10" a="1"/>
  <c r="J2216" i="10" s="1"/>
  <c r="J2215" i="10" a="1"/>
  <c r="J2215" i="10" s="1"/>
  <c r="J2214" i="10" a="1"/>
  <c r="J2214" i="10" s="1"/>
  <c r="J2213" i="10" a="1"/>
  <c r="J2213" i="10" s="1"/>
  <c r="J2212" i="10" a="1"/>
  <c r="J2212" i="10" s="1"/>
  <c r="J2211" i="10" a="1"/>
  <c r="J2211" i="10" s="1"/>
  <c r="J2210" i="10" a="1"/>
  <c r="J2210" i="10" s="1"/>
  <c r="J2209" i="10" a="1"/>
  <c r="J2209" i="10" s="1"/>
  <c r="J2208" i="10" a="1"/>
  <c r="J2208" i="10" s="1"/>
  <c r="J2207" i="10" a="1"/>
  <c r="J2207" i="10" s="1"/>
  <c r="J2206" i="10" a="1"/>
  <c r="J2206" i="10" s="1"/>
  <c r="J2205" i="10" a="1"/>
  <c r="J2205" i="10" s="1"/>
  <c r="J2204" i="10" a="1"/>
  <c r="J2204" i="10" s="1"/>
  <c r="J2203" i="10" a="1"/>
  <c r="J2203" i="10" s="1"/>
  <c r="J2202" i="10" a="1"/>
  <c r="J2202" i="10" s="1"/>
  <c r="J2201" i="10" a="1"/>
  <c r="J2201" i="10" s="1"/>
  <c r="J2200" i="10" a="1"/>
  <c r="J2200" i="10" s="1"/>
  <c r="J2199" i="10" a="1"/>
  <c r="J2199" i="10" s="1"/>
  <c r="J2198" i="10" a="1"/>
  <c r="J2198" i="10" s="1"/>
  <c r="J2197" i="10" a="1"/>
  <c r="J2197" i="10" s="1"/>
  <c r="J2196" i="10" a="1"/>
  <c r="J2196" i="10" s="1"/>
  <c r="J2195" i="10" a="1"/>
  <c r="J2195" i="10" s="1"/>
  <c r="J2194" i="10" a="1"/>
  <c r="J2194" i="10" s="1"/>
  <c r="J2193" i="10" a="1"/>
  <c r="J2193" i="10" s="1"/>
  <c r="J2192" i="10" a="1"/>
  <c r="J2192" i="10" s="1"/>
  <c r="J2191" i="10" a="1"/>
  <c r="J2191" i="10" s="1"/>
  <c r="J2190" i="10" a="1"/>
  <c r="J2190" i="10" s="1"/>
  <c r="J2189" i="10" a="1"/>
  <c r="J2189" i="10" s="1"/>
  <c r="J2188" i="10" a="1"/>
  <c r="J2188" i="10" s="1"/>
  <c r="J2187" i="10" a="1"/>
  <c r="J2187" i="10" s="1"/>
  <c r="J2186" i="10" a="1"/>
  <c r="J2186" i="10" s="1"/>
  <c r="J2185" i="10" a="1"/>
  <c r="J2185" i="10" s="1"/>
  <c r="J2184" i="10" a="1"/>
  <c r="J2184" i="10" s="1"/>
  <c r="J2183" i="10" a="1"/>
  <c r="J2183" i="10" s="1"/>
  <c r="J2182" i="10" a="1"/>
  <c r="J2182" i="10" s="1"/>
  <c r="J2181" i="10" a="1"/>
  <c r="J2181" i="10" s="1"/>
  <c r="J2180" i="10" a="1"/>
  <c r="J2180" i="10" s="1"/>
  <c r="J2179" i="10" a="1"/>
  <c r="J2179" i="10" s="1"/>
  <c r="J2178" i="10" a="1"/>
  <c r="J2178" i="10" s="1"/>
  <c r="J2177" i="10" a="1"/>
  <c r="J2177" i="10" s="1"/>
  <c r="J2176" i="10" a="1"/>
  <c r="J2176" i="10" s="1"/>
  <c r="J2175" i="10" a="1"/>
  <c r="J2175" i="10" s="1"/>
  <c r="J2174" i="10" a="1"/>
  <c r="J2174" i="10" s="1"/>
  <c r="J2173" i="10" a="1"/>
  <c r="J2173" i="10" s="1"/>
  <c r="J2172" i="10" a="1"/>
  <c r="J2172" i="10" s="1"/>
  <c r="J2171" i="10" a="1"/>
  <c r="J2171" i="10" s="1"/>
  <c r="J2170" i="10" a="1"/>
  <c r="J2170" i="10" s="1"/>
  <c r="J2169" i="10" a="1"/>
  <c r="J2169" i="10" s="1"/>
  <c r="J2168" i="10" a="1"/>
  <c r="J2168" i="10" s="1"/>
  <c r="J2167" i="10" a="1"/>
  <c r="J2167" i="10" s="1"/>
  <c r="J2166" i="10" a="1"/>
  <c r="J2166" i="10" s="1"/>
  <c r="J2165" i="10" a="1"/>
  <c r="J2165" i="10" s="1"/>
  <c r="J2164" i="10" a="1"/>
  <c r="J2164" i="10" s="1"/>
  <c r="J2163" i="10" a="1"/>
  <c r="J2163" i="10" s="1"/>
  <c r="J2162" i="10" a="1"/>
  <c r="J2162" i="10" s="1"/>
  <c r="J2161" i="10" a="1"/>
  <c r="J2161" i="10" s="1"/>
  <c r="J2160" i="10" a="1"/>
  <c r="J2160" i="10" s="1"/>
  <c r="J2159" i="10" a="1"/>
  <c r="J2159" i="10" s="1"/>
  <c r="J2158" i="10" a="1"/>
  <c r="J2158" i="10" s="1"/>
  <c r="J2157" i="10" a="1"/>
  <c r="J2157" i="10" s="1"/>
  <c r="J2156" i="10" a="1"/>
  <c r="J2156" i="10" s="1"/>
  <c r="J2155" i="10" a="1"/>
  <c r="J2155" i="10" s="1"/>
  <c r="J2154" i="10" a="1"/>
  <c r="J2154" i="10" s="1"/>
  <c r="J2153" i="10" a="1"/>
  <c r="J2153" i="10" s="1"/>
  <c r="J2152" i="10" a="1"/>
  <c r="J2152" i="10" s="1"/>
  <c r="J2151" i="10" a="1"/>
  <c r="J2151" i="10" s="1"/>
  <c r="J2150" i="10" a="1"/>
  <c r="J2150" i="10" s="1"/>
  <c r="J2149" i="10" a="1"/>
  <c r="J2149" i="10" s="1"/>
  <c r="J2148" i="10" a="1"/>
  <c r="J2148" i="10" s="1"/>
  <c r="J2147" i="10" a="1"/>
  <c r="J2147" i="10" s="1"/>
  <c r="J2146" i="10" a="1"/>
  <c r="J2146" i="10" s="1"/>
  <c r="J2145" i="10" a="1"/>
  <c r="J2145" i="10" s="1"/>
  <c r="J2144" i="10" a="1"/>
  <c r="J2144" i="10" s="1"/>
  <c r="J2143" i="10" a="1"/>
  <c r="J2143" i="10" s="1"/>
  <c r="J2142" i="10" a="1"/>
  <c r="J2142" i="10" s="1"/>
  <c r="J2141" i="10" a="1"/>
  <c r="J2141" i="10" s="1"/>
  <c r="J2140" i="10" a="1"/>
  <c r="J2140" i="10" s="1"/>
  <c r="J2139" i="10" a="1"/>
  <c r="J2139" i="10" s="1"/>
  <c r="J2138" i="10" a="1"/>
  <c r="J2138" i="10" s="1"/>
  <c r="J2137" i="10" a="1"/>
  <c r="J2137" i="10" s="1"/>
  <c r="J2136" i="10" a="1"/>
  <c r="J2136" i="10" s="1"/>
  <c r="J2135" i="10" a="1"/>
  <c r="J2135" i="10" s="1"/>
  <c r="J2134" i="10" a="1"/>
  <c r="J2134" i="10" s="1"/>
  <c r="J2133" i="10" a="1"/>
  <c r="J2133" i="10" s="1"/>
  <c r="J2132" i="10" a="1"/>
  <c r="J2132" i="10" s="1"/>
  <c r="J2131" i="10" a="1"/>
  <c r="J2131" i="10" s="1"/>
  <c r="J2130" i="10" a="1"/>
  <c r="J2130" i="10" s="1"/>
  <c r="J2129" i="10" a="1"/>
  <c r="J2129" i="10" s="1"/>
  <c r="J2128" i="10" a="1"/>
  <c r="J2128" i="10" s="1"/>
  <c r="J2127" i="10" a="1"/>
  <c r="J2127" i="10" s="1"/>
  <c r="J2126" i="10" a="1"/>
  <c r="J2126" i="10" s="1"/>
  <c r="J2125" i="10" a="1"/>
  <c r="J2125" i="10" s="1"/>
  <c r="J2124" i="10" a="1"/>
  <c r="J2124" i="10" s="1"/>
  <c r="J2123" i="10" a="1"/>
  <c r="J2123" i="10" s="1"/>
  <c r="J2122" i="10" a="1"/>
  <c r="J2122" i="10" s="1"/>
  <c r="J2121" i="10" a="1"/>
  <c r="J2121" i="10" s="1"/>
  <c r="J2120" i="10" a="1"/>
  <c r="J2120" i="10" s="1"/>
  <c r="J2119" i="10" a="1"/>
  <c r="J2119" i="10" s="1"/>
  <c r="J2118" i="10" a="1"/>
  <c r="J2118" i="10" s="1"/>
  <c r="J2117" i="10" a="1"/>
  <c r="J2117" i="10" s="1"/>
  <c r="J2116" i="10" a="1"/>
  <c r="J2116" i="10" s="1"/>
  <c r="J2115" i="10" a="1"/>
  <c r="J2115" i="10" s="1"/>
  <c r="J2114" i="10" a="1"/>
  <c r="J2114" i="10" s="1"/>
  <c r="J2113" i="10" a="1"/>
  <c r="J2113" i="10" s="1"/>
  <c r="J2112" i="10" a="1"/>
  <c r="J2112" i="10" s="1"/>
  <c r="J2111" i="10" a="1"/>
  <c r="J2111" i="10" s="1"/>
  <c r="J2110" i="10" a="1"/>
  <c r="J2110" i="10" s="1"/>
  <c r="J2109" i="10" a="1"/>
  <c r="J2109" i="10" s="1"/>
  <c r="J2108" i="10" a="1"/>
  <c r="J2108" i="10" s="1"/>
  <c r="J2107" i="10" a="1"/>
  <c r="J2107" i="10" s="1"/>
  <c r="J2106" i="10" a="1"/>
  <c r="J2106" i="10" s="1"/>
  <c r="J2105" i="10" a="1"/>
  <c r="J2105" i="10" s="1"/>
  <c r="J2104" i="10" a="1"/>
  <c r="J2104" i="10" s="1"/>
  <c r="J2103" i="10" a="1"/>
  <c r="J2103" i="10" s="1"/>
  <c r="J2102" i="10" a="1"/>
  <c r="J2102" i="10" s="1"/>
  <c r="J2101" i="10" a="1"/>
  <c r="J2101" i="10" s="1"/>
  <c r="J2100" i="10" a="1"/>
  <c r="J2100" i="10" s="1"/>
  <c r="J2099" i="10" a="1"/>
  <c r="J2099" i="10" s="1"/>
  <c r="J2098" i="10" a="1"/>
  <c r="J2098" i="10" s="1"/>
  <c r="J2097" i="10" a="1"/>
  <c r="J2097" i="10" s="1"/>
  <c r="J2096" i="10" a="1"/>
  <c r="J2096" i="10" s="1"/>
  <c r="J2095" i="10" a="1"/>
  <c r="J2095" i="10" s="1"/>
  <c r="J2094" i="10" a="1"/>
  <c r="J2094" i="10" s="1"/>
  <c r="J2093" i="10" a="1"/>
  <c r="J2093" i="10" s="1"/>
  <c r="J2092" i="10" a="1"/>
  <c r="J2092" i="10" s="1"/>
  <c r="J2091" i="10" a="1"/>
  <c r="J2091" i="10" s="1"/>
  <c r="J2090" i="10" a="1"/>
  <c r="J2090" i="10" s="1"/>
  <c r="J2089" i="10" a="1"/>
  <c r="J2089" i="10" s="1"/>
  <c r="J2088" i="10" a="1"/>
  <c r="J2088" i="10" s="1"/>
  <c r="J2087" i="10" a="1"/>
  <c r="J2087" i="10" s="1"/>
  <c r="J2086" i="10" a="1"/>
  <c r="J2086" i="10" s="1"/>
  <c r="J2085" i="10" a="1"/>
  <c r="J2085" i="10" s="1"/>
  <c r="J2084" i="10" a="1"/>
  <c r="J2084" i="10" s="1"/>
  <c r="J2083" i="10" a="1"/>
  <c r="J2083" i="10" s="1"/>
  <c r="J2082" i="10" a="1"/>
  <c r="J2082" i="10" s="1"/>
  <c r="J2081" i="10" a="1"/>
  <c r="J2081" i="10" s="1"/>
  <c r="J2080" i="10" a="1"/>
  <c r="J2080" i="10" s="1"/>
  <c r="J2079" i="10" a="1"/>
  <c r="J2079" i="10" s="1"/>
  <c r="J2078" i="10" a="1"/>
  <c r="J2078" i="10" s="1"/>
  <c r="J2077" i="10" a="1"/>
  <c r="J2077" i="10" s="1"/>
  <c r="J2076" i="10" a="1"/>
  <c r="J2076" i="10" s="1"/>
  <c r="J2075" i="10" a="1"/>
  <c r="J2075" i="10" s="1"/>
  <c r="J2074" i="10" a="1"/>
  <c r="J2074" i="10" s="1"/>
  <c r="J2073" i="10" a="1"/>
  <c r="J2073" i="10" s="1"/>
  <c r="J2072" i="10" a="1"/>
  <c r="J2072" i="10" s="1"/>
  <c r="J2071" i="10" a="1"/>
  <c r="J2071" i="10" s="1"/>
  <c r="J2070" i="10" a="1"/>
  <c r="J2070" i="10" s="1"/>
  <c r="J2069" i="10" a="1"/>
  <c r="J2069" i="10" s="1"/>
  <c r="J2068" i="10" a="1"/>
  <c r="J2068" i="10" s="1"/>
  <c r="J2067" i="10" a="1"/>
  <c r="J2067" i="10" s="1"/>
  <c r="J2066" i="10" a="1"/>
  <c r="J2066" i="10" s="1"/>
  <c r="J2065" i="10" a="1"/>
  <c r="J2065" i="10" s="1"/>
  <c r="J2064" i="10" a="1"/>
  <c r="J2064" i="10" s="1"/>
  <c r="J2063" i="10" a="1"/>
  <c r="J2063" i="10" s="1"/>
  <c r="J2062" i="10" a="1"/>
  <c r="J2062" i="10" s="1"/>
  <c r="J2061" i="10" a="1"/>
  <c r="J2061" i="10" s="1"/>
  <c r="J2060" i="10" a="1"/>
  <c r="J2060" i="10" s="1"/>
  <c r="J2059" i="10" a="1"/>
  <c r="J2059" i="10" s="1"/>
  <c r="J2058" i="10" a="1"/>
  <c r="J2058" i="10" s="1"/>
  <c r="J2057" i="10" a="1"/>
  <c r="J2057" i="10" s="1"/>
  <c r="J2056" i="10" a="1"/>
  <c r="J2056" i="10" s="1"/>
  <c r="J2055" i="10" a="1"/>
  <c r="J2055" i="10" s="1"/>
  <c r="J2054" i="10" a="1"/>
  <c r="J2054" i="10" s="1"/>
  <c r="J2053" i="10" a="1"/>
  <c r="J2053" i="10" s="1"/>
  <c r="J2052" i="10" a="1"/>
  <c r="J2052" i="10" s="1"/>
  <c r="J2051" i="10" a="1"/>
  <c r="J2051" i="10" s="1"/>
  <c r="J2050" i="10" a="1"/>
  <c r="J2050" i="10" s="1"/>
  <c r="J2049" i="10" a="1"/>
  <c r="J2049" i="10" s="1"/>
  <c r="J2048" i="10" a="1"/>
  <c r="J2048" i="10" s="1"/>
  <c r="J2047" i="10" a="1"/>
  <c r="J2047" i="10" s="1"/>
  <c r="J2046" i="10" a="1"/>
  <c r="J2046" i="10" s="1"/>
  <c r="J2045" i="10" a="1"/>
  <c r="J2045" i="10" s="1"/>
  <c r="J2044" i="10" a="1"/>
  <c r="J2044" i="10" s="1"/>
  <c r="J2043" i="10" a="1"/>
  <c r="J2043" i="10" s="1"/>
  <c r="J2042" i="10" a="1"/>
  <c r="J2042" i="10" s="1"/>
  <c r="J2041" i="10" a="1"/>
  <c r="J2041" i="10" s="1"/>
  <c r="J2040" i="10" a="1"/>
  <c r="J2040" i="10" s="1"/>
  <c r="J2039" i="10" a="1"/>
  <c r="J2039" i="10" s="1"/>
  <c r="J2038" i="10" a="1"/>
  <c r="J2038" i="10" s="1"/>
  <c r="J2037" i="10" a="1"/>
  <c r="J2037" i="10" s="1"/>
  <c r="J2036" i="10" a="1"/>
  <c r="J2036" i="10" s="1"/>
  <c r="J2035" i="10" a="1"/>
  <c r="J2035" i="10" s="1"/>
  <c r="J2034" i="10" a="1"/>
  <c r="J2034" i="10" s="1"/>
  <c r="J2033" i="10" a="1"/>
  <c r="J2033" i="10" s="1"/>
  <c r="J2032" i="10" a="1"/>
  <c r="J2032" i="10" s="1"/>
  <c r="J2031" i="10" a="1"/>
  <c r="J2031" i="10" s="1"/>
  <c r="J2030" i="10" a="1"/>
  <c r="J2030" i="10" s="1"/>
  <c r="J2029" i="10" a="1"/>
  <c r="J2029" i="10" s="1"/>
  <c r="J2028" i="10" a="1"/>
  <c r="J2028" i="10" s="1"/>
  <c r="J2027" i="10" a="1"/>
  <c r="J2027" i="10" s="1"/>
  <c r="J2026" i="10" a="1"/>
  <c r="J2026" i="10" s="1"/>
  <c r="J2025" i="10" a="1"/>
  <c r="J2025" i="10" s="1"/>
  <c r="J2024" i="10" a="1"/>
  <c r="J2024" i="10" s="1"/>
  <c r="J2023" i="10" a="1"/>
  <c r="J2023" i="10" s="1"/>
  <c r="J2022" i="10" a="1"/>
  <c r="J2022" i="10" s="1"/>
  <c r="J2021" i="10" a="1"/>
  <c r="J2021" i="10" s="1"/>
  <c r="J2020" i="10" a="1"/>
  <c r="J2020" i="10" s="1"/>
  <c r="J2019" i="10" a="1"/>
  <c r="J2019" i="10" s="1"/>
  <c r="J2018" i="10" a="1"/>
  <c r="J2018" i="10" s="1"/>
  <c r="J2017" i="10" a="1"/>
  <c r="J2017" i="10" s="1"/>
  <c r="J2016" i="10" a="1"/>
  <c r="J2016" i="10" s="1"/>
  <c r="J2015" i="10" a="1"/>
  <c r="J2015" i="10" s="1"/>
  <c r="J2014" i="10" a="1"/>
  <c r="J2014" i="10" s="1"/>
  <c r="J2013" i="10" a="1"/>
  <c r="J2013" i="10" s="1"/>
  <c r="J2012" i="10" a="1"/>
  <c r="J2012" i="10" s="1"/>
  <c r="J2011" i="10" a="1"/>
  <c r="J2011" i="10" s="1"/>
  <c r="J2010" i="10" a="1"/>
  <c r="J2010" i="10" s="1"/>
  <c r="J2009" i="10" a="1"/>
  <c r="J2009" i="10" s="1"/>
  <c r="J2008" i="10" a="1"/>
  <c r="J2008" i="10" s="1"/>
  <c r="J2007" i="10" a="1"/>
  <c r="J2007" i="10" s="1"/>
  <c r="J2006" i="10" a="1"/>
  <c r="J2006" i="10" s="1"/>
  <c r="J2005" i="10" a="1"/>
  <c r="J2005" i="10" s="1"/>
  <c r="J2004" i="10" a="1"/>
  <c r="J2004" i="10" s="1"/>
  <c r="J2003" i="10" a="1"/>
  <c r="J2003" i="10" s="1"/>
  <c r="J2002" i="10" a="1"/>
  <c r="J2002" i="10" s="1"/>
  <c r="J2001" i="10" a="1"/>
  <c r="J2001" i="10" s="1"/>
  <c r="J2000" i="10" a="1"/>
  <c r="J2000" i="10" s="1"/>
  <c r="J1999" i="10" a="1"/>
  <c r="J1999" i="10" s="1"/>
  <c r="J1998" i="10" a="1"/>
  <c r="J1998" i="10" s="1"/>
  <c r="J1997" i="10" a="1"/>
  <c r="J1997" i="10" s="1"/>
  <c r="J1996" i="10" a="1"/>
  <c r="J1996" i="10" s="1"/>
  <c r="J1995" i="10" a="1"/>
  <c r="J1995" i="10" s="1"/>
  <c r="J1994" i="10" a="1"/>
  <c r="J1994" i="10" s="1"/>
  <c r="J1993" i="10" a="1"/>
  <c r="J1993" i="10" s="1"/>
  <c r="J1992" i="10" a="1"/>
  <c r="J1992" i="10" s="1"/>
  <c r="J1991" i="10" a="1"/>
  <c r="J1991" i="10" s="1"/>
  <c r="J1990" i="10" a="1"/>
  <c r="J1990" i="10" s="1"/>
  <c r="J1989" i="10" a="1"/>
  <c r="J1989" i="10" s="1"/>
  <c r="J1988" i="10" a="1"/>
  <c r="J1988" i="10" s="1"/>
  <c r="J1987" i="10" a="1"/>
  <c r="J1987" i="10" s="1"/>
  <c r="J1986" i="10" a="1"/>
  <c r="J1986" i="10" s="1"/>
  <c r="J1985" i="10" a="1"/>
  <c r="J1985" i="10" s="1"/>
  <c r="J1984" i="10" a="1"/>
  <c r="J1984" i="10" s="1"/>
  <c r="J1983" i="10" a="1"/>
  <c r="J1983" i="10" s="1"/>
  <c r="J1982" i="10" a="1"/>
  <c r="J1982" i="10" s="1"/>
  <c r="J1981" i="10" a="1"/>
  <c r="J1981" i="10" s="1"/>
  <c r="J1980" i="10" a="1"/>
  <c r="J1980" i="10" s="1"/>
  <c r="J1979" i="10" a="1"/>
  <c r="J1979" i="10" s="1"/>
  <c r="J1978" i="10" a="1"/>
  <c r="J1978" i="10" s="1"/>
  <c r="J1977" i="10" a="1"/>
  <c r="J1977" i="10" s="1"/>
  <c r="J1976" i="10" a="1"/>
  <c r="J1976" i="10" s="1"/>
  <c r="J1975" i="10" a="1"/>
  <c r="J1975" i="10" s="1"/>
  <c r="J1974" i="10" a="1"/>
  <c r="J1974" i="10" s="1"/>
  <c r="J1973" i="10" a="1"/>
  <c r="J1973" i="10" s="1"/>
  <c r="J1972" i="10" a="1"/>
  <c r="J1972" i="10" s="1"/>
  <c r="J1971" i="10" a="1"/>
  <c r="J1971" i="10" s="1"/>
  <c r="J1970" i="10" a="1"/>
  <c r="J1970" i="10" s="1"/>
  <c r="J1969" i="10" a="1"/>
  <c r="J1969" i="10" s="1"/>
  <c r="J1968" i="10" a="1"/>
  <c r="J1968" i="10" s="1"/>
  <c r="J1967" i="10" a="1"/>
  <c r="J1967" i="10" s="1"/>
  <c r="J1966" i="10" a="1"/>
  <c r="J1966" i="10" s="1"/>
  <c r="J1965" i="10" a="1"/>
  <c r="J1965" i="10" s="1"/>
  <c r="J1964" i="10" a="1"/>
  <c r="J1964" i="10" s="1"/>
  <c r="J1963" i="10" a="1"/>
  <c r="J1963" i="10" s="1"/>
  <c r="J1962" i="10" a="1"/>
  <c r="J1962" i="10" s="1"/>
  <c r="J1961" i="10" a="1"/>
  <c r="J1961" i="10" s="1"/>
  <c r="J1960" i="10" a="1"/>
  <c r="J1960" i="10" s="1"/>
  <c r="J1959" i="10" a="1"/>
  <c r="J1959" i="10" s="1"/>
  <c r="J1958" i="10" a="1"/>
  <c r="J1958" i="10" s="1"/>
  <c r="J1957" i="10" a="1"/>
  <c r="J1957" i="10" s="1"/>
  <c r="J1956" i="10" a="1"/>
  <c r="J1956" i="10" s="1"/>
  <c r="J1955" i="10" a="1"/>
  <c r="J1955" i="10" s="1"/>
  <c r="J1954" i="10" a="1"/>
  <c r="J1954" i="10" s="1"/>
  <c r="J1953" i="10" a="1"/>
  <c r="J1953" i="10" s="1"/>
  <c r="J1952" i="10" a="1"/>
  <c r="J1952" i="10" s="1"/>
  <c r="J1951" i="10" a="1"/>
  <c r="J1951" i="10" s="1"/>
  <c r="J1950" i="10" a="1"/>
  <c r="J1950" i="10" s="1"/>
  <c r="J1949" i="10" a="1"/>
  <c r="J1949" i="10" s="1"/>
  <c r="J1948" i="10" a="1"/>
  <c r="J1948" i="10" s="1"/>
  <c r="J1947" i="10" a="1"/>
  <c r="J1947" i="10" s="1"/>
  <c r="J1946" i="10" a="1"/>
  <c r="J1946" i="10" s="1"/>
  <c r="J1945" i="10" a="1"/>
  <c r="J1945" i="10" s="1"/>
  <c r="J1944" i="10" a="1"/>
  <c r="J1944" i="10" s="1"/>
  <c r="J1943" i="10" a="1"/>
  <c r="J1943" i="10" s="1"/>
  <c r="J1942" i="10" a="1"/>
  <c r="J1942" i="10" s="1"/>
  <c r="J1941" i="10" a="1"/>
  <c r="J1941" i="10" s="1"/>
  <c r="J1940" i="10" a="1"/>
  <c r="J1940" i="10" s="1"/>
  <c r="J1939" i="10" a="1"/>
  <c r="J1939" i="10" s="1"/>
  <c r="J1938" i="10" a="1"/>
  <c r="J1938" i="10" s="1"/>
  <c r="J1937" i="10" a="1"/>
  <c r="J1937" i="10" s="1"/>
  <c r="J1936" i="10" a="1"/>
  <c r="J1936" i="10" s="1"/>
  <c r="J1935" i="10" a="1"/>
  <c r="J1935" i="10" s="1"/>
  <c r="J1934" i="10" a="1"/>
  <c r="J1934" i="10" s="1"/>
  <c r="J1933" i="10" a="1"/>
  <c r="J1933" i="10" s="1"/>
  <c r="J1932" i="10" a="1"/>
  <c r="J1932" i="10" s="1"/>
  <c r="J1931" i="10" a="1"/>
  <c r="J1931" i="10" s="1"/>
  <c r="J1930" i="10" a="1"/>
  <c r="J1930" i="10" s="1"/>
  <c r="J1929" i="10" a="1"/>
  <c r="J1929" i="10" s="1"/>
  <c r="J1928" i="10" a="1"/>
  <c r="J1928" i="10" s="1"/>
  <c r="J1927" i="10" a="1"/>
  <c r="J1927" i="10" s="1"/>
  <c r="J1926" i="10" a="1"/>
  <c r="J1926" i="10" s="1"/>
  <c r="J1925" i="10" a="1"/>
  <c r="J1925" i="10" s="1"/>
  <c r="J1924" i="10" a="1"/>
  <c r="J1924" i="10" s="1"/>
  <c r="J1923" i="10" a="1"/>
  <c r="J1923" i="10" s="1"/>
  <c r="J1922" i="10" a="1"/>
  <c r="J1922" i="10" s="1"/>
  <c r="J1921" i="10" a="1"/>
  <c r="J1921" i="10" s="1"/>
  <c r="J1920" i="10" a="1"/>
  <c r="J1920" i="10" s="1"/>
  <c r="J1919" i="10" a="1"/>
  <c r="J1919" i="10" s="1"/>
  <c r="J1918" i="10" a="1"/>
  <c r="J1918" i="10" s="1"/>
  <c r="J1917" i="10" a="1"/>
  <c r="J1917" i="10" s="1"/>
  <c r="J1916" i="10" a="1"/>
  <c r="J1916" i="10" s="1"/>
  <c r="J1915" i="10" a="1"/>
  <c r="J1915" i="10" s="1"/>
  <c r="J1914" i="10" a="1"/>
  <c r="J1914" i="10" s="1"/>
  <c r="J1913" i="10" a="1"/>
  <c r="J1913" i="10" s="1"/>
  <c r="J1912" i="10" a="1"/>
  <c r="J1912" i="10" s="1"/>
  <c r="J1911" i="10" a="1"/>
  <c r="J1911" i="10" s="1"/>
  <c r="J1910" i="10" a="1"/>
  <c r="J1910" i="10" s="1"/>
  <c r="J1909" i="10" a="1"/>
  <c r="J1909" i="10" s="1"/>
  <c r="J1908" i="10" a="1"/>
  <c r="J1908" i="10" s="1"/>
  <c r="J1907" i="10" a="1"/>
  <c r="J1907" i="10" s="1"/>
  <c r="J1906" i="10" a="1"/>
  <c r="J1906" i="10" s="1"/>
  <c r="J1905" i="10" a="1"/>
  <c r="J1905" i="10" s="1"/>
  <c r="J1904" i="10" a="1"/>
  <c r="J1904" i="10" s="1"/>
  <c r="J1903" i="10" a="1"/>
  <c r="J1903" i="10" s="1"/>
  <c r="J1902" i="10" a="1"/>
  <c r="J1902" i="10" s="1"/>
  <c r="J1901" i="10" a="1"/>
  <c r="J1901" i="10" s="1"/>
  <c r="J1900" i="10" a="1"/>
  <c r="J1900" i="10" s="1"/>
  <c r="J1899" i="10" a="1"/>
  <c r="J1899" i="10" s="1"/>
  <c r="J1898" i="10" a="1"/>
  <c r="J1898" i="10" s="1"/>
  <c r="J1897" i="10" a="1"/>
  <c r="J1897" i="10" s="1"/>
  <c r="J1896" i="10" a="1"/>
  <c r="J1896" i="10" s="1"/>
  <c r="J1895" i="10" a="1"/>
  <c r="J1895" i="10" s="1"/>
  <c r="J1894" i="10" a="1"/>
  <c r="J1894" i="10" s="1"/>
  <c r="J1893" i="10" a="1"/>
  <c r="J1893" i="10" s="1"/>
  <c r="J1892" i="10" a="1"/>
  <c r="J1892" i="10" s="1"/>
  <c r="J1891" i="10" a="1"/>
  <c r="J1891" i="10" s="1"/>
  <c r="J1890" i="10" a="1"/>
  <c r="J1890" i="10" s="1"/>
  <c r="J1889" i="10" a="1"/>
  <c r="J1889" i="10" s="1"/>
  <c r="J1888" i="10" a="1"/>
  <c r="J1888" i="10" s="1"/>
  <c r="J1887" i="10" a="1"/>
  <c r="J1887" i="10" s="1"/>
  <c r="J1886" i="10" a="1"/>
  <c r="J1886" i="10" s="1"/>
  <c r="J1885" i="10" a="1"/>
  <c r="J1885" i="10" s="1"/>
  <c r="J1884" i="10" a="1"/>
  <c r="J1884" i="10" s="1"/>
  <c r="J1883" i="10" a="1"/>
  <c r="J1883" i="10" s="1"/>
  <c r="J1882" i="10" a="1"/>
  <c r="J1882" i="10" s="1"/>
  <c r="J1881" i="10" a="1"/>
  <c r="J1881" i="10" s="1"/>
  <c r="J1880" i="10" a="1"/>
  <c r="J1880" i="10" s="1"/>
  <c r="J1879" i="10" a="1"/>
  <c r="J1879" i="10" s="1"/>
  <c r="J1878" i="10" a="1"/>
  <c r="J1878" i="10" s="1"/>
  <c r="J1877" i="10" a="1"/>
  <c r="J1877" i="10" s="1"/>
  <c r="J1876" i="10" a="1"/>
  <c r="J1876" i="10" s="1"/>
  <c r="J1875" i="10" a="1"/>
  <c r="J1875" i="10" s="1"/>
  <c r="J1874" i="10" a="1"/>
  <c r="J1874" i="10" s="1"/>
  <c r="J1873" i="10" a="1"/>
  <c r="J1873" i="10" s="1"/>
  <c r="J1872" i="10" a="1"/>
  <c r="J1872" i="10" s="1"/>
  <c r="J1871" i="10" a="1"/>
  <c r="J1871" i="10" s="1"/>
  <c r="J1870" i="10" a="1"/>
  <c r="J1870" i="10" s="1"/>
  <c r="J1869" i="10" a="1"/>
  <c r="J1869" i="10" s="1"/>
  <c r="J1868" i="10" a="1"/>
  <c r="J1868" i="10" s="1"/>
  <c r="J1867" i="10" a="1"/>
  <c r="J1867" i="10" s="1"/>
  <c r="J1866" i="10" a="1"/>
  <c r="J1866" i="10" s="1"/>
  <c r="J1865" i="10" a="1"/>
  <c r="J1865" i="10" s="1"/>
  <c r="J1864" i="10" a="1"/>
  <c r="J1864" i="10" s="1"/>
  <c r="J1863" i="10" a="1"/>
  <c r="J1863" i="10" s="1"/>
  <c r="J1862" i="10" a="1"/>
  <c r="J1862" i="10" s="1"/>
  <c r="J1861" i="10" a="1"/>
  <c r="J1861" i="10" s="1"/>
  <c r="J1860" i="10" a="1"/>
  <c r="J1860" i="10" s="1"/>
  <c r="J1859" i="10" a="1"/>
  <c r="J1859" i="10" s="1"/>
  <c r="J1858" i="10" a="1"/>
  <c r="J1858" i="10" s="1"/>
  <c r="J1857" i="10" a="1"/>
  <c r="J1857" i="10" s="1"/>
  <c r="J1856" i="10" a="1"/>
  <c r="J1856" i="10" s="1"/>
  <c r="J1855" i="10" a="1"/>
  <c r="J1855" i="10" s="1"/>
  <c r="J1854" i="10" a="1"/>
  <c r="J1854" i="10" s="1"/>
  <c r="J1853" i="10" a="1"/>
  <c r="J1853" i="10" s="1"/>
  <c r="J1852" i="10" a="1"/>
  <c r="J1852" i="10" s="1"/>
  <c r="J1851" i="10" a="1"/>
  <c r="J1851" i="10" s="1"/>
  <c r="J1850" i="10" a="1"/>
  <c r="J1850" i="10" s="1"/>
  <c r="J1849" i="10" a="1"/>
  <c r="J1849" i="10" s="1"/>
  <c r="J1848" i="10" a="1"/>
  <c r="J1848" i="10" s="1"/>
  <c r="J1847" i="10" a="1"/>
  <c r="J1847" i="10" s="1"/>
  <c r="J1846" i="10" a="1"/>
  <c r="J1846" i="10" s="1"/>
  <c r="J1845" i="10" a="1"/>
  <c r="J1845" i="10" s="1"/>
  <c r="J1844" i="10" a="1"/>
  <c r="J1844" i="10" s="1"/>
  <c r="J1843" i="10" a="1"/>
  <c r="J1843" i="10" s="1"/>
  <c r="J1842" i="10" a="1"/>
  <c r="J1842" i="10" s="1"/>
  <c r="J1841" i="10" a="1"/>
  <c r="J1841" i="10" s="1"/>
  <c r="J1840" i="10" a="1"/>
  <c r="J1840" i="10" s="1"/>
  <c r="J1839" i="10" a="1"/>
  <c r="J1839" i="10" s="1"/>
  <c r="J1838" i="10" a="1"/>
  <c r="J1838" i="10" s="1"/>
  <c r="J1837" i="10" a="1"/>
  <c r="J1837" i="10" s="1"/>
  <c r="J1836" i="10" a="1"/>
  <c r="J1836" i="10" s="1"/>
  <c r="J1835" i="10" a="1"/>
  <c r="J1835" i="10" s="1"/>
  <c r="J1834" i="10" a="1"/>
  <c r="J1834" i="10" s="1"/>
  <c r="J1833" i="10" a="1"/>
  <c r="J1833" i="10" s="1"/>
  <c r="J1832" i="10" a="1"/>
  <c r="J1832" i="10" s="1"/>
  <c r="J1831" i="10" a="1"/>
  <c r="J1831" i="10" s="1"/>
  <c r="J1830" i="10" a="1"/>
  <c r="J1830" i="10" s="1"/>
  <c r="J1829" i="10" a="1"/>
  <c r="J1829" i="10" s="1"/>
  <c r="J1828" i="10" a="1"/>
  <c r="J1828" i="10" s="1"/>
  <c r="J1827" i="10" a="1"/>
  <c r="J1827" i="10" s="1"/>
  <c r="J1826" i="10" a="1"/>
  <c r="J1826" i="10" s="1"/>
  <c r="J1825" i="10" a="1"/>
  <c r="J1825" i="10" s="1"/>
  <c r="J1824" i="10" a="1"/>
  <c r="J1824" i="10" s="1"/>
  <c r="J1823" i="10" a="1"/>
  <c r="J1823" i="10" s="1"/>
  <c r="J1822" i="10" a="1"/>
  <c r="J1822" i="10" s="1"/>
  <c r="J1821" i="10" a="1"/>
  <c r="J1821" i="10" s="1"/>
  <c r="J1820" i="10" a="1"/>
  <c r="J1820" i="10" s="1"/>
  <c r="J1819" i="10" a="1"/>
  <c r="J1819" i="10" s="1"/>
  <c r="J1818" i="10" a="1"/>
  <c r="J1818" i="10" s="1"/>
  <c r="J1817" i="10" a="1"/>
  <c r="J1817" i="10" s="1"/>
  <c r="J1816" i="10" a="1"/>
  <c r="J1816" i="10" s="1"/>
  <c r="J1815" i="10" a="1"/>
  <c r="J1815" i="10" s="1"/>
  <c r="J1814" i="10" a="1"/>
  <c r="J1814" i="10" s="1"/>
  <c r="J1813" i="10" a="1"/>
  <c r="J1813" i="10" s="1"/>
  <c r="J1812" i="10" a="1"/>
  <c r="J1812" i="10" s="1"/>
  <c r="J1811" i="10" a="1"/>
  <c r="J1811" i="10" s="1"/>
  <c r="J1810" i="10" a="1"/>
  <c r="J1810" i="10" s="1"/>
  <c r="J1809" i="10" a="1"/>
  <c r="J1809" i="10" s="1"/>
  <c r="J1808" i="10" a="1"/>
  <c r="J1808" i="10" s="1"/>
  <c r="J1807" i="10" a="1"/>
  <c r="J1807" i="10" s="1"/>
  <c r="J1806" i="10" a="1"/>
  <c r="J1806" i="10" s="1"/>
  <c r="J1805" i="10" a="1"/>
  <c r="J1805" i="10" s="1"/>
  <c r="J1804" i="10" a="1"/>
  <c r="J1804" i="10" s="1"/>
  <c r="J1803" i="10" a="1"/>
  <c r="J1803" i="10" s="1"/>
  <c r="J1802" i="10" a="1"/>
  <c r="J1802" i="10" s="1"/>
  <c r="J1801" i="10" a="1"/>
  <c r="J1801" i="10" s="1"/>
  <c r="J1800" i="10" a="1"/>
  <c r="J1800" i="10" s="1"/>
  <c r="J1799" i="10" a="1"/>
  <c r="J1799" i="10" s="1"/>
  <c r="J1798" i="10" a="1"/>
  <c r="J1798" i="10" s="1"/>
  <c r="J1797" i="10" a="1"/>
  <c r="J1797" i="10" s="1"/>
  <c r="J1796" i="10" a="1"/>
  <c r="J1796" i="10" s="1"/>
  <c r="J1795" i="10" a="1"/>
  <c r="J1795" i="10" s="1"/>
  <c r="J1794" i="10" a="1"/>
  <c r="J1794" i="10" s="1"/>
  <c r="J1793" i="10" a="1"/>
  <c r="J1793" i="10" s="1"/>
  <c r="J1792" i="10" a="1"/>
  <c r="J1792" i="10" s="1"/>
  <c r="J1791" i="10" a="1"/>
  <c r="J1791" i="10" s="1"/>
  <c r="J1790" i="10" a="1"/>
  <c r="J1790" i="10" s="1"/>
  <c r="J1789" i="10" a="1"/>
  <c r="J1789" i="10" s="1"/>
  <c r="J1788" i="10" a="1"/>
  <c r="J1788" i="10" s="1"/>
  <c r="J1787" i="10" a="1"/>
  <c r="J1787" i="10" s="1"/>
  <c r="J1786" i="10" a="1"/>
  <c r="J1786" i="10" s="1"/>
  <c r="J1785" i="10" a="1"/>
  <c r="J1785" i="10" s="1"/>
  <c r="J1784" i="10" a="1"/>
  <c r="J1784" i="10" s="1"/>
  <c r="J1783" i="10" a="1"/>
  <c r="J1783" i="10" s="1"/>
  <c r="J1782" i="10" a="1"/>
  <c r="J1782" i="10" s="1"/>
  <c r="J1781" i="10" a="1"/>
  <c r="J1781" i="10" s="1"/>
  <c r="J1780" i="10" a="1"/>
  <c r="J1780" i="10" s="1"/>
  <c r="J1779" i="10" a="1"/>
  <c r="J1779" i="10" s="1"/>
  <c r="J1778" i="10" a="1"/>
  <c r="J1778" i="10" s="1"/>
  <c r="J1777" i="10" a="1"/>
  <c r="J1777" i="10" s="1"/>
  <c r="J1776" i="10" a="1"/>
  <c r="J1776" i="10" s="1"/>
  <c r="J1775" i="10" a="1"/>
  <c r="J1775" i="10" s="1"/>
  <c r="J1774" i="10" a="1"/>
  <c r="J1774" i="10" s="1"/>
  <c r="J1773" i="10" a="1"/>
  <c r="J1773" i="10" s="1"/>
  <c r="J1772" i="10" a="1"/>
  <c r="J1772" i="10" s="1"/>
  <c r="J1771" i="10" a="1"/>
  <c r="J1771" i="10" s="1"/>
  <c r="J1770" i="10" a="1"/>
  <c r="J1770" i="10" s="1"/>
  <c r="J1769" i="10" a="1"/>
  <c r="J1769" i="10" s="1"/>
  <c r="J1768" i="10" a="1"/>
  <c r="J1768" i="10" s="1"/>
  <c r="J1767" i="10" a="1"/>
  <c r="J1767" i="10" s="1"/>
  <c r="J1766" i="10" a="1"/>
  <c r="J1766" i="10" s="1"/>
  <c r="J1765" i="10" a="1"/>
  <c r="J1765" i="10" s="1"/>
  <c r="J1764" i="10" a="1"/>
  <c r="J1764" i="10" s="1"/>
  <c r="J1763" i="10" a="1"/>
  <c r="J1763" i="10" s="1"/>
  <c r="J1762" i="10" a="1"/>
  <c r="J1762" i="10" s="1"/>
  <c r="J1761" i="10" a="1"/>
  <c r="J1761" i="10" s="1"/>
  <c r="J1760" i="10" a="1"/>
  <c r="J1760" i="10" s="1"/>
  <c r="J1759" i="10" a="1"/>
  <c r="J1759" i="10" s="1"/>
  <c r="J1758" i="10" a="1"/>
  <c r="J1758" i="10" s="1"/>
  <c r="J1757" i="10" a="1"/>
  <c r="J1757" i="10" s="1"/>
  <c r="J1756" i="10" a="1"/>
  <c r="J1756" i="10" s="1"/>
  <c r="J1755" i="10" a="1"/>
  <c r="J1755" i="10" s="1"/>
  <c r="J1754" i="10" a="1"/>
  <c r="J1754" i="10" s="1"/>
  <c r="J1753" i="10" a="1"/>
  <c r="J1753" i="10" s="1"/>
  <c r="J1752" i="10" a="1"/>
  <c r="J1752" i="10" s="1"/>
  <c r="J1751" i="10" a="1"/>
  <c r="J1751" i="10" s="1"/>
  <c r="J1750" i="10" a="1"/>
  <c r="J1750" i="10" s="1"/>
  <c r="J1749" i="10" a="1"/>
  <c r="J1749" i="10" s="1"/>
  <c r="J1748" i="10" a="1"/>
  <c r="J1748" i="10" s="1"/>
  <c r="J1747" i="10" a="1"/>
  <c r="J1747" i="10" s="1"/>
  <c r="J1746" i="10" a="1"/>
  <c r="J1746" i="10" s="1"/>
  <c r="J1745" i="10" a="1"/>
  <c r="J1745" i="10" s="1"/>
  <c r="J1744" i="10" a="1"/>
  <c r="J1744" i="10" s="1"/>
  <c r="J1743" i="10" a="1"/>
  <c r="J1743" i="10" s="1"/>
  <c r="J1742" i="10" a="1"/>
  <c r="J1742" i="10" s="1"/>
  <c r="J1741" i="10" a="1"/>
  <c r="J1741" i="10" s="1"/>
  <c r="J1740" i="10" a="1"/>
  <c r="J1740" i="10" s="1"/>
  <c r="J1739" i="10" a="1"/>
  <c r="J1739" i="10" s="1"/>
  <c r="J1738" i="10" a="1"/>
  <c r="J1738" i="10" s="1"/>
  <c r="J1737" i="10" a="1"/>
  <c r="J1737" i="10" s="1"/>
  <c r="J1736" i="10" a="1"/>
  <c r="J1736" i="10" s="1"/>
  <c r="J1735" i="10" a="1"/>
  <c r="J1735" i="10" s="1"/>
  <c r="J1734" i="10" a="1"/>
  <c r="J1734" i="10" s="1"/>
  <c r="J1733" i="10" a="1"/>
  <c r="J1733" i="10" s="1"/>
  <c r="J1732" i="10" a="1"/>
  <c r="J1732" i="10" s="1"/>
  <c r="J1731" i="10" a="1"/>
  <c r="J1731" i="10" s="1"/>
  <c r="J1730" i="10" a="1"/>
  <c r="J1730" i="10" s="1"/>
  <c r="J1729" i="10" a="1"/>
  <c r="J1729" i="10" s="1"/>
  <c r="J1728" i="10" a="1"/>
  <c r="J1728" i="10" s="1"/>
  <c r="J1727" i="10" a="1"/>
  <c r="J1727" i="10" s="1"/>
  <c r="J1726" i="10" a="1"/>
  <c r="J1726" i="10" s="1"/>
  <c r="J1725" i="10" a="1"/>
  <c r="J1725" i="10" s="1"/>
  <c r="J1724" i="10" a="1"/>
  <c r="J1724" i="10" s="1"/>
  <c r="J1723" i="10" a="1"/>
  <c r="J1723" i="10" s="1"/>
  <c r="J1722" i="10" a="1"/>
  <c r="J1722" i="10" s="1"/>
  <c r="J1721" i="10" a="1"/>
  <c r="J1721" i="10" s="1"/>
  <c r="J1720" i="10" a="1"/>
  <c r="J1720" i="10" s="1"/>
  <c r="J1719" i="10" a="1"/>
  <c r="J1719" i="10" s="1"/>
  <c r="J1718" i="10" a="1"/>
  <c r="J1718" i="10" s="1"/>
  <c r="J1717" i="10" a="1"/>
  <c r="J1717" i="10" s="1"/>
  <c r="J1716" i="10" a="1"/>
  <c r="J1716" i="10" s="1"/>
  <c r="J1715" i="10" a="1"/>
  <c r="J1715" i="10" s="1"/>
  <c r="J1714" i="10" a="1"/>
  <c r="J1714" i="10" s="1"/>
  <c r="J1713" i="10" a="1"/>
  <c r="J1713" i="10" s="1"/>
  <c r="J1712" i="10" a="1"/>
  <c r="J1712" i="10" s="1"/>
  <c r="J1711" i="10" a="1"/>
  <c r="J1711" i="10" s="1"/>
  <c r="J1710" i="10" a="1"/>
  <c r="J1710" i="10" s="1"/>
  <c r="J1709" i="10" a="1"/>
  <c r="J1709" i="10" s="1"/>
  <c r="J1708" i="10" a="1"/>
  <c r="J1708" i="10" s="1"/>
  <c r="J1707" i="10" a="1"/>
  <c r="J1707" i="10" s="1"/>
  <c r="J1706" i="10" a="1"/>
  <c r="J1706" i="10" s="1"/>
  <c r="J1705" i="10" a="1"/>
  <c r="J1705" i="10" s="1"/>
  <c r="J1704" i="10" a="1"/>
  <c r="J1704" i="10" s="1"/>
  <c r="J1703" i="10" a="1"/>
  <c r="J1703" i="10" s="1"/>
  <c r="J1702" i="10" a="1"/>
  <c r="J1702" i="10" s="1"/>
  <c r="J1701" i="10" a="1"/>
  <c r="J1701" i="10" s="1"/>
  <c r="J1700" i="10" a="1"/>
  <c r="J1700" i="10" s="1"/>
  <c r="J1699" i="10" a="1"/>
  <c r="J1699" i="10" s="1"/>
  <c r="J1698" i="10" a="1"/>
  <c r="J1698" i="10" s="1"/>
  <c r="J1697" i="10" a="1"/>
  <c r="J1697" i="10" s="1"/>
  <c r="J1696" i="10" a="1"/>
  <c r="J1696" i="10" s="1"/>
  <c r="J1695" i="10" a="1"/>
  <c r="J1695" i="10" s="1"/>
  <c r="J1694" i="10" a="1"/>
  <c r="J1694" i="10" s="1"/>
  <c r="J1693" i="10" a="1"/>
  <c r="J1693" i="10" s="1"/>
  <c r="J1692" i="10" a="1"/>
  <c r="J1692" i="10" s="1"/>
  <c r="J1691" i="10" a="1"/>
  <c r="J1691" i="10" s="1"/>
  <c r="J1690" i="10" a="1"/>
  <c r="J1690" i="10" s="1"/>
  <c r="J1689" i="10" a="1"/>
  <c r="J1689" i="10" s="1"/>
  <c r="J1688" i="10" a="1"/>
  <c r="J1688" i="10" s="1"/>
  <c r="J1687" i="10" a="1"/>
  <c r="J1687" i="10" s="1"/>
  <c r="J1686" i="10" a="1"/>
  <c r="J1686" i="10" s="1"/>
  <c r="J1685" i="10" a="1"/>
  <c r="J1685" i="10" s="1"/>
  <c r="J1684" i="10" a="1"/>
  <c r="J1684" i="10" s="1"/>
  <c r="J1683" i="10" a="1"/>
  <c r="J1683" i="10" s="1"/>
  <c r="J1682" i="10" a="1"/>
  <c r="J1682" i="10" s="1"/>
  <c r="J1681" i="10" a="1"/>
  <c r="J1681" i="10" s="1"/>
  <c r="J1680" i="10" a="1"/>
  <c r="J1680" i="10" s="1"/>
  <c r="J1679" i="10" a="1"/>
  <c r="J1679" i="10" s="1"/>
  <c r="J1678" i="10" a="1"/>
  <c r="J1678" i="10" s="1"/>
  <c r="J1677" i="10" a="1"/>
  <c r="J1677" i="10" s="1"/>
  <c r="J1676" i="10" a="1"/>
  <c r="J1676" i="10" s="1"/>
  <c r="J1675" i="10" a="1"/>
  <c r="J1675" i="10" s="1"/>
  <c r="J1674" i="10" a="1"/>
  <c r="J1674" i="10" s="1"/>
  <c r="J1673" i="10" a="1"/>
  <c r="J1673" i="10" s="1"/>
  <c r="J1672" i="10" a="1"/>
  <c r="J1672" i="10" s="1"/>
  <c r="J1671" i="10" a="1"/>
  <c r="J1671" i="10" s="1"/>
  <c r="J1670" i="10" a="1"/>
  <c r="J1670" i="10" s="1"/>
  <c r="J1669" i="10" a="1"/>
  <c r="J1669" i="10" s="1"/>
  <c r="J1668" i="10" a="1"/>
  <c r="J1668" i="10" s="1"/>
  <c r="J1667" i="10" a="1"/>
  <c r="J1667" i="10" s="1"/>
  <c r="J1666" i="10" a="1"/>
  <c r="J1666" i="10" s="1"/>
  <c r="J1665" i="10" a="1"/>
  <c r="J1665" i="10" s="1"/>
  <c r="J1664" i="10" a="1"/>
  <c r="J1664" i="10" s="1"/>
  <c r="J1663" i="10" a="1"/>
  <c r="J1663" i="10" s="1"/>
  <c r="J1662" i="10" a="1"/>
  <c r="J1662" i="10" s="1"/>
  <c r="J1661" i="10" a="1"/>
  <c r="J1661" i="10" s="1"/>
  <c r="J1660" i="10" a="1"/>
  <c r="J1660" i="10" s="1"/>
  <c r="J1659" i="10" a="1"/>
  <c r="J1659" i="10" s="1"/>
  <c r="J1658" i="10" a="1"/>
  <c r="J1658" i="10" s="1"/>
  <c r="J1657" i="10" a="1"/>
  <c r="J1657" i="10" s="1"/>
  <c r="J1656" i="10" a="1"/>
  <c r="J1656" i="10" s="1"/>
  <c r="J1655" i="10" a="1"/>
  <c r="J1655" i="10" s="1"/>
  <c r="J1654" i="10" a="1"/>
  <c r="J1654" i="10" s="1"/>
  <c r="J1653" i="10" a="1"/>
  <c r="J1653" i="10" s="1"/>
  <c r="J1652" i="10" a="1"/>
  <c r="J1652" i="10" s="1"/>
  <c r="J1651" i="10" a="1"/>
  <c r="J1651" i="10" s="1"/>
  <c r="J1650" i="10" a="1"/>
  <c r="J1650" i="10" s="1"/>
  <c r="J1649" i="10" a="1"/>
  <c r="J1649" i="10" s="1"/>
  <c r="J1648" i="10" a="1"/>
  <c r="J1648" i="10" s="1"/>
  <c r="J1647" i="10" a="1"/>
  <c r="J1647" i="10" s="1"/>
  <c r="J1646" i="10" a="1"/>
  <c r="J1646" i="10" s="1"/>
  <c r="J1645" i="10" a="1"/>
  <c r="J1645" i="10" s="1"/>
  <c r="J1644" i="10" a="1"/>
  <c r="J1644" i="10" s="1"/>
  <c r="J1643" i="10" a="1"/>
  <c r="J1643" i="10" s="1"/>
  <c r="J1642" i="10" a="1"/>
  <c r="J1642" i="10" s="1"/>
  <c r="J1641" i="10" a="1"/>
  <c r="J1641" i="10" s="1"/>
  <c r="J1640" i="10" a="1"/>
  <c r="J1640" i="10" s="1"/>
  <c r="J1639" i="10" a="1"/>
  <c r="J1639" i="10" s="1"/>
  <c r="J1638" i="10" a="1"/>
  <c r="J1638" i="10" s="1"/>
  <c r="J1637" i="10" a="1"/>
  <c r="J1637" i="10" s="1"/>
  <c r="J1636" i="10" a="1"/>
  <c r="J1636" i="10" s="1"/>
  <c r="J1635" i="10" a="1"/>
  <c r="J1635" i="10" s="1"/>
  <c r="J1634" i="10" a="1"/>
  <c r="J1634" i="10" s="1"/>
  <c r="J1633" i="10" a="1"/>
  <c r="J1633" i="10" s="1"/>
  <c r="J1632" i="10" a="1"/>
  <c r="J1632" i="10" s="1"/>
  <c r="J1631" i="10" a="1"/>
  <c r="J1631" i="10" s="1"/>
  <c r="J1630" i="10" a="1"/>
  <c r="J1630" i="10" s="1"/>
  <c r="J1629" i="10" a="1"/>
  <c r="J1629" i="10" s="1"/>
  <c r="J1628" i="10" a="1"/>
  <c r="J1628" i="10" s="1"/>
  <c r="J1627" i="10" a="1"/>
  <c r="J1627" i="10" s="1"/>
  <c r="J1626" i="10" a="1"/>
  <c r="J1626" i="10" s="1"/>
  <c r="J1625" i="10" a="1"/>
  <c r="J1625" i="10" s="1"/>
  <c r="J1624" i="10" a="1"/>
  <c r="J1624" i="10" s="1"/>
  <c r="J1623" i="10" a="1"/>
  <c r="J1623" i="10" s="1"/>
  <c r="J1622" i="10" a="1"/>
  <c r="J1622" i="10" s="1"/>
  <c r="J1621" i="10" a="1"/>
  <c r="J1621" i="10" s="1"/>
  <c r="J1620" i="10" a="1"/>
  <c r="J1620" i="10" s="1"/>
  <c r="J1619" i="10" a="1"/>
  <c r="J1619" i="10" s="1"/>
  <c r="J1618" i="10" a="1"/>
  <c r="J1618" i="10" s="1"/>
  <c r="J1617" i="10" a="1"/>
  <c r="J1617" i="10" s="1"/>
  <c r="J1616" i="10" a="1"/>
  <c r="J1616" i="10" s="1"/>
  <c r="J1615" i="10" a="1"/>
  <c r="J1615" i="10" s="1"/>
  <c r="J1614" i="10" a="1"/>
  <c r="J1614" i="10" s="1"/>
  <c r="J1613" i="10" a="1"/>
  <c r="J1613" i="10" s="1"/>
  <c r="J1612" i="10" a="1"/>
  <c r="J1612" i="10" s="1"/>
  <c r="J1611" i="10" a="1"/>
  <c r="J1611" i="10" s="1"/>
  <c r="J1610" i="10" a="1"/>
  <c r="J1610" i="10" s="1"/>
  <c r="J1609" i="10" a="1"/>
  <c r="J1609" i="10" s="1"/>
  <c r="J1608" i="10" a="1"/>
  <c r="J1608" i="10" s="1"/>
  <c r="J1607" i="10" a="1"/>
  <c r="J1607" i="10" s="1"/>
  <c r="J1606" i="10" a="1"/>
  <c r="J1606" i="10" s="1"/>
  <c r="J1605" i="10" a="1"/>
  <c r="J1605" i="10" s="1"/>
  <c r="J1604" i="10" a="1"/>
  <c r="J1604" i="10" s="1"/>
  <c r="J1603" i="10" a="1"/>
  <c r="J1603" i="10" s="1"/>
  <c r="J1602" i="10" a="1"/>
  <c r="J1602" i="10" s="1"/>
  <c r="J1601" i="10" a="1"/>
  <c r="J1601" i="10" s="1"/>
  <c r="J1600" i="10" a="1"/>
  <c r="J1600" i="10" s="1"/>
  <c r="J1599" i="10" a="1"/>
  <c r="J1599" i="10" s="1"/>
  <c r="J1598" i="10" a="1"/>
  <c r="J1598" i="10" s="1"/>
  <c r="J1597" i="10" a="1"/>
  <c r="J1597" i="10" s="1"/>
  <c r="J1596" i="10" a="1"/>
  <c r="J1596" i="10" s="1"/>
  <c r="J1595" i="10" a="1"/>
  <c r="J1595" i="10" s="1"/>
  <c r="J1594" i="10" a="1"/>
  <c r="J1594" i="10" s="1"/>
  <c r="J1593" i="10" a="1"/>
  <c r="J1593" i="10" s="1"/>
  <c r="J1592" i="10" a="1"/>
  <c r="J1592" i="10" s="1"/>
  <c r="J1591" i="10" a="1"/>
  <c r="J1591" i="10" s="1"/>
  <c r="J1590" i="10" a="1"/>
  <c r="J1590" i="10" s="1"/>
  <c r="J1589" i="10" a="1"/>
  <c r="J1589" i="10" s="1"/>
  <c r="J1588" i="10" a="1"/>
  <c r="J1588" i="10" s="1"/>
  <c r="J1587" i="10" a="1"/>
  <c r="J1587" i="10" s="1"/>
  <c r="J1586" i="10" a="1"/>
  <c r="J1586" i="10" s="1"/>
  <c r="J1585" i="10" a="1"/>
  <c r="J1585" i="10" s="1"/>
  <c r="J1584" i="10" a="1"/>
  <c r="J1584" i="10" s="1"/>
  <c r="J1583" i="10" a="1"/>
  <c r="J1583" i="10" s="1"/>
  <c r="J1582" i="10" a="1"/>
  <c r="J1582" i="10" s="1"/>
  <c r="J1581" i="10" a="1"/>
  <c r="J1581" i="10" s="1"/>
  <c r="J1580" i="10" a="1"/>
  <c r="J1580" i="10" s="1"/>
  <c r="J1579" i="10" a="1"/>
  <c r="J1579" i="10" s="1"/>
  <c r="J1578" i="10" a="1"/>
  <c r="J1578" i="10" s="1"/>
  <c r="J1577" i="10" a="1"/>
  <c r="J1577" i="10" s="1"/>
  <c r="J1576" i="10" a="1"/>
  <c r="J1576" i="10" s="1"/>
  <c r="J1575" i="10" a="1"/>
  <c r="J1575" i="10" s="1"/>
  <c r="J1574" i="10" a="1"/>
  <c r="J1574" i="10" s="1"/>
  <c r="J1573" i="10" a="1"/>
  <c r="J1573" i="10" s="1"/>
  <c r="J1572" i="10" a="1"/>
  <c r="J1572" i="10" s="1"/>
  <c r="J1571" i="10" a="1"/>
  <c r="J1571" i="10" s="1"/>
  <c r="J1570" i="10" a="1"/>
  <c r="J1570" i="10" s="1"/>
  <c r="J1569" i="10" a="1"/>
  <c r="J1569" i="10" s="1"/>
  <c r="J1568" i="10" a="1"/>
  <c r="J1568" i="10" s="1"/>
  <c r="J1567" i="10" a="1"/>
  <c r="J1567" i="10" s="1"/>
  <c r="J1566" i="10" a="1"/>
  <c r="J1566" i="10" s="1"/>
  <c r="J1565" i="10" a="1"/>
  <c r="J1565" i="10" s="1"/>
  <c r="J1564" i="10" a="1"/>
  <c r="J1564" i="10" s="1"/>
  <c r="J1563" i="10" a="1"/>
  <c r="J1563" i="10" s="1"/>
  <c r="J1562" i="10" a="1"/>
  <c r="J1562" i="10" s="1"/>
  <c r="J1561" i="10" a="1"/>
  <c r="J1561" i="10" s="1"/>
  <c r="J1560" i="10" a="1"/>
  <c r="J1560" i="10" s="1"/>
  <c r="J1559" i="10" a="1"/>
  <c r="J1559" i="10" s="1"/>
  <c r="J1558" i="10" a="1"/>
  <c r="J1558" i="10" s="1"/>
  <c r="J1557" i="10" a="1"/>
  <c r="J1557" i="10" s="1"/>
  <c r="J1556" i="10" a="1"/>
  <c r="J1556" i="10" s="1"/>
  <c r="J1555" i="10" a="1"/>
  <c r="J1555" i="10" s="1"/>
  <c r="J1554" i="10" a="1"/>
  <c r="J1554" i="10" s="1"/>
  <c r="J1553" i="10" a="1"/>
  <c r="J1553" i="10" s="1"/>
  <c r="J1552" i="10" a="1"/>
  <c r="J1552" i="10" s="1"/>
  <c r="J1551" i="10" a="1"/>
  <c r="J1551" i="10" s="1"/>
  <c r="J1550" i="10" a="1"/>
  <c r="J1550" i="10" s="1"/>
  <c r="J1549" i="10" a="1"/>
  <c r="J1549" i="10" s="1"/>
  <c r="J1548" i="10" a="1"/>
  <c r="J1548" i="10" s="1"/>
  <c r="J1547" i="10" a="1"/>
  <c r="J1547" i="10" s="1"/>
  <c r="J1546" i="10" a="1"/>
  <c r="J1546" i="10" s="1"/>
  <c r="J1545" i="10" a="1"/>
  <c r="J1545" i="10" s="1"/>
  <c r="J1544" i="10" a="1"/>
  <c r="J1544" i="10" s="1"/>
  <c r="J1543" i="10" a="1"/>
  <c r="J1543" i="10" s="1"/>
  <c r="J1542" i="10" a="1"/>
  <c r="J1542" i="10" s="1"/>
  <c r="J1541" i="10" a="1"/>
  <c r="J1541" i="10" s="1"/>
  <c r="J1540" i="10" a="1"/>
  <c r="J1540" i="10" s="1"/>
  <c r="J1539" i="10" a="1"/>
  <c r="J1539" i="10" s="1"/>
  <c r="J1538" i="10" a="1"/>
  <c r="J1538" i="10" s="1"/>
  <c r="J1537" i="10" a="1"/>
  <c r="J1537" i="10" s="1"/>
  <c r="J1536" i="10"/>
  <c r="J1536" i="10" a="1"/>
  <c r="J1535" i="10" a="1"/>
  <c r="J1535" i="10" s="1"/>
  <c r="J1534" i="10" a="1"/>
  <c r="J1534" i="10" s="1"/>
  <c r="J1533" i="10" a="1"/>
  <c r="J1533" i="10" s="1"/>
  <c r="J1532" i="10" a="1"/>
  <c r="J1532" i="10" s="1"/>
  <c r="J1531" i="10" a="1"/>
  <c r="J1531" i="10" s="1"/>
  <c r="J1530" i="10" a="1"/>
  <c r="J1530" i="10" s="1"/>
  <c r="J1529" i="10" a="1"/>
  <c r="J1529" i="10" s="1"/>
  <c r="J1528" i="10" a="1"/>
  <c r="J1528" i="10" s="1"/>
  <c r="J1527" i="10" a="1"/>
  <c r="J1527" i="10" s="1"/>
  <c r="J1526" i="10" a="1"/>
  <c r="J1526" i="10" s="1"/>
  <c r="J1525" i="10" a="1"/>
  <c r="J1525" i="10" s="1"/>
  <c r="J1524" i="10" a="1"/>
  <c r="J1524" i="10" s="1"/>
  <c r="J1523" i="10" a="1"/>
  <c r="J1523" i="10" s="1"/>
  <c r="J1522" i="10" a="1"/>
  <c r="J1522" i="10" s="1"/>
  <c r="J1521" i="10" a="1"/>
  <c r="J1521" i="10" s="1"/>
  <c r="J1520" i="10" a="1"/>
  <c r="J1520" i="10" s="1"/>
  <c r="J1519" i="10" a="1"/>
  <c r="J1519" i="10" s="1"/>
  <c r="J1518" i="10" a="1"/>
  <c r="J1518" i="10" s="1"/>
  <c r="J1517" i="10" a="1"/>
  <c r="J1517" i="10" s="1"/>
  <c r="J1516" i="10" a="1"/>
  <c r="J1516" i="10" s="1"/>
  <c r="J1515" i="10" a="1"/>
  <c r="J1515" i="10" s="1"/>
  <c r="J1514" i="10" a="1"/>
  <c r="J1514" i="10" s="1"/>
  <c r="J1513" i="10" a="1"/>
  <c r="J1513" i="10" s="1"/>
  <c r="J1512" i="10" a="1"/>
  <c r="J1512" i="10" s="1"/>
  <c r="J1511" i="10" a="1"/>
  <c r="J1511" i="10" s="1"/>
  <c r="J1510" i="10" a="1"/>
  <c r="J1510" i="10" s="1"/>
  <c r="J1509" i="10" a="1"/>
  <c r="J1509" i="10" s="1"/>
  <c r="J1508" i="10" a="1"/>
  <c r="J1508" i="10" s="1"/>
  <c r="J1507" i="10" a="1"/>
  <c r="J1507" i="10" s="1"/>
  <c r="J1506" i="10" a="1"/>
  <c r="J1506" i="10" s="1"/>
  <c r="J1505" i="10" a="1"/>
  <c r="J1505" i="10" s="1"/>
  <c r="J1504" i="10" a="1"/>
  <c r="J1504" i="10" s="1"/>
  <c r="J1503" i="10" a="1"/>
  <c r="J1503" i="10" s="1"/>
  <c r="J1502" i="10" a="1"/>
  <c r="J1502" i="10" s="1"/>
  <c r="J1501" i="10"/>
  <c r="J1501" i="10" a="1"/>
  <c r="J1500" i="10" a="1"/>
  <c r="J1500" i="10" s="1"/>
  <c r="J1499" i="10" a="1"/>
  <c r="J1499" i="10" s="1"/>
  <c r="J1498" i="10" a="1"/>
  <c r="J1498" i="10" s="1"/>
  <c r="J1497" i="10" a="1"/>
  <c r="J1497" i="10" s="1"/>
  <c r="J1496" i="10" a="1"/>
  <c r="J1496" i="10" s="1"/>
  <c r="J1495" i="10" a="1"/>
  <c r="J1495" i="10" s="1"/>
  <c r="J1494" i="10" a="1"/>
  <c r="J1494" i="10" s="1"/>
  <c r="J1493" i="10" a="1"/>
  <c r="J1493" i="10" s="1"/>
  <c r="J1492" i="10" a="1"/>
  <c r="J1492" i="10" s="1"/>
  <c r="J1491" i="10" a="1"/>
  <c r="J1491" i="10" s="1"/>
  <c r="J1490" i="10" a="1"/>
  <c r="J1490" i="10" s="1"/>
  <c r="J1489" i="10" a="1"/>
  <c r="J1489" i="10" s="1"/>
  <c r="J1488" i="10" a="1"/>
  <c r="J1488" i="10" s="1"/>
  <c r="J1487" i="10" a="1"/>
  <c r="J1487" i="10" s="1"/>
  <c r="J1486" i="10" a="1"/>
  <c r="J1486" i="10" s="1"/>
  <c r="J1485" i="10" a="1"/>
  <c r="J1485" i="10" s="1"/>
  <c r="J1484" i="10" a="1"/>
  <c r="J1484" i="10" s="1"/>
  <c r="J1483" i="10" a="1"/>
  <c r="J1483" i="10" s="1"/>
  <c r="J1482" i="10" a="1"/>
  <c r="J1482" i="10" s="1"/>
  <c r="J1481" i="10" a="1"/>
  <c r="J1481" i="10" s="1"/>
  <c r="J1480" i="10" a="1"/>
  <c r="J1480" i="10" s="1"/>
  <c r="J1479" i="10" a="1"/>
  <c r="J1479" i="10" s="1"/>
  <c r="J1478" i="10" a="1"/>
  <c r="J1478" i="10" s="1"/>
  <c r="J1477" i="10" a="1"/>
  <c r="J1477" i="10" s="1"/>
  <c r="J1476" i="10" a="1"/>
  <c r="J1476" i="10" s="1"/>
  <c r="J1475" i="10" a="1"/>
  <c r="J1475" i="10" s="1"/>
  <c r="J1474" i="10" a="1"/>
  <c r="J1474" i="10" s="1"/>
  <c r="J1473" i="10" a="1"/>
  <c r="J1473" i="10" s="1"/>
  <c r="J1472" i="10" a="1"/>
  <c r="J1472" i="10" s="1"/>
  <c r="J1471" i="10" a="1"/>
  <c r="J1471" i="10" s="1"/>
  <c r="J1470" i="10" a="1"/>
  <c r="J1470" i="10" s="1"/>
  <c r="J1469" i="10" a="1"/>
  <c r="J1469" i="10" s="1"/>
  <c r="J1468" i="10" a="1"/>
  <c r="J1468" i="10" s="1"/>
  <c r="J1467" i="10" a="1"/>
  <c r="J1467" i="10" s="1"/>
  <c r="J1466" i="10" a="1"/>
  <c r="J1466" i="10" s="1"/>
  <c r="J1465" i="10" a="1"/>
  <c r="J1465" i="10" s="1"/>
  <c r="J1464" i="10" a="1"/>
  <c r="J1464" i="10" s="1"/>
  <c r="J1463" i="10" a="1"/>
  <c r="J1463" i="10" s="1"/>
  <c r="J1462" i="10" a="1"/>
  <c r="J1462" i="10" s="1"/>
  <c r="J1461" i="10" a="1"/>
  <c r="J1461" i="10" s="1"/>
  <c r="J1460" i="10" a="1"/>
  <c r="J1460" i="10" s="1"/>
  <c r="J1459" i="10" a="1"/>
  <c r="J1459" i="10" s="1"/>
  <c r="J1458" i="10" a="1"/>
  <c r="J1458" i="10" s="1"/>
  <c r="J1457" i="10" a="1"/>
  <c r="J1457" i="10" s="1"/>
  <c r="J1456" i="10" a="1"/>
  <c r="J1456" i="10" s="1"/>
  <c r="J1455" i="10" a="1"/>
  <c r="J1455" i="10" s="1"/>
  <c r="J1454" i="10" a="1"/>
  <c r="J1454" i="10" s="1"/>
  <c r="J1453" i="10" a="1"/>
  <c r="J1453" i="10" s="1"/>
  <c r="J1452" i="10" a="1"/>
  <c r="J1452" i="10" s="1"/>
  <c r="J1451" i="10" a="1"/>
  <c r="J1451" i="10" s="1"/>
  <c r="J1450" i="10" a="1"/>
  <c r="J1450" i="10" s="1"/>
  <c r="J1449" i="10" a="1"/>
  <c r="J1449" i="10" s="1"/>
  <c r="J1448" i="10" a="1"/>
  <c r="J1448" i="10" s="1"/>
  <c r="J1447" i="10" a="1"/>
  <c r="J1447" i="10" s="1"/>
  <c r="J1446" i="10" a="1"/>
  <c r="J1446" i="10" s="1"/>
  <c r="J1445" i="10" a="1"/>
  <c r="J1445" i="10" s="1"/>
  <c r="J1444" i="10" a="1"/>
  <c r="J1444" i="10" s="1"/>
  <c r="J1443" i="10" a="1"/>
  <c r="J1443" i="10" s="1"/>
  <c r="J1442" i="10" a="1"/>
  <c r="J1442" i="10" s="1"/>
  <c r="J1441" i="10" a="1"/>
  <c r="J1441" i="10" s="1"/>
  <c r="J1440" i="10" a="1"/>
  <c r="J1440" i="10" s="1"/>
  <c r="J1439" i="10" a="1"/>
  <c r="J1439" i="10" s="1"/>
  <c r="J1438" i="10" a="1"/>
  <c r="J1438" i="10" s="1"/>
  <c r="J1437" i="10" a="1"/>
  <c r="J1437" i="10" s="1"/>
  <c r="J1436" i="10" a="1"/>
  <c r="J1436" i="10" s="1"/>
  <c r="J1435" i="10" a="1"/>
  <c r="J1435" i="10" s="1"/>
  <c r="J1434" i="10" a="1"/>
  <c r="J1434" i="10" s="1"/>
  <c r="J1433" i="10" a="1"/>
  <c r="J1433" i="10" s="1"/>
  <c r="J1432" i="10" a="1"/>
  <c r="J1432" i="10" s="1"/>
  <c r="J1431" i="10" a="1"/>
  <c r="J1431" i="10" s="1"/>
  <c r="J1430" i="10" a="1"/>
  <c r="J1430" i="10" s="1"/>
  <c r="J1429" i="10" a="1"/>
  <c r="J1429" i="10" s="1"/>
  <c r="J1428" i="10" a="1"/>
  <c r="J1428" i="10" s="1"/>
  <c r="J1427" i="10" a="1"/>
  <c r="J1427" i="10" s="1"/>
  <c r="J1426" i="10" a="1"/>
  <c r="J1426" i="10" s="1"/>
  <c r="J1425" i="10" a="1"/>
  <c r="J1425" i="10" s="1"/>
  <c r="J1424" i="10" a="1"/>
  <c r="J1424" i="10" s="1"/>
  <c r="J1423" i="10" a="1"/>
  <c r="J1423" i="10" s="1"/>
  <c r="J1422" i="10" a="1"/>
  <c r="J1422" i="10" s="1"/>
  <c r="J1421" i="10" a="1"/>
  <c r="J1421" i="10" s="1"/>
  <c r="J1420" i="10" a="1"/>
  <c r="J1420" i="10" s="1"/>
  <c r="J1419" i="10" a="1"/>
  <c r="J1419" i="10" s="1"/>
  <c r="J1418" i="10" a="1"/>
  <c r="J1418" i="10" s="1"/>
  <c r="J1417" i="10" a="1"/>
  <c r="J1417" i="10" s="1"/>
  <c r="J1416" i="10" a="1"/>
  <c r="J1416" i="10" s="1"/>
  <c r="J1415" i="10" a="1"/>
  <c r="J1415" i="10" s="1"/>
  <c r="J1414" i="10" a="1"/>
  <c r="J1414" i="10" s="1"/>
  <c r="J1413" i="10" a="1"/>
  <c r="J1413" i="10" s="1"/>
  <c r="J1412" i="10" a="1"/>
  <c r="J1412" i="10" s="1"/>
  <c r="J1411" i="10" a="1"/>
  <c r="J1411" i="10" s="1"/>
  <c r="J1410" i="10" a="1"/>
  <c r="J1410" i="10" s="1"/>
  <c r="J1409" i="10" a="1"/>
  <c r="J1409" i="10" s="1"/>
  <c r="J1408" i="10" a="1"/>
  <c r="J1408" i="10" s="1"/>
  <c r="J1407" i="10" a="1"/>
  <c r="J1407" i="10" s="1"/>
  <c r="J1406" i="10" a="1"/>
  <c r="J1406" i="10" s="1"/>
  <c r="J1405" i="10" a="1"/>
  <c r="J1405" i="10" s="1"/>
  <c r="J1404" i="10" a="1"/>
  <c r="J1404" i="10" s="1"/>
  <c r="J1403" i="10" a="1"/>
  <c r="J1403" i="10" s="1"/>
  <c r="J1402" i="10" a="1"/>
  <c r="J1402" i="10" s="1"/>
  <c r="J1401" i="10" a="1"/>
  <c r="J1401" i="10" s="1"/>
  <c r="J1400" i="10" a="1"/>
  <c r="J1400" i="10" s="1"/>
  <c r="J1399" i="10" a="1"/>
  <c r="J1399" i="10" s="1"/>
  <c r="J1398" i="10" a="1"/>
  <c r="J1398" i="10" s="1"/>
  <c r="J1397" i="10" a="1"/>
  <c r="J1397" i="10" s="1"/>
  <c r="J1396" i="10" a="1"/>
  <c r="J1396" i="10" s="1"/>
  <c r="J1395" i="10" a="1"/>
  <c r="J1395" i="10" s="1"/>
  <c r="J1394" i="10" a="1"/>
  <c r="J1394" i="10" s="1"/>
  <c r="J1393" i="10" a="1"/>
  <c r="J1393" i="10" s="1"/>
  <c r="J1392" i="10" a="1"/>
  <c r="J1392" i="10" s="1"/>
  <c r="J1391" i="10" a="1"/>
  <c r="J1391" i="10" s="1"/>
  <c r="J1390" i="10" a="1"/>
  <c r="J1390" i="10" s="1"/>
  <c r="J1389" i="10" a="1"/>
  <c r="J1389" i="10" s="1"/>
  <c r="J1388" i="10" a="1"/>
  <c r="J1388" i="10" s="1"/>
  <c r="J1387" i="10" a="1"/>
  <c r="J1387" i="10" s="1"/>
  <c r="J1386" i="10" a="1"/>
  <c r="J1386" i="10" s="1"/>
  <c r="J1385" i="10" a="1"/>
  <c r="J1385" i="10" s="1"/>
  <c r="J1384" i="10" a="1"/>
  <c r="J1384" i="10" s="1"/>
  <c r="J1383" i="10" a="1"/>
  <c r="J1383" i="10" s="1"/>
  <c r="J1382" i="10" a="1"/>
  <c r="J1382" i="10" s="1"/>
  <c r="J1381" i="10" a="1"/>
  <c r="J1381" i="10" s="1"/>
  <c r="J1380" i="10" a="1"/>
  <c r="J1380" i="10" s="1"/>
  <c r="J1379" i="10" a="1"/>
  <c r="J1379" i="10" s="1"/>
  <c r="J1378" i="10" a="1"/>
  <c r="J1378" i="10" s="1"/>
  <c r="J1377" i="10" a="1"/>
  <c r="J1377" i="10" s="1"/>
  <c r="J1376" i="10" a="1"/>
  <c r="J1376" i="10" s="1"/>
  <c r="J1375" i="10" a="1"/>
  <c r="J1375" i="10" s="1"/>
  <c r="J1374" i="10" a="1"/>
  <c r="J1374" i="10" s="1"/>
  <c r="J1373" i="10" a="1"/>
  <c r="J1373" i="10" s="1"/>
  <c r="J1372" i="10" a="1"/>
  <c r="J1372" i="10" s="1"/>
  <c r="J1371" i="10" a="1"/>
  <c r="J1371" i="10" s="1"/>
  <c r="J1370" i="10" a="1"/>
  <c r="J1370" i="10" s="1"/>
  <c r="J1369" i="10" a="1"/>
  <c r="J1369" i="10" s="1"/>
  <c r="J1368" i="10" a="1"/>
  <c r="J1368" i="10" s="1"/>
  <c r="J1367" i="10" a="1"/>
  <c r="J1367" i="10" s="1"/>
  <c r="J1366" i="10" a="1"/>
  <c r="J1366" i="10" s="1"/>
  <c r="J1365" i="10" a="1"/>
  <c r="J1365" i="10" s="1"/>
  <c r="J1364" i="10" a="1"/>
  <c r="J1364" i="10" s="1"/>
  <c r="J1363" i="10" a="1"/>
  <c r="J1363" i="10" s="1"/>
  <c r="J1362" i="10" a="1"/>
  <c r="J1362" i="10" s="1"/>
  <c r="J1361" i="10" a="1"/>
  <c r="J1361" i="10" s="1"/>
  <c r="J1360" i="10" a="1"/>
  <c r="J1360" i="10" s="1"/>
  <c r="J1359" i="10" a="1"/>
  <c r="J1359" i="10" s="1"/>
  <c r="J1358" i="10" a="1"/>
  <c r="J1358" i="10" s="1"/>
  <c r="J1357" i="10" a="1"/>
  <c r="J1357" i="10" s="1"/>
  <c r="J1356" i="10" a="1"/>
  <c r="J1356" i="10" s="1"/>
  <c r="J1355" i="10" a="1"/>
  <c r="J1355" i="10" s="1"/>
  <c r="J1354" i="10" a="1"/>
  <c r="J1354" i="10" s="1"/>
  <c r="J1353" i="10" a="1"/>
  <c r="J1353" i="10" s="1"/>
  <c r="J1352" i="10" a="1"/>
  <c r="J1352" i="10" s="1"/>
  <c r="J1351" i="10" a="1"/>
  <c r="J1351" i="10" s="1"/>
  <c r="J1350" i="10" a="1"/>
  <c r="J1350" i="10" s="1"/>
  <c r="J1349" i="10" a="1"/>
  <c r="J1349" i="10" s="1"/>
  <c r="J1348" i="10" a="1"/>
  <c r="J1348" i="10" s="1"/>
  <c r="J1347" i="10" a="1"/>
  <c r="J1347" i="10" s="1"/>
  <c r="J1346" i="10" a="1"/>
  <c r="J1346" i="10" s="1"/>
  <c r="J1345" i="10" a="1"/>
  <c r="J1345" i="10" s="1"/>
  <c r="J1344" i="10" a="1"/>
  <c r="J1344" i="10" s="1"/>
  <c r="J1343" i="10" a="1"/>
  <c r="J1343" i="10" s="1"/>
  <c r="J1342" i="10" a="1"/>
  <c r="J1342" i="10" s="1"/>
  <c r="J1341" i="10" a="1"/>
  <c r="J1341" i="10" s="1"/>
  <c r="J1340" i="10" a="1"/>
  <c r="J1340" i="10" s="1"/>
  <c r="J1339" i="10" a="1"/>
  <c r="J1339" i="10" s="1"/>
  <c r="J1338" i="10" a="1"/>
  <c r="J1338" i="10" s="1"/>
  <c r="J1337" i="10" a="1"/>
  <c r="J1337" i="10" s="1"/>
  <c r="J1336" i="10" a="1"/>
  <c r="J1336" i="10" s="1"/>
  <c r="J1335" i="10" a="1"/>
  <c r="J1335" i="10" s="1"/>
  <c r="J1334" i="10" a="1"/>
  <c r="J1334" i="10" s="1"/>
  <c r="J1333" i="10" a="1"/>
  <c r="J1333" i="10" s="1"/>
  <c r="J1332" i="10" a="1"/>
  <c r="J1332" i="10" s="1"/>
  <c r="J1331" i="10" a="1"/>
  <c r="J1331" i="10" s="1"/>
  <c r="J1330" i="10" a="1"/>
  <c r="J1330" i="10" s="1"/>
  <c r="J1329" i="10" a="1"/>
  <c r="J1329" i="10" s="1"/>
  <c r="J1328" i="10" a="1"/>
  <c r="J1328" i="10" s="1"/>
  <c r="J1327" i="10" a="1"/>
  <c r="J1327" i="10" s="1"/>
  <c r="J1326" i="10" a="1"/>
  <c r="J1326" i="10" s="1"/>
  <c r="J1325" i="10" a="1"/>
  <c r="J1325" i="10" s="1"/>
  <c r="J1324" i="10" a="1"/>
  <c r="J1324" i="10" s="1"/>
  <c r="J1323" i="10" a="1"/>
  <c r="J1323" i="10" s="1"/>
  <c r="J1322" i="10" a="1"/>
  <c r="J1322" i="10" s="1"/>
  <c r="J1321" i="10" a="1"/>
  <c r="J1321" i="10" s="1"/>
  <c r="J1320" i="10" a="1"/>
  <c r="J1320" i="10" s="1"/>
  <c r="J1319" i="10" a="1"/>
  <c r="J1319" i="10" s="1"/>
  <c r="J1318" i="10" a="1"/>
  <c r="J1318" i="10" s="1"/>
  <c r="J1317" i="10" a="1"/>
  <c r="J1317" i="10" s="1"/>
  <c r="J1316" i="10" a="1"/>
  <c r="J1316" i="10" s="1"/>
  <c r="J1315" i="10" a="1"/>
  <c r="J1315" i="10" s="1"/>
  <c r="J1314" i="10" a="1"/>
  <c r="J1314" i="10" s="1"/>
  <c r="J1313" i="10" a="1"/>
  <c r="J1313" i="10" s="1"/>
  <c r="J1312" i="10" a="1"/>
  <c r="J1312" i="10" s="1"/>
  <c r="J1311" i="10" a="1"/>
  <c r="J1311" i="10" s="1"/>
  <c r="J1310" i="10" a="1"/>
  <c r="J1310" i="10" s="1"/>
  <c r="J1309" i="10" a="1"/>
  <c r="J1309" i="10" s="1"/>
  <c r="J1308" i="10" a="1"/>
  <c r="J1308" i="10" s="1"/>
  <c r="J1307" i="10" a="1"/>
  <c r="J1307" i="10" s="1"/>
  <c r="J1306" i="10" a="1"/>
  <c r="J1306" i="10" s="1"/>
  <c r="J1305" i="10"/>
  <c r="J1305" i="10" a="1"/>
  <c r="J1304" i="10" a="1"/>
  <c r="J1304" i="10" s="1"/>
  <c r="J1303" i="10" a="1"/>
  <c r="J1303" i="10" s="1"/>
  <c r="J1302" i="10" a="1"/>
  <c r="J1302" i="10" s="1"/>
  <c r="J1301" i="10" a="1"/>
  <c r="J1301" i="10" s="1"/>
  <c r="J1300" i="10" a="1"/>
  <c r="J1300" i="10" s="1"/>
  <c r="J1299" i="10" a="1"/>
  <c r="J1299" i="10" s="1"/>
  <c r="J1298" i="10" a="1"/>
  <c r="J1298" i="10" s="1"/>
  <c r="J1297" i="10" a="1"/>
  <c r="J1297" i="10" s="1"/>
  <c r="J1296" i="10" a="1"/>
  <c r="J1296" i="10" s="1"/>
  <c r="J1295" i="10" a="1"/>
  <c r="J1295" i="10" s="1"/>
  <c r="J1294" i="10" a="1"/>
  <c r="J1294" i="10" s="1"/>
  <c r="J1293" i="10" a="1"/>
  <c r="J1293" i="10" s="1"/>
  <c r="J1292" i="10" a="1"/>
  <c r="J1292" i="10" s="1"/>
  <c r="J1291" i="10" a="1"/>
  <c r="J1291" i="10" s="1"/>
  <c r="J1290" i="10" a="1"/>
  <c r="J1290" i="10" s="1"/>
  <c r="J1289" i="10" a="1"/>
  <c r="J1289" i="10" s="1"/>
  <c r="J1288" i="10" a="1"/>
  <c r="J1288" i="10" s="1"/>
  <c r="J1287" i="10" a="1"/>
  <c r="J1287" i="10" s="1"/>
  <c r="J1286" i="10" a="1"/>
  <c r="J1286" i="10" s="1"/>
  <c r="J1285" i="10" a="1"/>
  <c r="J1285" i="10" s="1"/>
  <c r="J1284" i="10" a="1"/>
  <c r="J1284" i="10" s="1"/>
  <c r="J1283" i="10" a="1"/>
  <c r="J1283" i="10" s="1"/>
  <c r="J1282" i="10" a="1"/>
  <c r="J1282" i="10" s="1"/>
  <c r="J1281" i="10" a="1"/>
  <c r="J1281" i="10" s="1"/>
  <c r="J1280" i="10" a="1"/>
  <c r="J1280" i="10" s="1"/>
  <c r="J1279" i="10" a="1"/>
  <c r="J1279" i="10" s="1"/>
  <c r="J1278" i="10" a="1"/>
  <c r="J1278" i="10" s="1"/>
  <c r="J1277" i="10" a="1"/>
  <c r="J1277" i="10" s="1"/>
  <c r="J1276" i="10" a="1"/>
  <c r="J1276" i="10" s="1"/>
  <c r="J1275" i="10"/>
  <c r="J1275" i="10" a="1"/>
  <c r="J1274" i="10" a="1"/>
  <c r="J1274" i="10" s="1"/>
  <c r="J1273" i="10" a="1"/>
  <c r="J1273" i="10" s="1"/>
  <c r="J1272" i="10" a="1"/>
  <c r="J1272" i="10" s="1"/>
  <c r="J1271" i="10" a="1"/>
  <c r="J1271" i="10" s="1"/>
  <c r="J1270" i="10" a="1"/>
  <c r="J1270" i="10" s="1"/>
  <c r="J1269" i="10" a="1"/>
  <c r="J1269" i="10" s="1"/>
  <c r="J1268" i="10" a="1"/>
  <c r="J1268" i="10" s="1"/>
  <c r="J1267" i="10" a="1"/>
  <c r="J1267" i="10" s="1"/>
  <c r="J1266" i="10" a="1"/>
  <c r="J1266" i="10" s="1"/>
  <c r="J1265" i="10" a="1"/>
  <c r="J1265" i="10" s="1"/>
  <c r="J1264" i="10" a="1"/>
  <c r="J1264" i="10" s="1"/>
  <c r="J1263" i="10" a="1"/>
  <c r="J1263" i="10" s="1"/>
  <c r="J1262" i="10" a="1"/>
  <c r="J1262" i="10" s="1"/>
  <c r="J1261" i="10" a="1"/>
  <c r="J1261" i="10" s="1"/>
  <c r="J1260" i="10" a="1"/>
  <c r="J1260" i="10" s="1"/>
  <c r="J1259" i="10" a="1"/>
  <c r="J1259" i="10" s="1"/>
  <c r="J1258" i="10" a="1"/>
  <c r="J1258" i="10" s="1"/>
  <c r="J1257" i="10" a="1"/>
  <c r="J1257" i="10" s="1"/>
  <c r="J1256" i="10"/>
  <c r="J1256" i="10" a="1"/>
  <c r="J1255" i="10" a="1"/>
  <c r="J1255" i="10" s="1"/>
  <c r="J1254" i="10" a="1"/>
  <c r="J1254" i="10" s="1"/>
  <c r="J1253" i="10" a="1"/>
  <c r="J1253" i="10" s="1"/>
  <c r="J1252" i="10" a="1"/>
  <c r="J1252" i="10" s="1"/>
  <c r="J1251" i="10" a="1"/>
  <c r="J1251" i="10" s="1"/>
  <c r="J1250" i="10" a="1"/>
  <c r="J1250" i="10" s="1"/>
  <c r="J1249" i="10" a="1"/>
  <c r="J1249" i="10" s="1"/>
  <c r="J1248" i="10" a="1"/>
  <c r="J1248" i="10" s="1"/>
  <c r="J1247" i="10" a="1"/>
  <c r="J1247" i="10" s="1"/>
  <c r="J1246" i="10" a="1"/>
  <c r="J1246" i="10" s="1"/>
  <c r="J1245" i="10" a="1"/>
  <c r="J1245" i="10" s="1"/>
  <c r="J1244" i="10" a="1"/>
  <c r="J1244" i="10" s="1"/>
  <c r="J1243" i="10" a="1"/>
  <c r="J1243" i="10" s="1"/>
  <c r="J1242" i="10" a="1"/>
  <c r="J1242" i="10" s="1"/>
  <c r="J1241" i="10" a="1"/>
  <c r="J1241" i="10" s="1"/>
  <c r="J1240" i="10" a="1"/>
  <c r="J1240" i="10" s="1"/>
  <c r="J1239" i="10" a="1"/>
  <c r="J1239" i="10" s="1"/>
  <c r="J1238" i="10" a="1"/>
  <c r="J1238" i="10" s="1"/>
  <c r="J1237" i="10" a="1"/>
  <c r="J1237" i="10" s="1"/>
  <c r="J1236" i="10" a="1"/>
  <c r="J1236" i="10" s="1"/>
  <c r="J1235" i="10" a="1"/>
  <c r="J1235" i="10" s="1"/>
  <c r="J1234" i="10" a="1"/>
  <c r="J1234" i="10" s="1"/>
  <c r="J1233" i="10" a="1"/>
  <c r="J1233" i="10" s="1"/>
  <c r="J1232" i="10" a="1"/>
  <c r="J1232" i="10" s="1"/>
  <c r="J1231" i="10" a="1"/>
  <c r="J1231" i="10" s="1"/>
  <c r="J1230" i="10" a="1"/>
  <c r="J1230" i="10" s="1"/>
  <c r="J1229" i="10" a="1"/>
  <c r="J1229" i="10" s="1"/>
  <c r="J1228" i="10" a="1"/>
  <c r="J1228" i="10" s="1"/>
  <c r="J1227" i="10" a="1"/>
  <c r="J1227" i="10" s="1"/>
  <c r="J1226" i="10" a="1"/>
  <c r="J1226" i="10" s="1"/>
  <c r="J1225" i="10" a="1"/>
  <c r="J1225" i="10" s="1"/>
  <c r="J1224" i="10" a="1"/>
  <c r="J1224" i="10" s="1"/>
  <c r="J1223" i="10" a="1"/>
  <c r="J1223" i="10" s="1"/>
  <c r="J1222" i="10" a="1"/>
  <c r="J1222" i="10" s="1"/>
  <c r="J1221" i="10" a="1"/>
  <c r="J1221" i="10" s="1"/>
  <c r="J1220" i="10" a="1"/>
  <c r="J1220" i="10" s="1"/>
  <c r="J1219" i="10" a="1"/>
  <c r="J1219" i="10" s="1"/>
  <c r="J1218" i="10" a="1"/>
  <c r="J1218" i="10" s="1"/>
  <c r="J1217" i="10" a="1"/>
  <c r="J1217" i="10" s="1"/>
  <c r="J1216" i="10" a="1"/>
  <c r="J1216" i="10" s="1"/>
  <c r="J1215" i="10" a="1"/>
  <c r="J1215" i="10" s="1"/>
  <c r="J1214" i="10" a="1"/>
  <c r="J1214" i="10" s="1"/>
  <c r="J1213" i="10" a="1"/>
  <c r="J1213" i="10" s="1"/>
  <c r="J1212" i="10" a="1"/>
  <c r="J1212" i="10" s="1"/>
  <c r="J1211" i="10" a="1"/>
  <c r="J1211" i="10" s="1"/>
  <c r="J1210" i="10" a="1"/>
  <c r="J1210" i="10" s="1"/>
  <c r="J1209" i="10" a="1"/>
  <c r="J1209" i="10" s="1"/>
  <c r="J1208" i="10" a="1"/>
  <c r="J1208" i="10" s="1"/>
  <c r="J1207" i="10" a="1"/>
  <c r="J1207" i="10" s="1"/>
  <c r="J1206" i="10" a="1"/>
  <c r="J1206" i="10" s="1"/>
  <c r="J1205" i="10" a="1"/>
  <c r="J1205" i="10" s="1"/>
  <c r="J1204" i="10" a="1"/>
  <c r="J1204" i="10" s="1"/>
  <c r="J1203" i="10" a="1"/>
  <c r="J1203" i="10" s="1"/>
  <c r="J1202" i="10" a="1"/>
  <c r="J1202" i="10" s="1"/>
  <c r="J1201" i="10" a="1"/>
  <c r="J1201" i="10" s="1"/>
  <c r="J1200" i="10" a="1"/>
  <c r="J1200" i="10" s="1"/>
  <c r="J1199" i="10" a="1"/>
  <c r="J1199" i="10" s="1"/>
  <c r="J1198" i="10" a="1"/>
  <c r="J1198" i="10" s="1"/>
  <c r="J1197" i="10" a="1"/>
  <c r="J1197" i="10" s="1"/>
  <c r="J1196" i="10" a="1"/>
  <c r="J1196" i="10" s="1"/>
  <c r="J1195" i="10" a="1"/>
  <c r="J1195" i="10" s="1"/>
  <c r="J1194" i="10" a="1"/>
  <c r="J1194" i="10" s="1"/>
  <c r="J1193" i="10" a="1"/>
  <c r="J1193" i="10" s="1"/>
  <c r="J1192" i="10" a="1"/>
  <c r="J1192" i="10" s="1"/>
  <c r="J1191" i="10" a="1"/>
  <c r="J1191" i="10" s="1"/>
  <c r="J1190" i="10" a="1"/>
  <c r="J1190" i="10" s="1"/>
  <c r="J1189" i="10" a="1"/>
  <c r="J1189" i="10" s="1"/>
  <c r="J1188" i="10" a="1"/>
  <c r="J1188" i="10" s="1"/>
  <c r="J1187" i="10" a="1"/>
  <c r="J1187" i="10" s="1"/>
  <c r="J1186" i="10" a="1"/>
  <c r="J1186" i="10" s="1"/>
  <c r="J1185" i="10" a="1"/>
  <c r="J1185" i="10" s="1"/>
  <c r="J1184" i="10" a="1"/>
  <c r="J1184" i="10" s="1"/>
  <c r="J1183" i="10" a="1"/>
  <c r="J1183" i="10" s="1"/>
  <c r="J1182" i="10" a="1"/>
  <c r="J1182" i="10" s="1"/>
  <c r="J1181" i="10" a="1"/>
  <c r="J1181" i="10" s="1"/>
  <c r="J1180" i="10" a="1"/>
  <c r="J1180" i="10" s="1"/>
  <c r="J1179" i="10" a="1"/>
  <c r="J1179" i="10" s="1"/>
  <c r="J1178" i="10" a="1"/>
  <c r="J1178" i="10" s="1"/>
  <c r="J1177" i="10" a="1"/>
  <c r="J1177" i="10" s="1"/>
  <c r="J1176" i="10" a="1"/>
  <c r="J1176" i="10" s="1"/>
  <c r="J1175" i="10" a="1"/>
  <c r="J1175" i="10" s="1"/>
  <c r="J1174" i="10" a="1"/>
  <c r="J1174" i="10" s="1"/>
  <c r="J1173" i="10" a="1"/>
  <c r="J1173" i="10" s="1"/>
  <c r="J1172" i="10" a="1"/>
  <c r="J1172" i="10" s="1"/>
  <c r="J1171" i="10" a="1"/>
  <c r="J1171" i="10" s="1"/>
  <c r="J1170" i="10" a="1"/>
  <c r="J1170" i="10" s="1"/>
  <c r="J1169" i="10" a="1"/>
  <c r="J1169" i="10" s="1"/>
  <c r="J1168" i="10" a="1"/>
  <c r="J1168" i="10" s="1"/>
  <c r="J1167" i="10" a="1"/>
  <c r="J1167" i="10" s="1"/>
  <c r="J1166" i="10" a="1"/>
  <c r="J1166" i="10" s="1"/>
  <c r="J1165" i="10" a="1"/>
  <c r="J1165" i="10" s="1"/>
  <c r="J1164" i="10" a="1"/>
  <c r="J1164" i="10" s="1"/>
  <c r="J1163" i="10" a="1"/>
  <c r="J1163" i="10" s="1"/>
  <c r="J1162" i="10" a="1"/>
  <c r="J1162" i="10" s="1"/>
  <c r="J1161" i="10" a="1"/>
  <c r="J1161" i="10" s="1"/>
  <c r="J1160" i="10" a="1"/>
  <c r="J1160" i="10" s="1"/>
  <c r="J1159" i="10" a="1"/>
  <c r="J1159" i="10" s="1"/>
  <c r="J1158" i="10" a="1"/>
  <c r="J1158" i="10" s="1"/>
  <c r="J1157" i="10" a="1"/>
  <c r="J1157" i="10" s="1"/>
  <c r="J1156" i="10" a="1"/>
  <c r="J1156" i="10" s="1"/>
  <c r="J1155" i="10" a="1"/>
  <c r="J1155" i="10" s="1"/>
  <c r="J1154" i="10" a="1"/>
  <c r="J1154" i="10" s="1"/>
  <c r="J1153" i="10" a="1"/>
  <c r="J1153" i="10" s="1"/>
  <c r="J1152" i="10" a="1"/>
  <c r="J1152" i="10" s="1"/>
  <c r="J1151" i="10" a="1"/>
  <c r="J1151" i="10" s="1"/>
  <c r="J1150" i="10" a="1"/>
  <c r="J1150" i="10" s="1"/>
  <c r="J1149" i="10" a="1"/>
  <c r="J1149" i="10" s="1"/>
  <c r="J1148" i="10" a="1"/>
  <c r="J1148" i="10" s="1"/>
  <c r="J1147" i="10" a="1"/>
  <c r="J1147" i="10" s="1"/>
  <c r="J1146" i="10" a="1"/>
  <c r="J1146" i="10" s="1"/>
  <c r="J1145" i="10" a="1"/>
  <c r="J1145" i="10" s="1"/>
  <c r="J1144" i="10" a="1"/>
  <c r="J1144" i="10" s="1"/>
  <c r="J1143" i="10" a="1"/>
  <c r="J1143" i="10" s="1"/>
  <c r="J1142" i="10" a="1"/>
  <c r="J1142" i="10" s="1"/>
  <c r="J1141" i="10" a="1"/>
  <c r="J1141" i="10" s="1"/>
  <c r="J1140" i="10" a="1"/>
  <c r="J1140" i="10" s="1"/>
  <c r="J1139" i="10" a="1"/>
  <c r="J1139" i="10" s="1"/>
  <c r="J1138" i="10" a="1"/>
  <c r="J1138" i="10" s="1"/>
  <c r="J1137" i="10" a="1"/>
  <c r="J1137" i="10" s="1"/>
  <c r="J1136" i="10" a="1"/>
  <c r="J1136" i="10" s="1"/>
  <c r="J1135" i="10" a="1"/>
  <c r="J1135" i="10" s="1"/>
  <c r="J1134" i="10" a="1"/>
  <c r="J1134" i="10" s="1"/>
  <c r="J1133" i="10" a="1"/>
  <c r="J1133" i="10" s="1"/>
  <c r="J1132" i="10" a="1"/>
  <c r="J1132" i="10" s="1"/>
  <c r="J1131" i="10" a="1"/>
  <c r="J1131" i="10" s="1"/>
  <c r="J1130" i="10" a="1"/>
  <c r="J1130" i="10" s="1"/>
  <c r="J1129" i="10" a="1"/>
  <c r="J1129" i="10" s="1"/>
  <c r="J1128" i="10" a="1"/>
  <c r="J1128" i="10" s="1"/>
  <c r="J1127" i="10" a="1"/>
  <c r="J1127" i="10" s="1"/>
  <c r="J1126" i="10" a="1"/>
  <c r="J1126" i="10" s="1"/>
  <c r="J1125" i="10" a="1"/>
  <c r="J1125" i="10" s="1"/>
  <c r="J1124" i="10" a="1"/>
  <c r="J1124" i="10" s="1"/>
  <c r="J1123" i="10" a="1"/>
  <c r="J1123" i="10" s="1"/>
  <c r="J1122" i="10" a="1"/>
  <c r="J1122" i="10" s="1"/>
  <c r="J1121" i="10" a="1"/>
  <c r="J1121" i="10" s="1"/>
  <c r="J1120" i="10" a="1"/>
  <c r="J1120" i="10" s="1"/>
  <c r="J1119" i="10" a="1"/>
  <c r="J1119" i="10" s="1"/>
  <c r="J1118" i="10" a="1"/>
  <c r="J1118" i="10" s="1"/>
  <c r="J1117" i="10" a="1"/>
  <c r="J1117" i="10" s="1"/>
  <c r="J1116" i="10" a="1"/>
  <c r="J1116" i="10" s="1"/>
  <c r="J1115" i="10" a="1"/>
  <c r="J1115" i="10" s="1"/>
  <c r="J1114" i="10" a="1"/>
  <c r="J1114" i="10" s="1"/>
  <c r="J1113" i="10" a="1"/>
  <c r="J1113" i="10" s="1"/>
  <c r="J1112" i="10" a="1"/>
  <c r="J1112" i="10" s="1"/>
  <c r="J1111" i="10" a="1"/>
  <c r="J1111" i="10" s="1"/>
  <c r="J1110" i="10" a="1"/>
  <c r="J1110" i="10" s="1"/>
  <c r="J1109" i="10" a="1"/>
  <c r="J1109" i="10" s="1"/>
  <c r="J1108" i="10" a="1"/>
  <c r="J1108" i="10" s="1"/>
  <c r="J1107" i="10" a="1"/>
  <c r="J1107" i="10" s="1"/>
  <c r="J1106" i="10" a="1"/>
  <c r="J1106" i="10" s="1"/>
  <c r="J1105" i="10" a="1"/>
  <c r="J1105" i="10" s="1"/>
  <c r="J1104" i="10" a="1"/>
  <c r="J1104" i="10" s="1"/>
  <c r="J1103" i="10" a="1"/>
  <c r="J1103" i="10" s="1"/>
  <c r="J1102" i="10" a="1"/>
  <c r="J1102" i="10" s="1"/>
  <c r="J1101" i="10" a="1"/>
  <c r="J1101" i="10" s="1"/>
  <c r="J1100" i="10" a="1"/>
  <c r="J1100" i="10" s="1"/>
  <c r="J1099" i="10" a="1"/>
  <c r="J1099" i="10" s="1"/>
  <c r="J1098" i="10"/>
  <c r="J1098" i="10" a="1"/>
  <c r="J1097" i="10" a="1"/>
  <c r="J1097" i="10" s="1"/>
  <c r="J1096" i="10" a="1"/>
  <c r="J1096" i="10" s="1"/>
  <c r="J1095" i="10" a="1"/>
  <c r="J1095" i="10" s="1"/>
  <c r="J1094" i="10" a="1"/>
  <c r="J1094" i="10" s="1"/>
  <c r="J1093" i="10" a="1"/>
  <c r="J1093" i="10" s="1"/>
  <c r="J1092" i="10" a="1"/>
  <c r="J1092" i="10" s="1"/>
  <c r="J1091" i="10" a="1"/>
  <c r="J1091" i="10" s="1"/>
  <c r="J1090" i="10" a="1"/>
  <c r="J1090" i="10" s="1"/>
  <c r="J1089" i="10" a="1"/>
  <c r="J1089" i="10" s="1"/>
  <c r="J1088" i="10" a="1"/>
  <c r="J1088" i="10" s="1"/>
  <c r="J1087" i="10" a="1"/>
  <c r="J1087" i="10" s="1"/>
  <c r="J1086" i="10" a="1"/>
  <c r="J1086" i="10" s="1"/>
  <c r="J1085" i="10" a="1"/>
  <c r="J1085" i="10" s="1"/>
  <c r="J1084" i="10" a="1"/>
  <c r="J1084" i="10" s="1"/>
  <c r="J1083" i="10" a="1"/>
  <c r="J1083" i="10" s="1"/>
  <c r="J1082" i="10" a="1"/>
  <c r="J1082" i="10" s="1"/>
  <c r="J1081" i="10" a="1"/>
  <c r="J1081" i="10" s="1"/>
  <c r="J1080" i="10" a="1"/>
  <c r="J1080" i="10" s="1"/>
  <c r="J1079" i="10" a="1"/>
  <c r="J1079" i="10" s="1"/>
  <c r="J1078" i="10" a="1"/>
  <c r="J1078" i="10" s="1"/>
  <c r="J1077" i="10" a="1"/>
  <c r="J1077" i="10" s="1"/>
  <c r="J1076" i="10" a="1"/>
  <c r="J1076" i="10" s="1"/>
  <c r="J1075" i="10" a="1"/>
  <c r="J1075" i="10" s="1"/>
  <c r="J1074" i="10" a="1"/>
  <c r="J1074" i="10" s="1"/>
  <c r="J1073" i="10" a="1"/>
  <c r="J1073" i="10" s="1"/>
  <c r="J1072" i="10" a="1"/>
  <c r="J1072" i="10" s="1"/>
  <c r="J1071" i="10" a="1"/>
  <c r="J1071" i="10" s="1"/>
  <c r="J1070" i="10" a="1"/>
  <c r="J1070" i="10" s="1"/>
  <c r="J1069" i="10" a="1"/>
  <c r="J1069" i="10" s="1"/>
  <c r="J1068" i="10" a="1"/>
  <c r="J1068" i="10" s="1"/>
  <c r="J1067" i="10" a="1"/>
  <c r="J1067" i="10" s="1"/>
  <c r="J1066" i="10" a="1"/>
  <c r="J1066" i="10" s="1"/>
  <c r="J1065" i="10" a="1"/>
  <c r="J1065" i="10" s="1"/>
  <c r="J1064" i="10" a="1"/>
  <c r="J1064" i="10" s="1"/>
  <c r="J1063" i="10" a="1"/>
  <c r="J1063" i="10" s="1"/>
  <c r="J1062" i="10" a="1"/>
  <c r="J1062" i="10" s="1"/>
  <c r="J1061" i="10" a="1"/>
  <c r="J1061" i="10" s="1"/>
  <c r="J1060" i="10" a="1"/>
  <c r="J1060" i="10" s="1"/>
  <c r="J1059" i="10" a="1"/>
  <c r="J1059" i="10" s="1"/>
  <c r="J1058" i="10" a="1"/>
  <c r="J1058" i="10" s="1"/>
  <c r="J1057" i="10" a="1"/>
  <c r="J1057" i="10" s="1"/>
  <c r="J1056" i="10" a="1"/>
  <c r="J1056" i="10" s="1"/>
  <c r="J1055" i="10" a="1"/>
  <c r="J1055" i="10" s="1"/>
  <c r="J1054" i="10" a="1"/>
  <c r="J1054" i="10" s="1"/>
  <c r="J1053" i="10" a="1"/>
  <c r="J1053" i="10" s="1"/>
  <c r="J1052" i="10" a="1"/>
  <c r="J1052" i="10" s="1"/>
  <c r="J1051" i="10" a="1"/>
  <c r="J1051" i="10" s="1"/>
  <c r="J1050" i="10" a="1"/>
  <c r="J1050" i="10" s="1"/>
  <c r="J1049" i="10" a="1"/>
  <c r="J1049" i="10" s="1"/>
  <c r="J1048" i="10" a="1"/>
  <c r="J1048" i="10" s="1"/>
  <c r="J1047" i="10" a="1"/>
  <c r="J1047" i="10" s="1"/>
  <c r="J1046" i="10" a="1"/>
  <c r="J1046" i="10" s="1"/>
  <c r="J1045" i="10" a="1"/>
  <c r="J1045" i="10" s="1"/>
  <c r="J1044" i="10" a="1"/>
  <c r="J1044" i="10" s="1"/>
  <c r="J1043" i="10" a="1"/>
  <c r="J1043" i="10" s="1"/>
  <c r="J1042" i="10" a="1"/>
  <c r="J1042" i="10" s="1"/>
  <c r="J1041" i="10" a="1"/>
  <c r="J1041" i="10" s="1"/>
  <c r="J1040" i="10" a="1"/>
  <c r="J1040" i="10" s="1"/>
  <c r="J1039" i="10" a="1"/>
  <c r="J1039" i="10" s="1"/>
  <c r="J1038" i="10" a="1"/>
  <c r="J1038" i="10" s="1"/>
  <c r="J1037" i="10" a="1"/>
  <c r="J1037" i="10" s="1"/>
  <c r="J1036" i="10" a="1"/>
  <c r="J1036" i="10" s="1"/>
  <c r="J1035" i="10" a="1"/>
  <c r="J1035" i="10" s="1"/>
  <c r="J1034" i="10" a="1"/>
  <c r="J1034" i="10" s="1"/>
  <c r="J1033" i="10" a="1"/>
  <c r="J1033" i="10" s="1"/>
  <c r="J1032" i="10" a="1"/>
  <c r="J1032" i="10" s="1"/>
  <c r="J1031" i="10" a="1"/>
  <c r="J1031" i="10" s="1"/>
  <c r="J1030" i="10" a="1"/>
  <c r="J1030" i="10" s="1"/>
  <c r="J1029" i="10" a="1"/>
  <c r="J1029" i="10" s="1"/>
  <c r="J1028" i="10" a="1"/>
  <c r="J1028" i="10" s="1"/>
  <c r="J1027" i="10" a="1"/>
  <c r="J1027" i="10" s="1"/>
  <c r="J1026" i="10" a="1"/>
  <c r="J1026" i="10" s="1"/>
  <c r="J1025" i="10" a="1"/>
  <c r="J1025" i="10" s="1"/>
  <c r="J1024" i="10" a="1"/>
  <c r="J1024" i="10" s="1"/>
  <c r="J1023" i="10" a="1"/>
  <c r="J1023" i="10" s="1"/>
  <c r="J1022" i="10" a="1"/>
  <c r="J1022" i="10" s="1"/>
  <c r="J1021" i="10" a="1"/>
  <c r="J1021" i="10" s="1"/>
  <c r="J1020" i="10" a="1"/>
  <c r="J1020" i="10" s="1"/>
  <c r="J1019" i="10" a="1"/>
  <c r="J1019" i="10" s="1"/>
  <c r="J1018" i="10" a="1"/>
  <c r="J1018" i="10" s="1"/>
  <c r="J1017" i="10" a="1"/>
  <c r="J1017" i="10" s="1"/>
  <c r="J1016" i="10" a="1"/>
  <c r="J1016" i="10" s="1"/>
  <c r="J1015" i="10" a="1"/>
  <c r="J1015" i="10" s="1"/>
  <c r="J1014" i="10" a="1"/>
  <c r="J1014" i="10" s="1"/>
  <c r="J1013" i="10" a="1"/>
  <c r="J1013" i="10" s="1"/>
  <c r="J1012" i="10" a="1"/>
  <c r="J1012" i="10" s="1"/>
  <c r="J1011" i="10" a="1"/>
  <c r="J1011" i="10" s="1"/>
  <c r="J1010" i="10" a="1"/>
  <c r="J1010" i="10" s="1"/>
  <c r="J1009" i="10" a="1"/>
  <c r="J1009" i="10" s="1"/>
  <c r="J1008" i="10" a="1"/>
  <c r="J1008" i="10" s="1"/>
  <c r="J1007" i="10" a="1"/>
  <c r="J1007" i="10" s="1"/>
  <c r="J1006" i="10" a="1"/>
  <c r="J1006" i="10" s="1"/>
  <c r="J1005" i="10" a="1"/>
  <c r="J1005" i="10" s="1"/>
  <c r="J1004" i="10" a="1"/>
  <c r="J1004" i="10" s="1"/>
  <c r="J1003" i="10" a="1"/>
  <c r="J1003" i="10" s="1"/>
  <c r="J1002" i="10" a="1"/>
  <c r="J1002" i="10" s="1"/>
  <c r="J1001" i="10" a="1"/>
  <c r="J1001" i="10" s="1"/>
  <c r="J1000" i="10" a="1"/>
  <c r="J1000" i="10" s="1"/>
  <c r="J999" i="10" a="1"/>
  <c r="J999" i="10" s="1"/>
  <c r="J998" i="10" a="1"/>
  <c r="J998" i="10" s="1"/>
  <c r="J997" i="10" a="1"/>
  <c r="J997" i="10" s="1"/>
  <c r="J996" i="10" a="1"/>
  <c r="J996" i="10" s="1"/>
  <c r="J995" i="10" a="1"/>
  <c r="J995" i="10" s="1"/>
  <c r="J994" i="10" a="1"/>
  <c r="J994" i="10" s="1"/>
  <c r="J993" i="10" a="1"/>
  <c r="J993" i="10" s="1"/>
  <c r="J992" i="10" a="1"/>
  <c r="J992" i="10" s="1"/>
  <c r="J991" i="10" a="1"/>
  <c r="J991" i="10" s="1"/>
  <c r="J990" i="10" a="1"/>
  <c r="J990" i="10" s="1"/>
  <c r="J989" i="10" a="1"/>
  <c r="J989" i="10" s="1"/>
  <c r="J988" i="10" a="1"/>
  <c r="J988" i="10" s="1"/>
  <c r="J987" i="10" a="1"/>
  <c r="J987" i="10" s="1"/>
  <c r="J986" i="10" a="1"/>
  <c r="J986" i="10" s="1"/>
  <c r="J985" i="10" a="1"/>
  <c r="J985" i="10" s="1"/>
  <c r="J984" i="10" a="1"/>
  <c r="J984" i="10" s="1"/>
  <c r="J983" i="10" a="1"/>
  <c r="J983" i="10" s="1"/>
  <c r="J982" i="10" a="1"/>
  <c r="J982" i="10" s="1"/>
  <c r="J981" i="10" a="1"/>
  <c r="J981" i="10" s="1"/>
  <c r="J980" i="10" a="1"/>
  <c r="J980" i="10" s="1"/>
  <c r="J979" i="10" a="1"/>
  <c r="J979" i="10" s="1"/>
  <c r="J978" i="10" a="1"/>
  <c r="J978" i="10" s="1"/>
  <c r="J977" i="10" a="1"/>
  <c r="J977" i="10" s="1"/>
  <c r="J976" i="10" a="1"/>
  <c r="J976" i="10" s="1"/>
  <c r="J975" i="10" a="1"/>
  <c r="J975" i="10" s="1"/>
  <c r="J974" i="10" a="1"/>
  <c r="J974" i="10" s="1"/>
  <c r="J973" i="10" a="1"/>
  <c r="J973" i="10" s="1"/>
  <c r="J972" i="10" a="1"/>
  <c r="J972" i="10" s="1"/>
  <c r="J971" i="10" a="1"/>
  <c r="J971" i="10" s="1"/>
  <c r="J970" i="10" a="1"/>
  <c r="J970" i="10" s="1"/>
  <c r="J969" i="10" a="1"/>
  <c r="J969" i="10" s="1"/>
  <c r="J968" i="10" a="1"/>
  <c r="J968" i="10" s="1"/>
  <c r="J967" i="10" a="1"/>
  <c r="J967" i="10" s="1"/>
  <c r="J966" i="10" a="1"/>
  <c r="J966" i="10" s="1"/>
  <c r="J965" i="10" a="1"/>
  <c r="J965" i="10" s="1"/>
  <c r="J964" i="10" a="1"/>
  <c r="J964" i="10" s="1"/>
  <c r="J963" i="10" a="1"/>
  <c r="J963" i="10" s="1"/>
  <c r="J962" i="10" a="1"/>
  <c r="J962" i="10" s="1"/>
  <c r="J961" i="10" a="1"/>
  <c r="J961" i="10" s="1"/>
  <c r="J960" i="10" a="1"/>
  <c r="J960" i="10" s="1"/>
  <c r="J959" i="10" a="1"/>
  <c r="J959" i="10" s="1"/>
  <c r="J958" i="10" a="1"/>
  <c r="J958" i="10" s="1"/>
  <c r="J957" i="10" a="1"/>
  <c r="J957" i="10" s="1"/>
  <c r="J956" i="10" a="1"/>
  <c r="J956" i="10" s="1"/>
  <c r="J955" i="10" a="1"/>
  <c r="J955" i="10" s="1"/>
  <c r="J954" i="10" a="1"/>
  <c r="J954" i="10" s="1"/>
  <c r="J953" i="10" a="1"/>
  <c r="J953" i="10" s="1"/>
  <c r="J952" i="10" a="1"/>
  <c r="J952" i="10" s="1"/>
  <c r="J951" i="10" a="1"/>
  <c r="J951" i="10" s="1"/>
  <c r="J950" i="10" a="1"/>
  <c r="J950" i="10" s="1"/>
  <c r="J949" i="10" a="1"/>
  <c r="J949" i="10" s="1"/>
  <c r="J948" i="10" a="1"/>
  <c r="J948" i="10" s="1"/>
  <c r="J947" i="10" a="1"/>
  <c r="J947" i="10" s="1"/>
  <c r="J946" i="10" a="1"/>
  <c r="J946" i="10" s="1"/>
  <c r="J945" i="10" a="1"/>
  <c r="J945" i="10" s="1"/>
  <c r="J944" i="10" a="1"/>
  <c r="J944" i="10" s="1"/>
  <c r="J943" i="10" a="1"/>
  <c r="J943" i="10" s="1"/>
  <c r="J942" i="10" a="1"/>
  <c r="J942" i="10" s="1"/>
  <c r="J941" i="10" a="1"/>
  <c r="J941" i="10" s="1"/>
  <c r="J940" i="10" a="1"/>
  <c r="J940" i="10" s="1"/>
  <c r="J939" i="10" a="1"/>
  <c r="J939" i="10" s="1"/>
  <c r="J938" i="10" a="1"/>
  <c r="J938" i="10" s="1"/>
  <c r="J937" i="10" a="1"/>
  <c r="J937" i="10" s="1"/>
  <c r="J936" i="10" a="1"/>
  <c r="J936" i="10" s="1"/>
  <c r="J935" i="10" a="1"/>
  <c r="J935" i="10" s="1"/>
  <c r="J934" i="10" a="1"/>
  <c r="J934" i="10" s="1"/>
  <c r="J933" i="10" a="1"/>
  <c r="J933" i="10" s="1"/>
  <c r="J932" i="10" a="1"/>
  <c r="J932" i="10" s="1"/>
  <c r="J931" i="10" a="1"/>
  <c r="J931" i="10" s="1"/>
  <c r="J930" i="10" a="1"/>
  <c r="J930" i="10" s="1"/>
  <c r="J929" i="10" a="1"/>
  <c r="J929" i="10" s="1"/>
  <c r="J928" i="10" a="1"/>
  <c r="J928" i="10" s="1"/>
  <c r="J927" i="10" a="1"/>
  <c r="J927" i="10" s="1"/>
  <c r="J926" i="10" a="1"/>
  <c r="J926" i="10" s="1"/>
  <c r="J925" i="10" a="1"/>
  <c r="J925" i="10" s="1"/>
  <c r="J924" i="10" a="1"/>
  <c r="J924" i="10" s="1"/>
  <c r="J923" i="10" a="1"/>
  <c r="J923" i="10" s="1"/>
  <c r="J922" i="10" a="1"/>
  <c r="J922" i="10" s="1"/>
  <c r="J921" i="10" a="1"/>
  <c r="J921" i="10" s="1"/>
  <c r="J920" i="10" a="1"/>
  <c r="J920" i="10" s="1"/>
  <c r="J919" i="10" a="1"/>
  <c r="J919" i="10" s="1"/>
  <c r="J918" i="10" a="1"/>
  <c r="J918" i="10" s="1"/>
  <c r="J917" i="10" a="1"/>
  <c r="J917" i="10" s="1"/>
  <c r="J916" i="10" a="1"/>
  <c r="J916" i="10" s="1"/>
  <c r="J915" i="10" a="1"/>
  <c r="J915" i="10" s="1"/>
  <c r="J914" i="10" a="1"/>
  <c r="J914" i="10" s="1"/>
  <c r="J913" i="10" a="1"/>
  <c r="J913" i="10" s="1"/>
  <c r="J912" i="10" a="1"/>
  <c r="J912" i="10" s="1"/>
  <c r="J911" i="10" a="1"/>
  <c r="J911" i="10" s="1"/>
  <c r="J910" i="10" a="1"/>
  <c r="J910" i="10" s="1"/>
  <c r="J909" i="10" a="1"/>
  <c r="J909" i="10" s="1"/>
  <c r="J908" i="10" a="1"/>
  <c r="J908" i="10" s="1"/>
  <c r="J907" i="10" a="1"/>
  <c r="J907" i="10" s="1"/>
  <c r="J906" i="10" a="1"/>
  <c r="J906" i="10" s="1"/>
  <c r="J905" i="10" a="1"/>
  <c r="J905" i="10" s="1"/>
  <c r="J904" i="10" a="1"/>
  <c r="J904" i="10" s="1"/>
  <c r="J903" i="10" a="1"/>
  <c r="J903" i="10" s="1"/>
  <c r="J902" i="10" a="1"/>
  <c r="J902" i="10" s="1"/>
  <c r="J901" i="10" a="1"/>
  <c r="J901" i="10" s="1"/>
  <c r="J900" i="10" a="1"/>
  <c r="J900" i="10" s="1"/>
  <c r="J899" i="10" a="1"/>
  <c r="J899" i="10" s="1"/>
  <c r="J898" i="10" a="1"/>
  <c r="J898" i="10" s="1"/>
  <c r="J897" i="10" a="1"/>
  <c r="J897" i="10" s="1"/>
  <c r="J896" i="10" a="1"/>
  <c r="J896" i="10" s="1"/>
  <c r="J895" i="10" a="1"/>
  <c r="J895" i="10" s="1"/>
  <c r="J894" i="10" a="1"/>
  <c r="J894" i="10" s="1"/>
  <c r="J893" i="10" a="1"/>
  <c r="J893" i="10" s="1"/>
  <c r="J892" i="10" a="1"/>
  <c r="J892" i="10" s="1"/>
  <c r="J891" i="10" a="1"/>
  <c r="J891" i="10" s="1"/>
  <c r="J890" i="10" a="1"/>
  <c r="J890" i="10" s="1"/>
  <c r="J889" i="10" a="1"/>
  <c r="J889" i="10" s="1"/>
  <c r="J888" i="10" a="1"/>
  <c r="J888" i="10" s="1"/>
  <c r="J887" i="10" a="1"/>
  <c r="J887" i="10" s="1"/>
  <c r="J886" i="10" a="1"/>
  <c r="J886" i="10" s="1"/>
  <c r="J885" i="10" a="1"/>
  <c r="J885" i="10" s="1"/>
  <c r="J884" i="10" a="1"/>
  <c r="J884" i="10" s="1"/>
  <c r="J883" i="10" a="1"/>
  <c r="J883" i="10" s="1"/>
  <c r="J882" i="10" a="1"/>
  <c r="J882" i="10" s="1"/>
  <c r="J881" i="10" a="1"/>
  <c r="J881" i="10" s="1"/>
  <c r="J880" i="10" a="1"/>
  <c r="J880" i="10" s="1"/>
  <c r="J879" i="10" a="1"/>
  <c r="J879" i="10" s="1"/>
  <c r="J878" i="10" a="1"/>
  <c r="J878" i="10" s="1"/>
  <c r="J877" i="10" a="1"/>
  <c r="J877" i="10" s="1"/>
  <c r="J876" i="10" a="1"/>
  <c r="J876" i="10" s="1"/>
  <c r="J875" i="10" a="1"/>
  <c r="J875" i="10" s="1"/>
  <c r="J874" i="10" a="1"/>
  <c r="J874" i="10" s="1"/>
  <c r="J873" i="10" a="1"/>
  <c r="J873" i="10" s="1"/>
  <c r="J872" i="10" a="1"/>
  <c r="J872" i="10" s="1"/>
  <c r="J871" i="10" a="1"/>
  <c r="J871" i="10" s="1"/>
  <c r="J870" i="10" a="1"/>
  <c r="J870" i="10" s="1"/>
  <c r="J869" i="10" a="1"/>
  <c r="J869" i="10" s="1"/>
  <c r="J868" i="10" a="1"/>
  <c r="J868" i="10" s="1"/>
  <c r="J867" i="10" a="1"/>
  <c r="J867" i="10" s="1"/>
  <c r="J866" i="10" a="1"/>
  <c r="J866" i="10" s="1"/>
  <c r="J865" i="10" a="1"/>
  <c r="J865" i="10" s="1"/>
  <c r="J864" i="10" a="1"/>
  <c r="J864" i="10" s="1"/>
  <c r="J863" i="10" a="1"/>
  <c r="J863" i="10" s="1"/>
  <c r="J862" i="10" a="1"/>
  <c r="J862" i="10" s="1"/>
  <c r="J861" i="10" a="1"/>
  <c r="J861" i="10" s="1"/>
  <c r="J860" i="10" a="1"/>
  <c r="J860" i="10" s="1"/>
  <c r="J859" i="10" a="1"/>
  <c r="J859" i="10" s="1"/>
  <c r="J858" i="10" a="1"/>
  <c r="J858" i="10" s="1"/>
  <c r="J857" i="10" a="1"/>
  <c r="J857" i="10" s="1"/>
  <c r="J856" i="10" a="1"/>
  <c r="J856" i="10" s="1"/>
  <c r="J855" i="10" a="1"/>
  <c r="J855" i="10" s="1"/>
  <c r="J854" i="10" a="1"/>
  <c r="J854" i="10" s="1"/>
  <c r="J853" i="10" a="1"/>
  <c r="J853" i="10" s="1"/>
  <c r="J852" i="10" a="1"/>
  <c r="J852" i="10" s="1"/>
  <c r="J851" i="10" a="1"/>
  <c r="J851" i="10" s="1"/>
  <c r="J850" i="10" a="1"/>
  <c r="J850" i="10" s="1"/>
  <c r="J849" i="10" a="1"/>
  <c r="J849" i="10" s="1"/>
  <c r="J848" i="10" a="1"/>
  <c r="J848" i="10" s="1"/>
  <c r="J847" i="10" a="1"/>
  <c r="J847" i="10" s="1"/>
  <c r="J846" i="10" a="1"/>
  <c r="J846" i="10" s="1"/>
  <c r="J845" i="10" a="1"/>
  <c r="J845" i="10" s="1"/>
  <c r="J844" i="10" a="1"/>
  <c r="J844" i="10" s="1"/>
  <c r="J843" i="10" a="1"/>
  <c r="J843" i="10" s="1"/>
  <c r="J842" i="10" a="1"/>
  <c r="J842" i="10" s="1"/>
  <c r="J841" i="10" a="1"/>
  <c r="J841" i="10" s="1"/>
  <c r="J840" i="10" a="1"/>
  <c r="J840" i="10" s="1"/>
  <c r="J839" i="10" a="1"/>
  <c r="J839" i="10" s="1"/>
  <c r="J838" i="10" a="1"/>
  <c r="J838" i="10" s="1"/>
  <c r="J837" i="10" a="1"/>
  <c r="J837" i="10" s="1"/>
  <c r="J836" i="10" a="1"/>
  <c r="J836" i="10" s="1"/>
  <c r="J835" i="10" a="1"/>
  <c r="J835" i="10" s="1"/>
  <c r="J834" i="10" a="1"/>
  <c r="J834" i="10" s="1"/>
  <c r="J833" i="10" a="1"/>
  <c r="J833" i="10" s="1"/>
  <c r="J832" i="10" a="1"/>
  <c r="J832" i="10" s="1"/>
  <c r="J831" i="10" a="1"/>
  <c r="J831" i="10" s="1"/>
  <c r="J830" i="10" a="1"/>
  <c r="J830" i="10" s="1"/>
  <c r="J829" i="10" a="1"/>
  <c r="J829" i="10" s="1"/>
  <c r="J828" i="10" a="1"/>
  <c r="J828" i="10" s="1"/>
  <c r="J827" i="10" a="1"/>
  <c r="J827" i="10" s="1"/>
  <c r="J826" i="10" a="1"/>
  <c r="J826" i="10" s="1"/>
  <c r="J825" i="10" a="1"/>
  <c r="J825" i="10" s="1"/>
  <c r="J824" i="10" a="1"/>
  <c r="J824" i="10" s="1"/>
  <c r="J823" i="10" a="1"/>
  <c r="J823" i="10" s="1"/>
  <c r="J822" i="10" a="1"/>
  <c r="J822" i="10" s="1"/>
  <c r="J821" i="10" a="1"/>
  <c r="J821" i="10" s="1"/>
  <c r="J820" i="10" a="1"/>
  <c r="J820" i="10" s="1"/>
  <c r="J819" i="10" a="1"/>
  <c r="J819" i="10" s="1"/>
  <c r="J818" i="10" a="1"/>
  <c r="J818" i="10" s="1"/>
  <c r="J817" i="10" a="1"/>
  <c r="J817" i="10" s="1"/>
  <c r="J816" i="10" a="1"/>
  <c r="J816" i="10" s="1"/>
  <c r="J815" i="10" a="1"/>
  <c r="J815" i="10" s="1"/>
  <c r="J814" i="10" a="1"/>
  <c r="J814" i="10" s="1"/>
  <c r="J813" i="10" a="1"/>
  <c r="J813" i="10" s="1"/>
  <c r="J812" i="10" a="1"/>
  <c r="J812" i="10" s="1"/>
  <c r="J811" i="10" a="1"/>
  <c r="J811" i="10" s="1"/>
  <c r="J810" i="10" a="1"/>
  <c r="J810" i="10" s="1"/>
  <c r="J809" i="10" a="1"/>
  <c r="J809" i="10" s="1"/>
  <c r="J808" i="10" a="1"/>
  <c r="J808" i="10" s="1"/>
  <c r="J807" i="10" a="1"/>
  <c r="J807" i="10" s="1"/>
  <c r="J806" i="10" a="1"/>
  <c r="J806" i="10" s="1"/>
  <c r="J805" i="10" a="1"/>
  <c r="J805" i="10" s="1"/>
  <c r="J804" i="10" a="1"/>
  <c r="J804" i="10" s="1"/>
  <c r="J803" i="10" a="1"/>
  <c r="J803" i="10" s="1"/>
  <c r="J802" i="10" a="1"/>
  <c r="J802" i="10" s="1"/>
  <c r="J801" i="10" a="1"/>
  <c r="J801" i="10" s="1"/>
  <c r="J800" i="10" a="1"/>
  <c r="J800" i="10" s="1"/>
  <c r="J799" i="10" a="1"/>
  <c r="J799" i="10" s="1"/>
  <c r="J798" i="10" a="1"/>
  <c r="J798" i="10" s="1"/>
  <c r="J797" i="10" a="1"/>
  <c r="J797" i="10" s="1"/>
  <c r="J796" i="10" a="1"/>
  <c r="J796" i="10" s="1"/>
  <c r="J795" i="10" a="1"/>
  <c r="J795" i="10" s="1"/>
  <c r="J794" i="10" a="1"/>
  <c r="J794" i="10" s="1"/>
  <c r="J793" i="10" a="1"/>
  <c r="J793" i="10" s="1"/>
  <c r="J792" i="10" a="1"/>
  <c r="J792" i="10" s="1"/>
  <c r="J791" i="10" a="1"/>
  <c r="J791" i="10" s="1"/>
  <c r="J790" i="10" a="1"/>
  <c r="J790" i="10" s="1"/>
  <c r="J789" i="10" a="1"/>
  <c r="J789" i="10" s="1"/>
  <c r="J788" i="10" a="1"/>
  <c r="J788" i="10" s="1"/>
  <c r="J787" i="10" a="1"/>
  <c r="J787" i="10" s="1"/>
  <c r="J786" i="10" a="1"/>
  <c r="J786" i="10" s="1"/>
  <c r="J785" i="10" a="1"/>
  <c r="J785" i="10" s="1"/>
  <c r="J784" i="10" a="1"/>
  <c r="J784" i="10" s="1"/>
  <c r="J783" i="10" a="1"/>
  <c r="J783" i="10" s="1"/>
  <c r="J782" i="10" a="1"/>
  <c r="J782" i="10" s="1"/>
  <c r="J781" i="10" a="1"/>
  <c r="J781" i="10" s="1"/>
  <c r="J780" i="10" a="1"/>
  <c r="J780" i="10" s="1"/>
  <c r="J779" i="10" a="1"/>
  <c r="J779" i="10" s="1"/>
  <c r="J778" i="10" a="1"/>
  <c r="J778" i="10" s="1"/>
  <c r="J777" i="10" a="1"/>
  <c r="J777" i="10" s="1"/>
  <c r="J776" i="10" a="1"/>
  <c r="J776" i="10" s="1"/>
  <c r="J775" i="10" a="1"/>
  <c r="J775" i="10" s="1"/>
  <c r="J774" i="10" a="1"/>
  <c r="J774" i="10" s="1"/>
  <c r="J773" i="10" a="1"/>
  <c r="J773" i="10" s="1"/>
  <c r="J772" i="10" a="1"/>
  <c r="J772" i="10" s="1"/>
  <c r="J771" i="10" a="1"/>
  <c r="J771" i="10" s="1"/>
  <c r="J770" i="10" a="1"/>
  <c r="J770" i="10" s="1"/>
  <c r="J769" i="10" a="1"/>
  <c r="J769" i="10" s="1"/>
  <c r="J768" i="10" a="1"/>
  <c r="J768" i="10" s="1"/>
  <c r="J767" i="10" a="1"/>
  <c r="J767" i="10" s="1"/>
  <c r="J766" i="10" a="1"/>
  <c r="J766" i="10" s="1"/>
  <c r="J765" i="10" a="1"/>
  <c r="J765" i="10" s="1"/>
  <c r="J764" i="10" a="1"/>
  <c r="J764" i="10" s="1"/>
  <c r="J763" i="10" a="1"/>
  <c r="J763" i="10" s="1"/>
  <c r="J762" i="10" a="1"/>
  <c r="J762" i="10" s="1"/>
  <c r="J761" i="10" a="1"/>
  <c r="J761" i="10" s="1"/>
  <c r="J760" i="10" a="1"/>
  <c r="J760" i="10" s="1"/>
  <c r="J759" i="10" a="1"/>
  <c r="J759" i="10" s="1"/>
  <c r="J758" i="10" a="1"/>
  <c r="J758" i="10" s="1"/>
  <c r="J757" i="10" a="1"/>
  <c r="J757" i="10" s="1"/>
  <c r="J756" i="10" a="1"/>
  <c r="J756" i="10" s="1"/>
  <c r="J755" i="10" a="1"/>
  <c r="J755" i="10" s="1"/>
  <c r="J754" i="10" a="1"/>
  <c r="J754" i="10" s="1"/>
  <c r="J753" i="10" a="1"/>
  <c r="J753" i="10" s="1"/>
  <c r="J752" i="10" a="1"/>
  <c r="J752" i="10" s="1"/>
  <c r="J751" i="10" a="1"/>
  <c r="J751" i="10" s="1"/>
  <c r="J750" i="10" a="1"/>
  <c r="J750" i="10" s="1"/>
  <c r="J749" i="10" a="1"/>
  <c r="J749" i="10" s="1"/>
  <c r="J748" i="10" a="1"/>
  <c r="J748" i="10" s="1"/>
  <c r="J747" i="10" a="1"/>
  <c r="J747" i="10" s="1"/>
  <c r="J746" i="10" a="1"/>
  <c r="J746" i="10" s="1"/>
  <c r="J745" i="10" a="1"/>
  <c r="J745" i="10" s="1"/>
  <c r="J744" i="10" a="1"/>
  <c r="J744" i="10" s="1"/>
  <c r="J743" i="10" a="1"/>
  <c r="J743" i="10" s="1"/>
  <c r="J742" i="10" a="1"/>
  <c r="J742" i="10" s="1"/>
  <c r="J741" i="10" a="1"/>
  <c r="J741" i="10" s="1"/>
  <c r="J740" i="10" a="1"/>
  <c r="J740" i="10" s="1"/>
  <c r="J739" i="10" a="1"/>
  <c r="J739" i="10" s="1"/>
  <c r="J738" i="10" a="1"/>
  <c r="J738" i="10" s="1"/>
  <c r="J737" i="10" a="1"/>
  <c r="J737" i="10" s="1"/>
  <c r="J736" i="10" a="1"/>
  <c r="J736" i="10" s="1"/>
  <c r="J735" i="10" a="1"/>
  <c r="J735" i="10" s="1"/>
  <c r="J734" i="10" a="1"/>
  <c r="J734" i="10" s="1"/>
  <c r="J733" i="10" a="1"/>
  <c r="J733" i="10" s="1"/>
  <c r="J732" i="10" a="1"/>
  <c r="J732" i="10" s="1"/>
  <c r="J731" i="10" a="1"/>
  <c r="J731" i="10" s="1"/>
  <c r="J730" i="10" a="1"/>
  <c r="J730" i="10" s="1"/>
  <c r="J729" i="10" a="1"/>
  <c r="J729" i="10" s="1"/>
  <c r="J728" i="10" a="1"/>
  <c r="J728" i="10" s="1"/>
  <c r="J727" i="10" a="1"/>
  <c r="J727" i="10" s="1"/>
  <c r="J726" i="10" a="1"/>
  <c r="J726" i="10" s="1"/>
  <c r="J725" i="10" a="1"/>
  <c r="J725" i="10" s="1"/>
  <c r="J724" i="10" a="1"/>
  <c r="J724" i="10" s="1"/>
  <c r="J723" i="10" a="1"/>
  <c r="J723" i="10" s="1"/>
  <c r="J722" i="10" a="1"/>
  <c r="J722" i="10" s="1"/>
  <c r="J721" i="10" a="1"/>
  <c r="J721" i="10" s="1"/>
  <c r="J720" i="10" a="1"/>
  <c r="J720" i="10" s="1"/>
  <c r="J719" i="10" a="1"/>
  <c r="J719" i="10" s="1"/>
  <c r="J718" i="10" a="1"/>
  <c r="J718" i="10" s="1"/>
  <c r="J717" i="10" a="1"/>
  <c r="J717" i="10" s="1"/>
  <c r="J716" i="10" a="1"/>
  <c r="J716" i="10" s="1"/>
  <c r="J715" i="10" a="1"/>
  <c r="J715" i="10" s="1"/>
  <c r="J714" i="10" a="1"/>
  <c r="J714" i="10" s="1"/>
  <c r="J713" i="10" a="1"/>
  <c r="J713" i="10" s="1"/>
  <c r="J712" i="10" a="1"/>
  <c r="J712" i="10" s="1"/>
  <c r="J711" i="10" a="1"/>
  <c r="J711" i="10" s="1"/>
  <c r="J710" i="10" a="1"/>
  <c r="J710" i="10" s="1"/>
  <c r="J709" i="10" a="1"/>
  <c r="J709" i="10" s="1"/>
  <c r="J708" i="10" a="1"/>
  <c r="J708" i="10" s="1"/>
  <c r="J707" i="10" a="1"/>
  <c r="J707" i="10" s="1"/>
  <c r="J706" i="10" a="1"/>
  <c r="J706" i="10" s="1"/>
  <c r="J705" i="10" a="1"/>
  <c r="J705" i="10" s="1"/>
  <c r="J704" i="10" a="1"/>
  <c r="J704" i="10" s="1"/>
  <c r="J703" i="10" a="1"/>
  <c r="J703" i="10" s="1"/>
  <c r="J702" i="10" a="1"/>
  <c r="J702" i="10" s="1"/>
  <c r="J701" i="10" a="1"/>
  <c r="J701" i="10" s="1"/>
  <c r="J700" i="10" a="1"/>
  <c r="J700" i="10" s="1"/>
  <c r="J699" i="10" a="1"/>
  <c r="J699" i="10" s="1"/>
  <c r="J698" i="10" a="1"/>
  <c r="J698" i="10" s="1"/>
  <c r="J697" i="10" a="1"/>
  <c r="J697" i="10" s="1"/>
  <c r="J696" i="10" a="1"/>
  <c r="J696" i="10" s="1"/>
  <c r="J695" i="10" a="1"/>
  <c r="J695" i="10" s="1"/>
  <c r="J694" i="10" a="1"/>
  <c r="J694" i="10" s="1"/>
  <c r="J693" i="10" a="1"/>
  <c r="J693" i="10" s="1"/>
  <c r="J692" i="10" a="1"/>
  <c r="J692" i="10" s="1"/>
  <c r="J691" i="10" a="1"/>
  <c r="J691" i="10" s="1"/>
  <c r="J690" i="10" a="1"/>
  <c r="J690" i="10" s="1"/>
  <c r="J689" i="10" a="1"/>
  <c r="J689" i="10" s="1"/>
  <c r="J688" i="10" a="1"/>
  <c r="J688" i="10" s="1"/>
  <c r="J687" i="10" a="1"/>
  <c r="J687" i="10" s="1"/>
  <c r="J686" i="10" a="1"/>
  <c r="J686" i="10" s="1"/>
  <c r="J685" i="10" a="1"/>
  <c r="J685" i="10" s="1"/>
  <c r="J684" i="10" a="1"/>
  <c r="J684" i="10" s="1"/>
  <c r="J683" i="10" a="1"/>
  <c r="J683" i="10" s="1"/>
  <c r="J682" i="10" a="1"/>
  <c r="J682" i="10" s="1"/>
  <c r="J681" i="10" a="1"/>
  <c r="J681" i="10" s="1"/>
  <c r="J680" i="10" a="1"/>
  <c r="J680" i="10" s="1"/>
  <c r="J679" i="10" a="1"/>
  <c r="J679" i="10" s="1"/>
  <c r="J678" i="10" a="1"/>
  <c r="J678" i="10" s="1"/>
  <c r="J677" i="10" a="1"/>
  <c r="J677" i="10" s="1"/>
  <c r="J676" i="10" a="1"/>
  <c r="J676" i="10" s="1"/>
  <c r="J675" i="10" a="1"/>
  <c r="J675" i="10" s="1"/>
  <c r="J674" i="10" a="1"/>
  <c r="J674" i="10" s="1"/>
  <c r="J673" i="10" a="1"/>
  <c r="J673" i="10" s="1"/>
  <c r="J672" i="10" a="1"/>
  <c r="J672" i="10" s="1"/>
  <c r="J671" i="10" a="1"/>
  <c r="J671" i="10" s="1"/>
  <c r="J670" i="10" a="1"/>
  <c r="J670" i="10" s="1"/>
  <c r="J669" i="10" a="1"/>
  <c r="J669" i="10" s="1"/>
  <c r="J668" i="10" a="1"/>
  <c r="J668" i="10" s="1"/>
  <c r="J667" i="10" a="1"/>
  <c r="J667" i="10" s="1"/>
  <c r="J666" i="10" a="1"/>
  <c r="J666" i="10" s="1"/>
  <c r="J665" i="10" a="1"/>
  <c r="J665" i="10" s="1"/>
  <c r="J664" i="10" a="1"/>
  <c r="J664" i="10" s="1"/>
  <c r="J663" i="10" a="1"/>
  <c r="J663" i="10" s="1"/>
  <c r="J662" i="10" a="1"/>
  <c r="J662" i="10" s="1"/>
  <c r="J661" i="10" a="1"/>
  <c r="J661" i="10" s="1"/>
  <c r="J660" i="10" a="1"/>
  <c r="J660" i="10" s="1"/>
  <c r="J659" i="10" a="1"/>
  <c r="J659" i="10" s="1"/>
  <c r="J658" i="10" a="1"/>
  <c r="J658" i="10" s="1"/>
  <c r="J657" i="10" a="1"/>
  <c r="J657" i="10" s="1"/>
  <c r="J656" i="10" a="1"/>
  <c r="J656" i="10" s="1"/>
  <c r="J655" i="10" a="1"/>
  <c r="J655" i="10" s="1"/>
  <c r="J654" i="10" a="1"/>
  <c r="J654" i="10" s="1"/>
  <c r="J653" i="10" a="1"/>
  <c r="J653" i="10" s="1"/>
  <c r="J652" i="10" a="1"/>
  <c r="J652" i="10" s="1"/>
  <c r="J651" i="10" a="1"/>
  <c r="J651" i="10" s="1"/>
  <c r="J650" i="10" a="1"/>
  <c r="J650" i="10" s="1"/>
  <c r="J649" i="10" a="1"/>
  <c r="J649" i="10" s="1"/>
  <c r="J648" i="10" a="1"/>
  <c r="J648" i="10" s="1"/>
  <c r="J647" i="10" a="1"/>
  <c r="J647" i="10" s="1"/>
  <c r="J646" i="10" a="1"/>
  <c r="J646" i="10" s="1"/>
  <c r="J645" i="10" a="1"/>
  <c r="J645" i="10" s="1"/>
  <c r="J644" i="10" a="1"/>
  <c r="J644" i="10" s="1"/>
  <c r="J643" i="10" a="1"/>
  <c r="J643" i="10" s="1"/>
  <c r="J642" i="10" a="1"/>
  <c r="J642" i="10" s="1"/>
  <c r="J641" i="10" a="1"/>
  <c r="J641" i="10" s="1"/>
  <c r="J640" i="10" a="1"/>
  <c r="J640" i="10" s="1"/>
  <c r="J639" i="10" a="1"/>
  <c r="J639" i="10" s="1"/>
  <c r="J638" i="10" a="1"/>
  <c r="J638" i="10" s="1"/>
  <c r="J637" i="10" a="1"/>
  <c r="J637" i="10" s="1"/>
  <c r="J636" i="10" a="1"/>
  <c r="J636" i="10" s="1"/>
  <c r="J635" i="10" a="1"/>
  <c r="J635" i="10" s="1"/>
  <c r="J634" i="10" a="1"/>
  <c r="J634" i="10" s="1"/>
  <c r="J633" i="10" a="1"/>
  <c r="J633" i="10" s="1"/>
  <c r="J632" i="10" a="1"/>
  <c r="J632" i="10" s="1"/>
  <c r="J631" i="10" a="1"/>
  <c r="J631" i="10" s="1"/>
  <c r="J630" i="10" a="1"/>
  <c r="J630" i="10" s="1"/>
  <c r="J629" i="10" a="1"/>
  <c r="J629" i="10" s="1"/>
  <c r="J628" i="10" a="1"/>
  <c r="J628" i="10" s="1"/>
  <c r="J627" i="10" a="1"/>
  <c r="J627" i="10" s="1"/>
  <c r="J626" i="10" a="1"/>
  <c r="J626" i="10" s="1"/>
  <c r="J625" i="10" a="1"/>
  <c r="J625" i="10" s="1"/>
  <c r="J624" i="10" a="1"/>
  <c r="J624" i="10" s="1"/>
  <c r="J623" i="10" a="1"/>
  <c r="J623" i="10" s="1"/>
  <c r="J622" i="10" a="1"/>
  <c r="J622" i="10" s="1"/>
  <c r="J621" i="10" a="1"/>
  <c r="J621" i="10" s="1"/>
  <c r="J620" i="10" a="1"/>
  <c r="J620" i="10" s="1"/>
  <c r="J619" i="10" a="1"/>
  <c r="J619" i="10" s="1"/>
  <c r="J618" i="10" a="1"/>
  <c r="J618" i="10" s="1"/>
  <c r="J617" i="10" a="1"/>
  <c r="J617" i="10" s="1"/>
  <c r="J616" i="10" a="1"/>
  <c r="J616" i="10" s="1"/>
  <c r="J615" i="10" a="1"/>
  <c r="J615" i="10" s="1"/>
  <c r="J614" i="10" a="1"/>
  <c r="J614" i="10" s="1"/>
  <c r="J613" i="10" a="1"/>
  <c r="J613" i="10" s="1"/>
  <c r="J612" i="10" a="1"/>
  <c r="J612" i="10" s="1"/>
  <c r="J611" i="10" a="1"/>
  <c r="J611" i="10" s="1"/>
  <c r="J610" i="10" a="1"/>
  <c r="J610" i="10" s="1"/>
  <c r="J609" i="10" a="1"/>
  <c r="J609" i="10" s="1"/>
  <c r="J608" i="10" a="1"/>
  <c r="J608" i="10" s="1"/>
  <c r="J607" i="10" a="1"/>
  <c r="J607" i="10" s="1"/>
  <c r="J606" i="10" a="1"/>
  <c r="J606" i="10" s="1"/>
  <c r="J605" i="10" a="1"/>
  <c r="J605" i="10" s="1"/>
  <c r="J604" i="10" a="1"/>
  <c r="J604" i="10" s="1"/>
  <c r="J603" i="10" a="1"/>
  <c r="J603" i="10" s="1"/>
  <c r="J602" i="10" a="1"/>
  <c r="J602" i="10" s="1"/>
  <c r="J601" i="10" a="1"/>
  <c r="J601" i="10" s="1"/>
  <c r="J600" i="10" a="1"/>
  <c r="J600" i="10" s="1"/>
  <c r="J599" i="10" a="1"/>
  <c r="J599" i="10" s="1"/>
  <c r="J598" i="10" a="1"/>
  <c r="J598" i="10" s="1"/>
  <c r="J597" i="10" a="1"/>
  <c r="J597" i="10" s="1"/>
  <c r="J596" i="10" a="1"/>
  <c r="J596" i="10" s="1"/>
  <c r="J595" i="10" a="1"/>
  <c r="J595" i="10" s="1"/>
  <c r="J594" i="10" a="1"/>
  <c r="J594" i="10" s="1"/>
  <c r="J593" i="10" a="1"/>
  <c r="J593" i="10" s="1"/>
  <c r="J592" i="10" a="1"/>
  <c r="J592" i="10" s="1"/>
  <c r="J591" i="10" a="1"/>
  <c r="J591" i="10" s="1"/>
  <c r="J590" i="10" a="1"/>
  <c r="J590" i="10" s="1"/>
  <c r="J589" i="10" a="1"/>
  <c r="J589" i="10" s="1"/>
  <c r="J588" i="10" a="1"/>
  <c r="J588" i="10" s="1"/>
  <c r="J587" i="10" a="1"/>
  <c r="J587" i="10" s="1"/>
  <c r="J586" i="10" a="1"/>
  <c r="J586" i="10" s="1"/>
  <c r="J585" i="10" a="1"/>
  <c r="J585" i="10" s="1"/>
  <c r="J584" i="10" a="1"/>
  <c r="J584" i="10" s="1"/>
  <c r="J583" i="10" a="1"/>
  <c r="J583" i="10" s="1"/>
  <c r="J582" i="10" a="1"/>
  <c r="J582" i="10" s="1"/>
  <c r="J581" i="10" a="1"/>
  <c r="J581" i="10" s="1"/>
  <c r="J580" i="10" a="1"/>
  <c r="J580" i="10" s="1"/>
  <c r="J579" i="10" a="1"/>
  <c r="J579" i="10" s="1"/>
  <c r="J578" i="10" a="1"/>
  <c r="J578" i="10" s="1"/>
  <c r="J577" i="10" a="1"/>
  <c r="J577" i="10" s="1"/>
  <c r="J576" i="10" a="1"/>
  <c r="J576" i="10" s="1"/>
  <c r="J575" i="10" a="1"/>
  <c r="J575" i="10" s="1"/>
  <c r="J574" i="10" a="1"/>
  <c r="J574" i="10" s="1"/>
  <c r="J573" i="10" a="1"/>
  <c r="J573" i="10" s="1"/>
  <c r="J572" i="10" a="1"/>
  <c r="J572" i="10" s="1"/>
  <c r="J571" i="10" a="1"/>
  <c r="J571" i="10" s="1"/>
  <c r="J570" i="10" a="1"/>
  <c r="J570" i="10" s="1"/>
  <c r="J569" i="10" a="1"/>
  <c r="J569" i="10" s="1"/>
  <c r="J568" i="10" a="1"/>
  <c r="J568" i="10" s="1"/>
  <c r="J567" i="10" a="1"/>
  <c r="J567" i="10" s="1"/>
  <c r="J566" i="10" a="1"/>
  <c r="J566" i="10" s="1"/>
  <c r="J565" i="10" a="1"/>
  <c r="J565" i="10" s="1"/>
  <c r="J564" i="10" a="1"/>
  <c r="J564" i="10" s="1"/>
  <c r="J563" i="10" a="1"/>
  <c r="J563" i="10" s="1"/>
  <c r="J562" i="10" a="1"/>
  <c r="J562" i="10" s="1"/>
  <c r="J561" i="10" a="1"/>
  <c r="J561" i="10" s="1"/>
  <c r="J560" i="10" a="1"/>
  <c r="J560" i="10" s="1"/>
  <c r="J559" i="10" a="1"/>
  <c r="J559" i="10" s="1"/>
  <c r="J558" i="10" a="1"/>
  <c r="J558" i="10" s="1"/>
  <c r="J557" i="10" a="1"/>
  <c r="J557" i="10" s="1"/>
  <c r="J556" i="10" a="1"/>
  <c r="J556" i="10" s="1"/>
  <c r="J555" i="10" a="1"/>
  <c r="J555" i="10" s="1"/>
  <c r="J554" i="10" a="1"/>
  <c r="J554" i="10" s="1"/>
  <c r="J553" i="10" a="1"/>
  <c r="J553" i="10" s="1"/>
  <c r="J552" i="10" a="1"/>
  <c r="J552" i="10" s="1"/>
  <c r="J551" i="10" a="1"/>
  <c r="J551" i="10" s="1"/>
  <c r="J550" i="10" a="1"/>
  <c r="J550" i="10" s="1"/>
  <c r="J549" i="10" a="1"/>
  <c r="J549" i="10" s="1"/>
  <c r="J548" i="10" a="1"/>
  <c r="J548" i="10" s="1"/>
  <c r="J547" i="10" a="1"/>
  <c r="J547" i="10" s="1"/>
  <c r="J546" i="10" a="1"/>
  <c r="J546" i="10" s="1"/>
  <c r="J545" i="10" a="1"/>
  <c r="J545" i="10" s="1"/>
  <c r="J544" i="10" a="1"/>
  <c r="J544" i="10" s="1"/>
  <c r="J543" i="10" a="1"/>
  <c r="J543" i="10" s="1"/>
  <c r="J542" i="10" a="1"/>
  <c r="J542" i="10" s="1"/>
  <c r="J541" i="10" a="1"/>
  <c r="J541" i="10" s="1"/>
  <c r="J540" i="10" a="1"/>
  <c r="J540" i="10" s="1"/>
  <c r="J539" i="10" a="1"/>
  <c r="J539" i="10" s="1"/>
  <c r="J538" i="10" a="1"/>
  <c r="J538" i="10" s="1"/>
  <c r="J537" i="10" a="1"/>
  <c r="J537" i="10" s="1"/>
  <c r="J536" i="10" a="1"/>
  <c r="J536" i="10" s="1"/>
  <c r="J535" i="10" a="1"/>
  <c r="J535" i="10" s="1"/>
  <c r="J534" i="10" a="1"/>
  <c r="J534" i="10" s="1"/>
  <c r="J533" i="10" a="1"/>
  <c r="J533" i="10" s="1"/>
  <c r="J532" i="10" a="1"/>
  <c r="J532" i="10" s="1"/>
  <c r="J531" i="10" a="1"/>
  <c r="J531" i="10" s="1"/>
  <c r="J530" i="10" a="1"/>
  <c r="J530" i="10" s="1"/>
  <c r="J529" i="10" a="1"/>
  <c r="J529" i="10" s="1"/>
  <c r="J528" i="10" a="1"/>
  <c r="J528" i="10" s="1"/>
  <c r="J527" i="10" a="1"/>
  <c r="J527" i="10" s="1"/>
  <c r="J526" i="10" a="1"/>
  <c r="J526" i="10" s="1"/>
  <c r="J525" i="10" a="1"/>
  <c r="J525" i="10" s="1"/>
  <c r="J524" i="10" a="1"/>
  <c r="J524" i="10" s="1"/>
  <c r="J523" i="10" a="1"/>
  <c r="J523" i="10" s="1"/>
  <c r="J522" i="10" a="1"/>
  <c r="J522" i="10" s="1"/>
  <c r="J521" i="10" a="1"/>
  <c r="J521" i="10" s="1"/>
  <c r="J520" i="10" a="1"/>
  <c r="J520" i="10" s="1"/>
  <c r="J519" i="10" a="1"/>
  <c r="J519" i="10" s="1"/>
  <c r="J518" i="10" a="1"/>
  <c r="J518" i="10" s="1"/>
  <c r="J517" i="10" a="1"/>
  <c r="J517" i="10" s="1"/>
  <c r="J516" i="10" a="1"/>
  <c r="J516" i="10" s="1"/>
  <c r="J515" i="10" a="1"/>
  <c r="J515" i="10" s="1"/>
  <c r="J514" i="10" a="1"/>
  <c r="J514" i="10" s="1"/>
  <c r="J513" i="10" a="1"/>
  <c r="J513" i="10" s="1"/>
  <c r="J512" i="10" a="1"/>
  <c r="J512" i="10" s="1"/>
  <c r="J511" i="10" a="1"/>
  <c r="J511" i="10" s="1"/>
  <c r="J510" i="10" a="1"/>
  <c r="J510" i="10" s="1"/>
  <c r="J509" i="10" a="1"/>
  <c r="J509" i="10" s="1"/>
  <c r="J508" i="10" a="1"/>
  <c r="J508" i="10" s="1"/>
  <c r="J507" i="10" a="1"/>
  <c r="J507" i="10" s="1"/>
  <c r="J506" i="10" a="1"/>
  <c r="J506" i="10" s="1"/>
  <c r="J505" i="10" a="1"/>
  <c r="J505" i="10" s="1"/>
  <c r="J504" i="10" a="1"/>
  <c r="J504" i="10" s="1"/>
  <c r="J503" i="10" a="1"/>
  <c r="J503" i="10" s="1"/>
  <c r="J502" i="10" a="1"/>
  <c r="J502" i="10" s="1"/>
  <c r="J501" i="10" a="1"/>
  <c r="J501" i="10" s="1"/>
  <c r="J500" i="10" a="1"/>
  <c r="J500" i="10" s="1"/>
  <c r="J499" i="10" a="1"/>
  <c r="J499" i="10" s="1"/>
  <c r="J498" i="10" a="1"/>
  <c r="J498" i="10" s="1"/>
  <c r="J497" i="10" a="1"/>
  <c r="J497" i="10" s="1"/>
  <c r="J496" i="10" a="1"/>
  <c r="J496" i="10" s="1"/>
  <c r="J495" i="10" a="1"/>
  <c r="J495" i="10" s="1"/>
  <c r="J494" i="10" a="1"/>
  <c r="J494" i="10" s="1"/>
  <c r="J493" i="10" a="1"/>
  <c r="J493" i="10" s="1"/>
  <c r="J492" i="10" a="1"/>
  <c r="J492" i="10" s="1"/>
  <c r="J491" i="10" a="1"/>
  <c r="J491" i="10" s="1"/>
  <c r="J490" i="10" a="1"/>
  <c r="J490" i="10" s="1"/>
  <c r="J489" i="10" a="1"/>
  <c r="J489" i="10" s="1"/>
  <c r="J488" i="10" a="1"/>
  <c r="J488" i="10" s="1"/>
  <c r="J487" i="10" a="1"/>
  <c r="J487" i="10" s="1"/>
  <c r="J486" i="10" a="1"/>
  <c r="J486" i="10" s="1"/>
  <c r="J485" i="10" a="1"/>
  <c r="J485" i="10" s="1"/>
  <c r="J484" i="10" a="1"/>
  <c r="J484" i="10" s="1"/>
  <c r="J483" i="10" a="1"/>
  <c r="J483" i="10" s="1"/>
  <c r="J482" i="10" a="1"/>
  <c r="J482" i="10" s="1"/>
  <c r="J481" i="10" a="1"/>
  <c r="J481" i="10" s="1"/>
  <c r="J480" i="10" a="1"/>
  <c r="J480" i="10" s="1"/>
  <c r="J479" i="10" a="1"/>
  <c r="J479" i="10" s="1"/>
  <c r="J478" i="10" a="1"/>
  <c r="J478" i="10" s="1"/>
  <c r="J477" i="10" a="1"/>
  <c r="J477" i="10" s="1"/>
  <c r="J476" i="10" a="1"/>
  <c r="J476" i="10" s="1"/>
  <c r="J475" i="10" a="1"/>
  <c r="J475" i="10" s="1"/>
  <c r="J474" i="10" a="1"/>
  <c r="J474" i="10" s="1"/>
  <c r="J473" i="10" a="1"/>
  <c r="J473" i="10" s="1"/>
  <c r="J472" i="10" a="1"/>
  <c r="J472" i="10" s="1"/>
  <c r="J471" i="10" a="1"/>
  <c r="J471" i="10" s="1"/>
  <c r="J470" i="10" a="1"/>
  <c r="J470" i="10" s="1"/>
  <c r="J469" i="10" a="1"/>
  <c r="J469" i="10" s="1"/>
  <c r="J468" i="10" a="1"/>
  <c r="J468" i="10" s="1"/>
  <c r="J467" i="10" a="1"/>
  <c r="J467" i="10" s="1"/>
  <c r="J466" i="10" a="1"/>
  <c r="J466" i="10" s="1"/>
  <c r="J465" i="10" a="1"/>
  <c r="J465" i="10" s="1"/>
  <c r="J25" i="10" a="1"/>
  <c r="J25" i="10" s="1"/>
  <c r="J26" i="10" a="1"/>
  <c r="J26" i="10" s="1"/>
  <c r="J27" i="10" a="1"/>
  <c r="J27" i="10" s="1"/>
  <c r="J28" i="10" a="1"/>
  <c r="J28" i="10" s="1"/>
  <c r="J29" i="10" a="1"/>
  <c r="J29" i="10" s="1"/>
  <c r="J30" i="10" a="1"/>
  <c r="J30" i="10" s="1"/>
  <c r="J31" i="10" a="1"/>
  <c r="J31" i="10" s="1"/>
  <c r="J32" i="10" a="1"/>
  <c r="J32" i="10" s="1"/>
  <c r="J33" i="10" a="1"/>
  <c r="J33" i="10" s="1"/>
  <c r="J34" i="10" a="1"/>
  <c r="J34" i="10" s="1"/>
  <c r="J35" i="10" a="1"/>
  <c r="J35" i="10" s="1"/>
  <c r="J36" i="10" a="1"/>
  <c r="J36" i="10" s="1"/>
  <c r="J37" i="10" a="1"/>
  <c r="J37" i="10" s="1"/>
  <c r="J38" i="10" a="1"/>
  <c r="J38" i="10" s="1"/>
  <c r="J39" i="10" a="1"/>
  <c r="J39" i="10" s="1"/>
  <c r="J40" i="10" a="1"/>
  <c r="J40" i="10" s="1"/>
  <c r="J41" i="10" a="1"/>
  <c r="J41" i="10" s="1"/>
  <c r="J42" i="10" a="1"/>
  <c r="J42" i="10" s="1"/>
  <c r="J43" i="10" a="1"/>
  <c r="J43" i="10" s="1"/>
  <c r="J44" i="10" a="1"/>
  <c r="J44" i="10" s="1"/>
  <c r="J45" i="10" a="1"/>
  <c r="J45" i="10" s="1"/>
  <c r="J46" i="10" a="1"/>
  <c r="J46" i="10" s="1"/>
  <c r="J47" i="10" a="1"/>
  <c r="J47" i="10" s="1"/>
  <c r="J48" i="10" a="1"/>
  <c r="J48" i="10" s="1"/>
  <c r="J49" i="10" a="1"/>
  <c r="J49" i="10" s="1"/>
  <c r="J50" i="10" a="1"/>
  <c r="J50" i="10" s="1"/>
  <c r="J51" i="10" a="1"/>
  <c r="J51" i="10" s="1"/>
  <c r="J52" i="10" a="1"/>
  <c r="J52" i="10" s="1"/>
  <c r="J53" i="10" a="1"/>
  <c r="J53" i="10" s="1"/>
  <c r="J54" i="10" a="1"/>
  <c r="J54" i="10" s="1"/>
  <c r="J55" i="10" a="1"/>
  <c r="J55" i="10" s="1"/>
  <c r="J56" i="10" a="1"/>
  <c r="J56" i="10" s="1"/>
  <c r="J57" i="10" a="1"/>
  <c r="J57" i="10" s="1"/>
  <c r="J58" i="10" a="1"/>
  <c r="J58" i="10" s="1"/>
  <c r="J59" i="10" a="1"/>
  <c r="J59" i="10" s="1"/>
  <c r="J60" i="10" a="1"/>
  <c r="J60" i="10" s="1"/>
  <c r="J61" i="10" a="1"/>
  <c r="J61" i="10" s="1"/>
  <c r="J62" i="10" a="1"/>
  <c r="J62" i="10" s="1"/>
  <c r="J63" i="10" a="1"/>
  <c r="J63" i="10" s="1"/>
  <c r="J64" i="10" a="1"/>
  <c r="J64" i="10" s="1"/>
  <c r="J65" i="10" a="1"/>
  <c r="J65" i="10" s="1"/>
  <c r="J66" i="10" a="1"/>
  <c r="J66" i="10" s="1"/>
  <c r="J67" i="10" a="1"/>
  <c r="J67" i="10" s="1"/>
  <c r="J68" i="10" a="1"/>
  <c r="J68" i="10" s="1"/>
  <c r="J69" i="10" a="1"/>
  <c r="J69" i="10" s="1"/>
  <c r="J70" i="10" a="1"/>
  <c r="J70" i="10" s="1"/>
  <c r="J71" i="10" a="1"/>
  <c r="J71" i="10" s="1"/>
  <c r="J72" i="10" a="1"/>
  <c r="J72" i="10" s="1"/>
  <c r="J73" i="10" a="1"/>
  <c r="J73" i="10" s="1"/>
  <c r="J74" i="10" a="1"/>
  <c r="J74" i="10" s="1"/>
  <c r="J75" i="10" a="1"/>
  <c r="J75" i="10" s="1"/>
  <c r="J76" i="10" a="1"/>
  <c r="J76" i="10" s="1"/>
  <c r="J77" i="10" a="1"/>
  <c r="J77" i="10" s="1"/>
  <c r="J78" i="10" a="1"/>
  <c r="J78" i="10" s="1"/>
  <c r="J79" i="10" a="1"/>
  <c r="J79" i="10" s="1"/>
  <c r="J80" i="10" a="1"/>
  <c r="J80" i="10" s="1"/>
  <c r="J81" i="10" a="1"/>
  <c r="J81" i="10" s="1"/>
  <c r="J82" i="10" a="1"/>
  <c r="J82" i="10" s="1"/>
  <c r="J83" i="10" a="1"/>
  <c r="J83" i="10" s="1"/>
  <c r="J84" i="10" a="1"/>
  <c r="J84" i="10" s="1"/>
  <c r="J85" i="10" a="1"/>
  <c r="J85" i="10" s="1"/>
  <c r="J86" i="10" a="1"/>
  <c r="J86" i="10" s="1"/>
  <c r="J87" i="10" a="1"/>
  <c r="J87" i="10" s="1"/>
  <c r="J88" i="10" a="1"/>
  <c r="J88" i="10" s="1"/>
  <c r="J89" i="10" a="1"/>
  <c r="J89" i="10" s="1"/>
  <c r="J90" i="10" a="1"/>
  <c r="J90" i="10" s="1"/>
  <c r="J91" i="10" a="1"/>
  <c r="J91" i="10" s="1"/>
  <c r="J92" i="10" a="1"/>
  <c r="J92" i="10" s="1"/>
  <c r="J93" i="10" a="1"/>
  <c r="J93" i="10" s="1"/>
  <c r="J94" i="10" a="1"/>
  <c r="J94" i="10" s="1"/>
  <c r="J95" i="10" a="1"/>
  <c r="J95" i="10" s="1"/>
  <c r="J96" i="10" a="1"/>
  <c r="J96" i="10" s="1"/>
  <c r="J97" i="10" a="1"/>
  <c r="J97" i="10" s="1"/>
  <c r="J98" i="10" a="1"/>
  <c r="J98" i="10" s="1"/>
  <c r="J99" i="10" a="1"/>
  <c r="J99" i="10" s="1"/>
  <c r="J100" i="10" a="1"/>
  <c r="J100" i="10" s="1"/>
  <c r="J101" i="10" a="1"/>
  <c r="J101" i="10" s="1"/>
  <c r="J102" i="10" a="1"/>
  <c r="J102" i="10" s="1"/>
  <c r="J103" i="10" a="1"/>
  <c r="J103" i="10" s="1"/>
  <c r="J104" i="10" a="1"/>
  <c r="J104" i="10" s="1"/>
  <c r="J105" i="10" a="1"/>
  <c r="J105" i="10" s="1"/>
  <c r="J106" i="10" a="1"/>
  <c r="J106" i="10" s="1"/>
  <c r="J107" i="10" a="1"/>
  <c r="J107" i="10" s="1"/>
  <c r="J108" i="10" a="1"/>
  <c r="J108" i="10" s="1"/>
  <c r="J109" i="10" a="1"/>
  <c r="J109" i="10" s="1"/>
  <c r="J110" i="10" a="1"/>
  <c r="J110" i="10" s="1"/>
  <c r="J111" i="10" a="1"/>
  <c r="J111" i="10" s="1"/>
  <c r="J112" i="10" a="1"/>
  <c r="J112" i="10" s="1"/>
  <c r="J113" i="10" a="1"/>
  <c r="J113" i="10" s="1"/>
  <c r="J114" i="10" a="1"/>
  <c r="J114" i="10" s="1"/>
  <c r="J115" i="10" a="1"/>
  <c r="J115" i="10" s="1"/>
  <c r="J116" i="10" a="1"/>
  <c r="J116" i="10"/>
  <c r="J117" i="10" a="1"/>
  <c r="J117" i="10" s="1"/>
  <c r="J118" i="10" a="1"/>
  <c r="J118" i="10" s="1"/>
  <c r="J119" i="10" a="1"/>
  <c r="J119" i="10" s="1"/>
  <c r="J120" i="10" a="1"/>
  <c r="J120" i="10" s="1"/>
  <c r="J121" i="10" a="1"/>
  <c r="J121" i="10" s="1"/>
  <c r="J122" i="10" a="1"/>
  <c r="J122" i="10" s="1"/>
  <c r="J123" i="10" a="1"/>
  <c r="J123" i="10" s="1"/>
  <c r="J124" i="10" a="1"/>
  <c r="J124" i="10" s="1"/>
  <c r="J125" i="10" a="1"/>
  <c r="J125" i="10" s="1"/>
  <c r="J126" i="10" a="1"/>
  <c r="J126" i="10" s="1"/>
  <c r="J127" i="10" a="1"/>
  <c r="J127" i="10" s="1"/>
  <c r="J128" i="10" a="1"/>
  <c r="J128" i="10" s="1"/>
  <c r="J129" i="10" a="1"/>
  <c r="J129" i="10" s="1"/>
  <c r="J130" i="10" a="1"/>
  <c r="J130" i="10" s="1"/>
  <c r="J131" i="10" a="1"/>
  <c r="J131" i="10" s="1"/>
  <c r="J132" i="10" a="1"/>
  <c r="J132" i="10" s="1"/>
  <c r="J133" i="10" a="1"/>
  <c r="J133" i="10" s="1"/>
  <c r="J134" i="10" a="1"/>
  <c r="J134" i="10" s="1"/>
  <c r="J135" i="10" a="1"/>
  <c r="J135" i="10" s="1"/>
  <c r="J136" i="10" a="1"/>
  <c r="J136" i="10" s="1"/>
  <c r="J137" i="10" a="1"/>
  <c r="J137" i="10" s="1"/>
  <c r="J138" i="10" a="1"/>
  <c r="J138" i="10" s="1"/>
  <c r="J139" i="10" a="1"/>
  <c r="J139" i="10" s="1"/>
  <c r="J140" i="10" a="1"/>
  <c r="J140" i="10" s="1"/>
  <c r="J141" i="10" a="1"/>
  <c r="J141" i="10" s="1"/>
  <c r="J142" i="10" a="1"/>
  <c r="J142" i="10" s="1"/>
  <c r="J143" i="10" a="1"/>
  <c r="J143" i="10" s="1"/>
  <c r="J144" i="10" a="1"/>
  <c r="J144" i="10" s="1"/>
  <c r="J145" i="10" a="1"/>
  <c r="J145" i="10" s="1"/>
  <c r="J146" i="10" a="1"/>
  <c r="J146" i="10" s="1"/>
  <c r="J147" i="10" a="1"/>
  <c r="J147" i="10" s="1"/>
  <c r="J148" i="10" a="1"/>
  <c r="J148" i="10" s="1"/>
  <c r="J149" i="10" a="1"/>
  <c r="J149" i="10" s="1"/>
  <c r="J150" i="10" a="1"/>
  <c r="J150" i="10" s="1"/>
  <c r="J151" i="10" a="1"/>
  <c r="J151" i="10" s="1"/>
  <c r="J152" i="10" a="1"/>
  <c r="J152" i="10" s="1"/>
  <c r="J153" i="10" a="1"/>
  <c r="J153" i="10" s="1"/>
  <c r="J154" i="10" a="1"/>
  <c r="J154" i="10" s="1"/>
  <c r="J155" i="10" a="1"/>
  <c r="J155" i="10" s="1"/>
  <c r="J156" i="10" a="1"/>
  <c r="J156" i="10" s="1"/>
  <c r="J157" i="10" a="1"/>
  <c r="J157" i="10" s="1"/>
  <c r="J158" i="10" a="1"/>
  <c r="J158" i="10" s="1"/>
  <c r="J159" i="10" a="1"/>
  <c r="J159" i="10" s="1"/>
  <c r="J160" i="10" a="1"/>
  <c r="J160" i="10" s="1"/>
  <c r="J161" i="10" a="1"/>
  <c r="J161" i="10" s="1"/>
  <c r="J162" i="10" a="1"/>
  <c r="J162" i="10" s="1"/>
  <c r="J163" i="10" a="1"/>
  <c r="J163" i="10" s="1"/>
  <c r="J164" i="10" a="1"/>
  <c r="J164" i="10" s="1"/>
  <c r="J165" i="10" a="1"/>
  <c r="J165" i="10" s="1"/>
  <c r="J166" i="10" a="1"/>
  <c r="J166" i="10" s="1"/>
  <c r="J167" i="10" a="1"/>
  <c r="J167" i="10" s="1"/>
  <c r="J168" i="10" a="1"/>
  <c r="J168" i="10" s="1"/>
  <c r="J169" i="10" a="1"/>
  <c r="J169" i="10" s="1"/>
  <c r="J170" i="10" a="1"/>
  <c r="J170" i="10" s="1"/>
  <c r="J171" i="10" a="1"/>
  <c r="J171" i="10" s="1"/>
  <c r="J172" i="10" a="1"/>
  <c r="J172" i="10" s="1"/>
  <c r="J173" i="10" a="1"/>
  <c r="J173" i="10" s="1"/>
  <c r="J174" i="10" a="1"/>
  <c r="J174" i="10" s="1"/>
  <c r="J175" i="10" a="1"/>
  <c r="J175" i="10" s="1"/>
  <c r="J176" i="10" a="1"/>
  <c r="J176" i="10" s="1"/>
  <c r="J177" i="10" a="1"/>
  <c r="J177" i="10" s="1"/>
  <c r="J178" i="10" a="1"/>
  <c r="J178" i="10" s="1"/>
  <c r="J179" i="10" a="1"/>
  <c r="J179" i="10" s="1"/>
  <c r="J180" i="10" a="1"/>
  <c r="J180" i="10" s="1"/>
  <c r="J181" i="10" a="1"/>
  <c r="J181" i="10" s="1"/>
  <c r="J182" i="10" a="1"/>
  <c r="J182" i="10" s="1"/>
  <c r="J183" i="10" a="1"/>
  <c r="J183" i="10" s="1"/>
  <c r="J184" i="10" a="1"/>
  <c r="J184" i="10" s="1"/>
  <c r="J185" i="10" a="1"/>
  <c r="J185" i="10" s="1"/>
  <c r="J186" i="10" a="1"/>
  <c r="J186" i="10" s="1"/>
  <c r="J187" i="10" a="1"/>
  <c r="J187" i="10" s="1"/>
  <c r="J188" i="10" a="1"/>
  <c r="J188" i="10" s="1"/>
  <c r="J189" i="10" a="1"/>
  <c r="J189" i="10" s="1"/>
  <c r="J190" i="10" a="1"/>
  <c r="J190" i="10" s="1"/>
  <c r="J191" i="10" a="1"/>
  <c r="J191" i="10" s="1"/>
  <c r="J192" i="10" a="1"/>
  <c r="J192" i="10" s="1"/>
  <c r="J193" i="10" a="1"/>
  <c r="J193" i="10" s="1"/>
  <c r="J194" i="10" a="1"/>
  <c r="J194" i="10" s="1"/>
  <c r="J195" i="10" a="1"/>
  <c r="J195" i="10" s="1"/>
  <c r="J196" i="10" a="1"/>
  <c r="J196" i="10" s="1"/>
  <c r="J197" i="10" a="1"/>
  <c r="J197" i="10" s="1"/>
  <c r="J198" i="10" a="1"/>
  <c r="J198" i="10" s="1"/>
  <c r="J199" i="10" a="1"/>
  <c r="J199" i="10" s="1"/>
  <c r="J200" i="10" a="1"/>
  <c r="J200" i="10" s="1"/>
  <c r="J201" i="10" a="1"/>
  <c r="J201" i="10" s="1"/>
  <c r="J202" i="10" a="1"/>
  <c r="J202" i="10" s="1"/>
  <c r="J203" i="10" a="1"/>
  <c r="J203" i="10" s="1"/>
  <c r="J204" i="10" a="1"/>
  <c r="J204" i="10" s="1"/>
  <c r="J205" i="10" a="1"/>
  <c r="J205" i="10" s="1"/>
  <c r="J206" i="10" a="1"/>
  <c r="J206" i="10" s="1"/>
  <c r="J207" i="10" a="1"/>
  <c r="J207" i="10" s="1"/>
  <c r="J208" i="10" a="1"/>
  <c r="J208" i="10" s="1"/>
  <c r="J209" i="10" a="1"/>
  <c r="J209" i="10" s="1"/>
  <c r="J210" i="10" a="1"/>
  <c r="J210" i="10" s="1"/>
  <c r="J211" i="10" a="1"/>
  <c r="J211" i="10" s="1"/>
  <c r="J212" i="10" a="1"/>
  <c r="J212" i="10" s="1"/>
  <c r="J213" i="10" a="1"/>
  <c r="J213" i="10" s="1"/>
  <c r="J214" i="10" a="1"/>
  <c r="J214" i="10" s="1"/>
  <c r="J215" i="10" a="1"/>
  <c r="J215" i="10" s="1"/>
  <c r="J216" i="10" a="1"/>
  <c r="J216" i="10" s="1"/>
  <c r="J217" i="10" a="1"/>
  <c r="J217" i="10" s="1"/>
  <c r="J218" i="10" a="1"/>
  <c r="J218" i="10" s="1"/>
  <c r="J219" i="10" a="1"/>
  <c r="J219" i="10" s="1"/>
  <c r="J220" i="10" a="1"/>
  <c r="J220" i="10" s="1"/>
  <c r="J221" i="10" a="1"/>
  <c r="J221" i="10" s="1"/>
  <c r="J222" i="10" a="1"/>
  <c r="J222" i="10" s="1"/>
  <c r="J223" i="10" a="1"/>
  <c r="J223" i="10" s="1"/>
  <c r="J224" i="10" a="1"/>
  <c r="J224" i="10" s="1"/>
  <c r="J225" i="10" a="1"/>
  <c r="J225" i="10" s="1"/>
  <c r="J226" i="10" a="1"/>
  <c r="J226" i="10" s="1"/>
  <c r="J227" i="10" a="1"/>
  <c r="J227" i="10" s="1"/>
  <c r="J228" i="10" a="1"/>
  <c r="J228" i="10" s="1"/>
  <c r="J229" i="10" a="1"/>
  <c r="J229" i="10" s="1"/>
  <c r="J230" i="10" a="1"/>
  <c r="J230" i="10" s="1"/>
  <c r="J231" i="10" a="1"/>
  <c r="J231" i="10" s="1"/>
  <c r="J232" i="10" a="1"/>
  <c r="J232" i="10" s="1"/>
  <c r="J233" i="10" a="1"/>
  <c r="J233" i="10" s="1"/>
  <c r="J234" i="10" a="1"/>
  <c r="J234" i="10" s="1"/>
  <c r="J235" i="10" a="1"/>
  <c r="J235" i="10" s="1"/>
  <c r="J236" i="10" a="1"/>
  <c r="J236" i="10" s="1"/>
  <c r="J237" i="10" a="1"/>
  <c r="J237" i="10" s="1"/>
  <c r="J238" i="10" a="1"/>
  <c r="J238" i="10" s="1"/>
  <c r="J239" i="10" a="1"/>
  <c r="J239" i="10" s="1"/>
  <c r="J240" i="10" a="1"/>
  <c r="J240" i="10" s="1"/>
  <c r="J241" i="10" a="1"/>
  <c r="J241" i="10" s="1"/>
  <c r="J242" i="10" a="1"/>
  <c r="J242" i="10" s="1"/>
  <c r="J243" i="10" a="1"/>
  <c r="J243" i="10" s="1"/>
  <c r="J244" i="10" a="1"/>
  <c r="J244" i="10" s="1"/>
  <c r="J245" i="10" a="1"/>
  <c r="J245" i="10" s="1"/>
  <c r="J246" i="10" a="1"/>
  <c r="J246" i="10" s="1"/>
  <c r="J247" i="10" a="1"/>
  <c r="J247" i="10" s="1"/>
  <c r="J248" i="10" a="1"/>
  <c r="J248" i="10" s="1"/>
  <c r="J249" i="10" a="1"/>
  <c r="J249" i="10" s="1"/>
  <c r="J250" i="10" a="1"/>
  <c r="J250" i="10" s="1"/>
  <c r="J251" i="10" a="1"/>
  <c r="J251" i="10" s="1"/>
  <c r="J252" i="10" a="1"/>
  <c r="J252" i="10" s="1"/>
  <c r="J253" i="10" a="1"/>
  <c r="J253" i="10" s="1"/>
  <c r="J254" i="10" a="1"/>
  <c r="J254" i="10" s="1"/>
  <c r="J255" i="10" a="1"/>
  <c r="J255" i="10" s="1"/>
  <c r="J256" i="10" a="1"/>
  <c r="J256" i="10" s="1"/>
  <c r="J257" i="10" a="1"/>
  <c r="J257" i="10" s="1"/>
  <c r="J258" i="10" a="1"/>
  <c r="J258" i="10" s="1"/>
  <c r="J259" i="10" a="1"/>
  <c r="J259" i="10" s="1"/>
  <c r="J260" i="10" a="1"/>
  <c r="J260" i="10" s="1"/>
  <c r="J261" i="10" a="1"/>
  <c r="J261" i="10" s="1"/>
  <c r="J262" i="10" a="1"/>
  <c r="J262" i="10" s="1"/>
  <c r="J263" i="10" a="1"/>
  <c r="J263" i="10" s="1"/>
  <c r="J264" i="10" a="1"/>
  <c r="J264" i="10" s="1"/>
  <c r="J265" i="10" a="1"/>
  <c r="J265" i="10" s="1"/>
  <c r="J266" i="10" a="1"/>
  <c r="J266" i="10" s="1"/>
  <c r="J267" i="10" a="1"/>
  <c r="J267" i="10" s="1"/>
  <c r="J268" i="10" a="1"/>
  <c r="J268" i="10" s="1"/>
  <c r="J269" i="10" a="1"/>
  <c r="J269" i="10" s="1"/>
  <c r="J270" i="10" a="1"/>
  <c r="J270" i="10" s="1"/>
  <c r="J271" i="10" a="1"/>
  <c r="J271" i="10" s="1"/>
  <c r="J272" i="10" a="1"/>
  <c r="J272" i="10" s="1"/>
  <c r="J273" i="10" a="1"/>
  <c r="J273" i="10" s="1"/>
  <c r="J274" i="10" a="1"/>
  <c r="J274" i="10" s="1"/>
  <c r="J275" i="10" a="1"/>
  <c r="J275" i="10" s="1"/>
  <c r="J276" i="10" a="1"/>
  <c r="J276" i="10" s="1"/>
  <c r="J277" i="10" a="1"/>
  <c r="J277" i="10" s="1"/>
  <c r="J278" i="10" a="1"/>
  <c r="J278" i="10" s="1"/>
  <c r="J279" i="10" a="1"/>
  <c r="J279" i="10" s="1"/>
  <c r="J280" i="10" a="1"/>
  <c r="J280" i="10" s="1"/>
  <c r="J281" i="10" a="1"/>
  <c r="J281" i="10" s="1"/>
  <c r="J282" i="10" a="1"/>
  <c r="J282" i="10" s="1"/>
  <c r="J283" i="10" a="1"/>
  <c r="J283" i="10" s="1"/>
  <c r="J284" i="10" a="1"/>
  <c r="J284" i="10" s="1"/>
  <c r="J285" i="10" a="1"/>
  <c r="J285" i="10" s="1"/>
  <c r="J286" i="10" a="1"/>
  <c r="J286" i="10" s="1"/>
  <c r="J287" i="10" a="1"/>
  <c r="J287" i="10" s="1"/>
  <c r="J288" i="10" a="1"/>
  <c r="J288" i="10" s="1"/>
  <c r="J289" i="10" a="1"/>
  <c r="J289" i="10" s="1"/>
  <c r="J290" i="10" a="1"/>
  <c r="J290" i="10" s="1"/>
  <c r="J291" i="10" a="1"/>
  <c r="J291" i="10" s="1"/>
  <c r="J292" i="10" a="1"/>
  <c r="J292" i="10" s="1"/>
  <c r="J293" i="10" a="1"/>
  <c r="J293" i="10" s="1"/>
  <c r="J294" i="10" a="1"/>
  <c r="J294" i="10" s="1"/>
  <c r="J295" i="10" a="1"/>
  <c r="J295" i="10" s="1"/>
  <c r="J296" i="10" a="1"/>
  <c r="J296" i="10" s="1"/>
  <c r="J297" i="10" a="1"/>
  <c r="J297" i="10" s="1"/>
  <c r="J298" i="10" a="1"/>
  <c r="J298" i="10" s="1"/>
  <c r="J299" i="10" a="1"/>
  <c r="J299" i="10" s="1"/>
  <c r="J300" i="10" a="1"/>
  <c r="J300" i="10" s="1"/>
  <c r="J301" i="10" a="1"/>
  <c r="J301" i="10" s="1"/>
  <c r="J302" i="10" a="1"/>
  <c r="J302" i="10" s="1"/>
  <c r="J303" i="10" a="1"/>
  <c r="J303" i="10" s="1"/>
  <c r="J304" i="10" a="1"/>
  <c r="J304" i="10" s="1"/>
  <c r="J305" i="10" a="1"/>
  <c r="J305" i="10" s="1"/>
  <c r="J306" i="10" a="1"/>
  <c r="J306" i="10" s="1"/>
  <c r="J307" i="10" a="1"/>
  <c r="J307" i="10" s="1"/>
  <c r="J308" i="10" a="1"/>
  <c r="J308" i="10" s="1"/>
  <c r="J309" i="10" a="1"/>
  <c r="J309" i="10" s="1"/>
  <c r="J310" i="10" a="1"/>
  <c r="J310" i="10" s="1"/>
  <c r="J311" i="10" a="1"/>
  <c r="J311" i="10" s="1"/>
  <c r="J312" i="10" a="1"/>
  <c r="J312" i="10" s="1"/>
  <c r="J313" i="10" a="1"/>
  <c r="J313" i="10" s="1"/>
  <c r="J314" i="10" a="1"/>
  <c r="J314" i="10" s="1"/>
  <c r="J315" i="10" a="1"/>
  <c r="J315" i="10" s="1"/>
  <c r="J316" i="10" a="1"/>
  <c r="J316" i="10" s="1"/>
  <c r="J317" i="10" a="1"/>
  <c r="J317" i="10" s="1"/>
  <c r="J318" i="10" a="1"/>
  <c r="J318" i="10" s="1"/>
  <c r="J319" i="10" a="1"/>
  <c r="J319" i="10" s="1"/>
  <c r="J320" i="10" a="1"/>
  <c r="J320" i="10" s="1"/>
  <c r="J321" i="10" a="1"/>
  <c r="J321" i="10" s="1"/>
  <c r="J322" i="10" a="1"/>
  <c r="J322" i="10" s="1"/>
  <c r="J323" i="10" a="1"/>
  <c r="J323" i="10" s="1"/>
  <c r="J324" i="10" a="1"/>
  <c r="J324" i="10" s="1"/>
  <c r="J325" i="10" a="1"/>
  <c r="J325" i="10" s="1"/>
  <c r="J326" i="10" a="1"/>
  <c r="J326" i="10" s="1"/>
  <c r="J327" i="10" a="1"/>
  <c r="J327" i="10" s="1"/>
  <c r="J328" i="10" a="1"/>
  <c r="J328" i="10" s="1"/>
  <c r="J329" i="10" a="1"/>
  <c r="J329" i="10" s="1"/>
  <c r="J330" i="10" a="1"/>
  <c r="J330" i="10" s="1"/>
  <c r="J331" i="10" a="1"/>
  <c r="J331" i="10" s="1"/>
  <c r="J332" i="10" a="1"/>
  <c r="J332" i="10" s="1"/>
  <c r="J333" i="10" a="1"/>
  <c r="J333" i="10" s="1"/>
  <c r="J334" i="10" a="1"/>
  <c r="J334" i="10" s="1"/>
  <c r="J335" i="10" a="1"/>
  <c r="J335" i="10" s="1"/>
  <c r="J336" i="10" a="1"/>
  <c r="J336" i="10" s="1"/>
  <c r="J337" i="10" a="1"/>
  <c r="J337" i="10" s="1"/>
  <c r="J338" i="10" a="1"/>
  <c r="J338" i="10" s="1"/>
  <c r="J339" i="10" a="1"/>
  <c r="J339" i="10" s="1"/>
  <c r="J340" i="10" a="1"/>
  <c r="J340" i="10" s="1"/>
  <c r="J341" i="10" a="1"/>
  <c r="J341" i="10" s="1"/>
  <c r="J342" i="10" a="1"/>
  <c r="J342" i="10" s="1"/>
  <c r="J343" i="10" a="1"/>
  <c r="J343" i="10" s="1"/>
  <c r="J344" i="10" a="1"/>
  <c r="J344" i="10" s="1"/>
  <c r="J345" i="10" a="1"/>
  <c r="J345" i="10" s="1"/>
  <c r="J346" i="10" a="1"/>
  <c r="J346" i="10" s="1"/>
  <c r="J347" i="10" a="1"/>
  <c r="J347" i="10" s="1"/>
  <c r="J348" i="10" a="1"/>
  <c r="J348" i="10" s="1"/>
  <c r="J349" i="10" a="1"/>
  <c r="J349" i="10" s="1"/>
  <c r="J350" i="10" a="1"/>
  <c r="J350" i="10" s="1"/>
  <c r="J351" i="10" a="1"/>
  <c r="J351" i="10" s="1"/>
  <c r="J352" i="10" a="1"/>
  <c r="J352" i="10" s="1"/>
  <c r="J353" i="10" a="1"/>
  <c r="J353" i="10" s="1"/>
  <c r="J354" i="10" a="1"/>
  <c r="J354" i="10" s="1"/>
  <c r="J355" i="10" a="1"/>
  <c r="J355" i="10" s="1"/>
  <c r="J356" i="10" a="1"/>
  <c r="J356" i="10" s="1"/>
  <c r="J357" i="10" a="1"/>
  <c r="J357" i="10" s="1"/>
  <c r="J358" i="10" a="1"/>
  <c r="J358" i="10" s="1"/>
  <c r="J359" i="10" a="1"/>
  <c r="J359" i="10" s="1"/>
  <c r="J360" i="10" a="1"/>
  <c r="J360" i="10" s="1"/>
  <c r="J361" i="10" a="1"/>
  <c r="J361" i="10" s="1"/>
  <c r="J362" i="10" a="1"/>
  <c r="J362" i="10" s="1"/>
  <c r="J363" i="10" a="1"/>
  <c r="J363" i="10" s="1"/>
  <c r="J364" i="10" a="1"/>
  <c r="J364" i="10" s="1"/>
  <c r="J365" i="10" a="1"/>
  <c r="J365" i="10" s="1"/>
  <c r="J366" i="10" a="1"/>
  <c r="J366" i="10" s="1"/>
  <c r="J367" i="10" a="1"/>
  <c r="J367" i="10" s="1"/>
  <c r="J368" i="10" a="1"/>
  <c r="J368" i="10" s="1"/>
  <c r="J369" i="10" a="1"/>
  <c r="J369" i="10" s="1"/>
  <c r="J370" i="10" a="1"/>
  <c r="J370" i="10" s="1"/>
  <c r="J371" i="10" a="1"/>
  <c r="J371" i="10" s="1"/>
  <c r="J372" i="10" a="1"/>
  <c r="J372" i="10" s="1"/>
  <c r="J373" i="10" a="1"/>
  <c r="J373" i="10" s="1"/>
  <c r="J374" i="10" a="1"/>
  <c r="J374" i="10" s="1"/>
  <c r="J375" i="10" a="1"/>
  <c r="J375" i="10" s="1"/>
  <c r="J376" i="10" a="1"/>
  <c r="J376" i="10" s="1"/>
  <c r="J377" i="10" a="1"/>
  <c r="J377" i="10" s="1"/>
  <c r="J378" i="10" a="1"/>
  <c r="J378" i="10" s="1"/>
  <c r="J379" i="10" a="1"/>
  <c r="J379" i="10" s="1"/>
  <c r="J380" i="10" a="1"/>
  <c r="J380" i="10" s="1"/>
  <c r="J381" i="10" a="1"/>
  <c r="J381" i="10" s="1"/>
  <c r="J382" i="10" a="1"/>
  <c r="J382" i="10" s="1"/>
  <c r="J383" i="10" a="1"/>
  <c r="J383" i="10" s="1"/>
  <c r="J384" i="10" a="1"/>
  <c r="J384" i="10" s="1"/>
  <c r="J385" i="10" a="1"/>
  <c r="J385" i="10" s="1"/>
  <c r="J386" i="10" a="1"/>
  <c r="J386" i="10" s="1"/>
  <c r="J387" i="10" a="1"/>
  <c r="J387" i="10" s="1"/>
  <c r="J388" i="10" a="1"/>
  <c r="J388" i="10" s="1"/>
  <c r="J389" i="10" a="1"/>
  <c r="J389" i="10" s="1"/>
  <c r="J390" i="10" a="1"/>
  <c r="J390" i="10" s="1"/>
  <c r="J391" i="10" a="1"/>
  <c r="J391" i="10" s="1"/>
  <c r="J392" i="10" a="1"/>
  <c r="J392" i="10" s="1"/>
  <c r="J393" i="10" a="1"/>
  <c r="J393" i="10" s="1"/>
  <c r="J394" i="10" a="1"/>
  <c r="J394" i="10" s="1"/>
  <c r="J395" i="10" a="1"/>
  <c r="J395" i="10" s="1"/>
  <c r="J396" i="10" a="1"/>
  <c r="J396" i="10" s="1"/>
  <c r="J397" i="10" a="1"/>
  <c r="J397" i="10" s="1"/>
  <c r="J398" i="10" a="1"/>
  <c r="J398" i="10" s="1"/>
  <c r="J399" i="10" a="1"/>
  <c r="J399" i="10" s="1"/>
  <c r="J400" i="10" a="1"/>
  <c r="J400" i="10" s="1"/>
  <c r="J401" i="10" a="1"/>
  <c r="J401" i="10" s="1"/>
  <c r="J402" i="10" a="1"/>
  <c r="J402" i="10" s="1"/>
  <c r="J403" i="10" a="1"/>
  <c r="J403" i="10" s="1"/>
  <c r="J404" i="10" a="1"/>
  <c r="J404" i="10" s="1"/>
  <c r="J405" i="10" a="1"/>
  <c r="J405" i="10" s="1"/>
  <c r="J406" i="10" a="1"/>
  <c r="J406" i="10" s="1"/>
  <c r="J407" i="10" a="1"/>
  <c r="J407" i="10" s="1"/>
  <c r="J408" i="10" a="1"/>
  <c r="J408" i="10" s="1"/>
  <c r="J409" i="10" a="1"/>
  <c r="J409" i="10" s="1"/>
  <c r="J410" i="10" a="1"/>
  <c r="J410" i="10" s="1"/>
  <c r="J411" i="10" a="1"/>
  <c r="J411" i="10" s="1"/>
  <c r="J412" i="10" a="1"/>
  <c r="J412" i="10" s="1"/>
  <c r="J413" i="10" a="1"/>
  <c r="J413" i="10" s="1"/>
  <c r="J414" i="10" a="1"/>
  <c r="J414" i="10" s="1"/>
  <c r="J415" i="10" a="1"/>
  <c r="J415" i="10" s="1"/>
  <c r="J416" i="10" a="1"/>
  <c r="J416" i="10" s="1"/>
  <c r="J417" i="10" a="1"/>
  <c r="J417" i="10" s="1"/>
  <c r="J418" i="10" a="1"/>
  <c r="J418" i="10" s="1"/>
  <c r="J419" i="10" a="1"/>
  <c r="J419" i="10" s="1"/>
  <c r="J420" i="10" a="1"/>
  <c r="J420" i="10" s="1"/>
  <c r="J421" i="10" a="1"/>
  <c r="J421" i="10" s="1"/>
  <c r="J422" i="10" a="1"/>
  <c r="J422" i="10" s="1"/>
  <c r="J423" i="10" a="1"/>
  <c r="J423" i="10" s="1"/>
  <c r="J424" i="10" a="1"/>
  <c r="J424" i="10" s="1"/>
  <c r="J425" i="10" a="1"/>
  <c r="J425" i="10" s="1"/>
  <c r="J426" i="10" a="1"/>
  <c r="J426" i="10" s="1"/>
  <c r="J427" i="10" a="1"/>
  <c r="J427" i="10" s="1"/>
  <c r="J428" i="10" a="1"/>
  <c r="J428" i="10" s="1"/>
  <c r="J429" i="10" a="1"/>
  <c r="J429" i="10" s="1"/>
  <c r="J430" i="10" a="1"/>
  <c r="J430" i="10" s="1"/>
  <c r="J431" i="10" a="1"/>
  <c r="J431" i="10" s="1"/>
  <c r="J432" i="10" a="1"/>
  <c r="J432" i="10" s="1"/>
  <c r="J433" i="10" a="1"/>
  <c r="J433" i="10" s="1"/>
  <c r="J434" i="10" a="1"/>
  <c r="J434" i="10" s="1"/>
  <c r="J435" i="10" a="1"/>
  <c r="J435" i="10" s="1"/>
  <c r="J436" i="10" a="1"/>
  <c r="J436" i="10" s="1"/>
  <c r="J437" i="10" a="1"/>
  <c r="J437" i="10" s="1"/>
  <c r="J438" i="10" a="1"/>
  <c r="J438" i="10" s="1"/>
  <c r="J439" i="10" a="1"/>
  <c r="J439" i="10" s="1"/>
  <c r="J440" i="10" a="1"/>
  <c r="J440" i="10" s="1"/>
  <c r="J441" i="10" a="1"/>
  <c r="J441" i="10" s="1"/>
  <c r="J442" i="10" a="1"/>
  <c r="J442" i="10" s="1"/>
  <c r="J443" i="10" a="1"/>
  <c r="J443" i="10" s="1"/>
  <c r="J444" i="10" a="1"/>
  <c r="J444" i="10" s="1"/>
  <c r="J445" i="10" a="1"/>
  <c r="J445" i="10" s="1"/>
  <c r="J446" i="10" a="1"/>
  <c r="J446" i="10" s="1"/>
  <c r="J447" i="10" a="1"/>
  <c r="J447" i="10" s="1"/>
  <c r="J448" i="10" a="1"/>
  <c r="J448" i="10" s="1"/>
  <c r="J449" i="10" a="1"/>
  <c r="J449" i="10" s="1"/>
  <c r="J450" i="10" a="1"/>
  <c r="J450" i="10" s="1"/>
  <c r="J451" i="10" a="1"/>
  <c r="J451" i="10" s="1"/>
  <c r="J452" i="10" a="1"/>
  <c r="J452" i="10" s="1"/>
  <c r="J453" i="10" a="1"/>
  <c r="J453" i="10" s="1"/>
  <c r="J454" i="10" a="1"/>
  <c r="J454" i="10" s="1"/>
  <c r="J455" i="10" a="1"/>
  <c r="J455" i="10" s="1"/>
  <c r="J456" i="10" a="1"/>
  <c r="J456" i="10" s="1"/>
  <c r="J457" i="10" a="1"/>
  <c r="J457" i="10" s="1"/>
  <c r="J458" i="10" a="1"/>
  <c r="J458" i="10" s="1"/>
  <c r="J459" i="10" a="1"/>
  <c r="J459" i="10" s="1"/>
  <c r="J460" i="10" a="1"/>
  <c r="J460" i="10" s="1"/>
  <c r="J461" i="10" a="1"/>
  <c r="J461" i="10" s="1"/>
  <c r="J462" i="10" a="1"/>
  <c r="J462" i="10" s="1"/>
  <c r="J463" i="10" a="1"/>
  <c r="J463" i="10" s="1"/>
  <c r="J464" i="10" a="1"/>
  <c r="J464" i="10" s="1"/>
  <c r="I2" i="10" a="1"/>
  <c r="I2" i="10" s="1"/>
  <c r="J2" i="10" s="1" a="1"/>
  <c r="J2" i="10" s="1"/>
  <c r="F3190" i="10" a="1"/>
  <c r="F3190" i="10" s="1"/>
  <c r="F3189" i="10" a="1"/>
  <c r="F3189" i="10" s="1"/>
  <c r="F3188" i="10" a="1"/>
  <c r="F3188" i="10" s="1"/>
  <c r="F3187" i="10" a="1"/>
  <c r="F3187" i="10" s="1"/>
  <c r="F3186" i="10" a="1"/>
  <c r="F3186" i="10" s="1"/>
  <c r="F3185" i="10" a="1"/>
  <c r="F3185" i="10" s="1"/>
  <c r="F3184" i="10" a="1"/>
  <c r="F3184" i="10" s="1"/>
  <c r="F3183" i="10" a="1"/>
  <c r="F3183" i="10" s="1"/>
  <c r="F3182" i="10" a="1"/>
  <c r="F3182" i="10" s="1"/>
  <c r="F3181" i="10" a="1"/>
  <c r="F3181" i="10" s="1"/>
  <c r="F3180" i="10" a="1"/>
  <c r="F3180" i="10" s="1"/>
  <c r="F3179" i="10" a="1"/>
  <c r="F3179" i="10" s="1"/>
  <c r="F3178" i="10" a="1"/>
  <c r="F3178" i="10" s="1"/>
  <c r="F3177" i="10" a="1"/>
  <c r="F3177" i="10" s="1"/>
  <c r="F3176" i="10" a="1"/>
  <c r="F3176" i="10" s="1"/>
  <c r="F3175" i="10" a="1"/>
  <c r="F3175" i="10" s="1"/>
  <c r="F3174" i="10" a="1"/>
  <c r="F3174" i="10" s="1"/>
  <c r="F3173" i="10" a="1"/>
  <c r="F3173" i="10" s="1"/>
  <c r="F3172" i="10" a="1"/>
  <c r="F3172" i="10" s="1"/>
  <c r="F3171" i="10" a="1"/>
  <c r="F3171" i="10" s="1"/>
  <c r="F3170" i="10" a="1"/>
  <c r="F3170" i="10" s="1"/>
  <c r="F3169" i="10" a="1"/>
  <c r="F3169" i="10" s="1"/>
  <c r="F3168" i="10" a="1"/>
  <c r="F3168" i="10" s="1"/>
  <c r="F3167" i="10" a="1"/>
  <c r="F3167" i="10" s="1"/>
  <c r="F3166" i="10" a="1"/>
  <c r="F3166" i="10" s="1"/>
  <c r="F3165" i="10" a="1"/>
  <c r="F3165" i="10" s="1"/>
  <c r="F3164" i="10" a="1"/>
  <c r="F3164" i="10" s="1"/>
  <c r="F3163" i="10" a="1"/>
  <c r="F3163" i="10" s="1"/>
  <c r="F3162" i="10" a="1"/>
  <c r="F3162" i="10" s="1"/>
  <c r="F3161" i="10" a="1"/>
  <c r="F3161" i="10" s="1"/>
  <c r="F3160" i="10" a="1"/>
  <c r="F3160" i="10" s="1"/>
  <c r="F3159" i="10" a="1"/>
  <c r="F3159" i="10" s="1"/>
  <c r="F3158" i="10" a="1"/>
  <c r="F3158" i="10" s="1"/>
  <c r="F3157" i="10" a="1"/>
  <c r="F3157" i="10" s="1"/>
  <c r="F3156" i="10" a="1"/>
  <c r="F3156" i="10" s="1"/>
  <c r="F3155" i="10" a="1"/>
  <c r="F3155" i="10" s="1"/>
  <c r="F3154" i="10" a="1"/>
  <c r="F3154" i="10" s="1"/>
  <c r="F3153" i="10" a="1"/>
  <c r="F3153" i="10" s="1"/>
  <c r="F3152" i="10" a="1"/>
  <c r="F3152" i="10" s="1"/>
  <c r="F3151" i="10" a="1"/>
  <c r="F3151" i="10" s="1"/>
  <c r="F3150" i="10" a="1"/>
  <c r="F3150" i="10" s="1"/>
  <c r="F3149" i="10" a="1"/>
  <c r="F3149" i="10" s="1"/>
  <c r="F3148" i="10" a="1"/>
  <c r="F3148" i="10" s="1"/>
  <c r="F3147" i="10" a="1"/>
  <c r="F3147" i="10" s="1"/>
  <c r="F3146" i="10" a="1"/>
  <c r="F3146" i="10" s="1"/>
  <c r="F3145" i="10" a="1"/>
  <c r="F3145" i="10" s="1"/>
  <c r="F3144" i="10" a="1"/>
  <c r="F3144" i="10" s="1"/>
  <c r="F3143" i="10" a="1"/>
  <c r="F3143" i="10" s="1"/>
  <c r="F3142" i="10" a="1"/>
  <c r="F3142" i="10" s="1"/>
  <c r="F3141" i="10" a="1"/>
  <c r="F3141" i="10" s="1"/>
  <c r="F3140" i="10" a="1"/>
  <c r="F3140" i="10" s="1"/>
  <c r="F3139" i="10" a="1"/>
  <c r="F3139" i="10" s="1"/>
  <c r="F3138" i="10" a="1"/>
  <c r="F3138" i="10" s="1"/>
  <c r="F3137" i="10" a="1"/>
  <c r="F3137" i="10" s="1"/>
  <c r="F3136" i="10" a="1"/>
  <c r="F3136" i="10" s="1"/>
  <c r="F3135" i="10" a="1"/>
  <c r="F3135" i="10" s="1"/>
  <c r="F3134" i="10" a="1"/>
  <c r="F3134" i="10" s="1"/>
  <c r="F3133" i="10" a="1"/>
  <c r="F3133" i="10" s="1"/>
  <c r="F3132" i="10" a="1"/>
  <c r="F3132" i="10" s="1"/>
  <c r="F3131" i="10" a="1"/>
  <c r="F3131" i="10" s="1"/>
  <c r="F3130" i="10" a="1"/>
  <c r="F3130" i="10" s="1"/>
  <c r="F3129" i="10" a="1"/>
  <c r="F3129" i="10" s="1"/>
  <c r="F3128" i="10" a="1"/>
  <c r="F3128" i="10" s="1"/>
  <c r="F3127" i="10" a="1"/>
  <c r="F3127" i="10" s="1"/>
  <c r="F3126" i="10" a="1"/>
  <c r="F3126" i="10" s="1"/>
  <c r="F3125" i="10" a="1"/>
  <c r="F3125" i="10" s="1"/>
  <c r="F3124" i="10" a="1"/>
  <c r="F3124" i="10" s="1"/>
  <c r="F3123" i="10" a="1"/>
  <c r="F3123" i="10" s="1"/>
  <c r="F3122" i="10" a="1"/>
  <c r="F3122" i="10" s="1"/>
  <c r="F3121" i="10" a="1"/>
  <c r="F3121" i="10" s="1"/>
  <c r="F3120" i="10" a="1"/>
  <c r="F3120" i="10" s="1"/>
  <c r="F3119" i="10" a="1"/>
  <c r="F3119" i="10" s="1"/>
  <c r="F3118" i="10" a="1"/>
  <c r="F3118" i="10" s="1"/>
  <c r="F3117" i="10" a="1"/>
  <c r="F3117" i="10" s="1"/>
  <c r="F3116" i="10" a="1"/>
  <c r="F3116" i="10" s="1"/>
  <c r="F3115" i="10" a="1"/>
  <c r="F3115" i="10" s="1"/>
  <c r="F3114" i="10" a="1"/>
  <c r="F3114" i="10" s="1"/>
  <c r="F3113" i="10" a="1"/>
  <c r="F3113" i="10" s="1"/>
  <c r="F3112" i="10" a="1"/>
  <c r="F3112" i="10" s="1"/>
  <c r="F3111" i="10" a="1"/>
  <c r="F3111" i="10" s="1"/>
  <c r="F3110" i="10" a="1"/>
  <c r="F3110" i="10" s="1"/>
  <c r="F3109" i="10" a="1"/>
  <c r="F3109" i="10" s="1"/>
  <c r="F3108" i="10" a="1"/>
  <c r="F3108" i="10" s="1"/>
  <c r="F3107" i="10" a="1"/>
  <c r="F3107" i="10" s="1"/>
  <c r="F3106" i="10" a="1"/>
  <c r="F3106" i="10" s="1"/>
  <c r="F3105" i="10" a="1"/>
  <c r="F3105" i="10" s="1"/>
  <c r="F3104" i="10" a="1"/>
  <c r="F3104" i="10" s="1"/>
  <c r="F3103" i="10" a="1"/>
  <c r="F3103" i="10" s="1"/>
  <c r="F3102" i="10" a="1"/>
  <c r="F3102" i="10" s="1"/>
  <c r="F3101" i="10" a="1"/>
  <c r="F3101" i="10" s="1"/>
  <c r="F3100" i="10" a="1"/>
  <c r="F3100" i="10" s="1"/>
  <c r="F3099" i="10" a="1"/>
  <c r="F3099" i="10" s="1"/>
  <c r="F3098" i="10" a="1"/>
  <c r="F3098" i="10" s="1"/>
  <c r="F3097" i="10" a="1"/>
  <c r="F3097" i="10" s="1"/>
  <c r="F3096" i="10" a="1"/>
  <c r="F3096" i="10" s="1"/>
  <c r="F3095" i="10" a="1"/>
  <c r="F3095" i="10" s="1"/>
  <c r="F3094" i="10" a="1"/>
  <c r="F3094" i="10" s="1"/>
  <c r="F3093" i="10" a="1"/>
  <c r="F3093" i="10" s="1"/>
  <c r="F3092" i="10" a="1"/>
  <c r="F3092" i="10" s="1"/>
  <c r="F3091" i="10" a="1"/>
  <c r="F3091" i="10" s="1"/>
  <c r="F3090" i="10" a="1"/>
  <c r="F3090" i="10" s="1"/>
  <c r="F3089" i="10" a="1"/>
  <c r="F3089" i="10" s="1"/>
  <c r="F3088" i="10" a="1"/>
  <c r="F3088" i="10" s="1"/>
  <c r="F3087" i="10" a="1"/>
  <c r="F3087" i="10" s="1"/>
  <c r="F3086" i="10" a="1"/>
  <c r="F3086" i="10" s="1"/>
  <c r="F3085" i="10" a="1"/>
  <c r="F3085" i="10" s="1"/>
  <c r="F3084" i="10" a="1"/>
  <c r="F3084" i="10" s="1"/>
  <c r="F3083" i="10" a="1"/>
  <c r="F3083" i="10" s="1"/>
  <c r="F3082" i="10" a="1"/>
  <c r="F3082" i="10" s="1"/>
  <c r="F3081" i="10" a="1"/>
  <c r="F3081" i="10" s="1"/>
  <c r="F3080" i="10" a="1"/>
  <c r="F3080" i="10" s="1"/>
  <c r="F3079" i="10" a="1"/>
  <c r="F3079" i="10" s="1"/>
  <c r="F3078" i="10" a="1"/>
  <c r="F3078" i="10" s="1"/>
  <c r="F3077" i="10" a="1"/>
  <c r="F3077" i="10" s="1"/>
  <c r="F3076" i="10" a="1"/>
  <c r="F3076" i="10" s="1"/>
  <c r="F3075" i="10" a="1"/>
  <c r="F3075" i="10" s="1"/>
  <c r="F3074" i="10" a="1"/>
  <c r="F3074" i="10" s="1"/>
  <c r="F3073" i="10" a="1"/>
  <c r="F3073" i="10" s="1"/>
  <c r="F3072" i="10" a="1"/>
  <c r="F3072" i="10" s="1"/>
  <c r="F3071" i="10" a="1"/>
  <c r="F3071" i="10" s="1"/>
  <c r="F3070" i="10" a="1"/>
  <c r="F3070" i="10" s="1"/>
  <c r="F3069" i="10" a="1"/>
  <c r="F3069" i="10" s="1"/>
  <c r="F3068" i="10" a="1"/>
  <c r="F3068" i="10" s="1"/>
  <c r="F3067" i="10" a="1"/>
  <c r="F3067" i="10" s="1"/>
  <c r="F3066" i="10" a="1"/>
  <c r="F3066" i="10" s="1"/>
  <c r="F3065" i="10" a="1"/>
  <c r="F3065" i="10" s="1"/>
  <c r="F3064" i="10" a="1"/>
  <c r="F3064" i="10" s="1"/>
  <c r="F3063" i="10" a="1"/>
  <c r="F3063" i="10" s="1"/>
  <c r="F3062" i="10" a="1"/>
  <c r="F3062" i="10" s="1"/>
  <c r="F3061" i="10" a="1"/>
  <c r="F3061" i="10" s="1"/>
  <c r="F3060" i="10" a="1"/>
  <c r="F3060" i="10" s="1"/>
  <c r="F3059" i="10" a="1"/>
  <c r="F3059" i="10" s="1"/>
  <c r="F3058" i="10" a="1"/>
  <c r="F3058" i="10" s="1"/>
  <c r="F3057" i="10" a="1"/>
  <c r="F3057" i="10" s="1"/>
  <c r="F3056" i="10" a="1"/>
  <c r="F3056" i="10" s="1"/>
  <c r="F3055" i="10" a="1"/>
  <c r="F3055" i="10" s="1"/>
  <c r="F3054" i="10" a="1"/>
  <c r="F3054" i="10" s="1"/>
  <c r="F3053" i="10" a="1"/>
  <c r="F3053" i="10" s="1"/>
  <c r="F3052" i="10" a="1"/>
  <c r="F3052" i="10" s="1"/>
  <c r="F3051" i="10" a="1"/>
  <c r="F3051" i="10" s="1"/>
  <c r="F3050" i="10" a="1"/>
  <c r="F3050" i="10" s="1"/>
  <c r="F3049" i="10" a="1"/>
  <c r="F3049" i="10" s="1"/>
  <c r="F3048" i="10" a="1"/>
  <c r="F3048" i="10" s="1"/>
  <c r="F3047" i="10" a="1"/>
  <c r="F3047" i="10" s="1"/>
  <c r="F3046" i="10" a="1"/>
  <c r="F3046" i="10" s="1"/>
  <c r="F3045" i="10" a="1"/>
  <c r="F3045" i="10" s="1"/>
  <c r="F3044" i="10" a="1"/>
  <c r="F3044" i="10" s="1"/>
  <c r="F3043" i="10" a="1"/>
  <c r="F3043" i="10" s="1"/>
  <c r="F3042" i="10" a="1"/>
  <c r="F3042" i="10" s="1"/>
  <c r="F3041" i="10" a="1"/>
  <c r="F3041" i="10" s="1"/>
  <c r="F3040" i="10" a="1"/>
  <c r="F3040" i="10" s="1"/>
  <c r="F3039" i="10" a="1"/>
  <c r="F3039" i="10" s="1"/>
  <c r="F3038" i="10" a="1"/>
  <c r="F3038" i="10" s="1"/>
  <c r="F3037" i="10" a="1"/>
  <c r="F3037" i="10" s="1"/>
  <c r="F3036" i="10" a="1"/>
  <c r="F3036" i="10" s="1"/>
  <c r="F3035" i="10" a="1"/>
  <c r="F3035" i="10" s="1"/>
  <c r="F3034" i="10" a="1"/>
  <c r="F3034" i="10" s="1"/>
  <c r="F3033" i="10" a="1"/>
  <c r="F3033" i="10" s="1"/>
  <c r="F3032" i="10" a="1"/>
  <c r="F3032" i="10" s="1"/>
  <c r="F3031" i="10" a="1"/>
  <c r="F3031" i="10" s="1"/>
  <c r="F3030" i="10" a="1"/>
  <c r="F3030" i="10" s="1"/>
  <c r="F3029" i="10" a="1"/>
  <c r="F3029" i="10" s="1"/>
  <c r="F3028" i="10" a="1"/>
  <c r="F3028" i="10" s="1"/>
  <c r="F3027" i="10" a="1"/>
  <c r="F3027" i="10" s="1"/>
  <c r="F3026" i="10" a="1"/>
  <c r="F3026" i="10" s="1"/>
  <c r="F3025" i="10" a="1"/>
  <c r="F3025" i="10" s="1"/>
  <c r="F3024" i="10" a="1"/>
  <c r="F3024" i="10" s="1"/>
  <c r="F3023" i="10" a="1"/>
  <c r="F3023" i="10" s="1"/>
  <c r="F3022" i="10" a="1"/>
  <c r="F3022" i="10" s="1"/>
  <c r="F3021" i="10" a="1"/>
  <c r="F3021" i="10" s="1"/>
  <c r="F3020" i="10" a="1"/>
  <c r="F3020" i="10" s="1"/>
  <c r="F3019" i="10" a="1"/>
  <c r="F3019" i="10" s="1"/>
  <c r="F3018" i="10" a="1"/>
  <c r="F3018" i="10" s="1"/>
  <c r="F3017" i="10" a="1"/>
  <c r="F3017" i="10" s="1"/>
  <c r="F3016" i="10" a="1"/>
  <c r="F3016" i="10" s="1"/>
  <c r="F3015" i="10" a="1"/>
  <c r="F3015" i="10" s="1"/>
  <c r="F3014" i="10" a="1"/>
  <c r="F3014" i="10" s="1"/>
  <c r="F3013" i="10" a="1"/>
  <c r="F3013" i="10" s="1"/>
  <c r="F3012" i="10" a="1"/>
  <c r="F3012" i="10" s="1"/>
  <c r="F3011" i="10" a="1"/>
  <c r="F3011" i="10" s="1"/>
  <c r="F3010" i="10" a="1"/>
  <c r="F3010" i="10" s="1"/>
  <c r="F3009" i="10" a="1"/>
  <c r="F3009" i="10" s="1"/>
  <c r="F3008" i="10" a="1"/>
  <c r="F3008" i="10" s="1"/>
  <c r="F3007" i="10" a="1"/>
  <c r="F3007" i="10" s="1"/>
  <c r="F3006" i="10" a="1"/>
  <c r="F3006" i="10" s="1"/>
  <c r="F3005" i="10" a="1"/>
  <c r="F3005" i="10" s="1"/>
  <c r="F3004" i="10" a="1"/>
  <c r="F3004" i="10" s="1"/>
  <c r="F3003" i="10" a="1"/>
  <c r="F3003" i="10" s="1"/>
  <c r="F3002" i="10" a="1"/>
  <c r="F3002" i="10" s="1"/>
  <c r="F3001" i="10" a="1"/>
  <c r="F3001" i="10" s="1"/>
  <c r="F3000" i="10" a="1"/>
  <c r="F3000" i="10" s="1"/>
  <c r="F2999" i="10" a="1"/>
  <c r="F2999" i="10" s="1"/>
  <c r="F2998" i="10" a="1"/>
  <c r="F2998" i="10" s="1"/>
  <c r="F2997" i="10" a="1"/>
  <c r="F2997" i="10" s="1"/>
  <c r="F2996" i="10" a="1"/>
  <c r="F2996" i="10" s="1"/>
  <c r="F2995" i="10" a="1"/>
  <c r="F2995" i="10" s="1"/>
  <c r="F2994" i="10" a="1"/>
  <c r="F2994" i="10" s="1"/>
  <c r="F2993" i="10" a="1"/>
  <c r="F2993" i="10" s="1"/>
  <c r="F2992" i="10" a="1"/>
  <c r="F2992" i="10" s="1"/>
  <c r="F2991" i="10" a="1"/>
  <c r="F2991" i="10" s="1"/>
  <c r="F2990" i="10" a="1"/>
  <c r="F2990" i="10" s="1"/>
  <c r="F2989" i="10" a="1"/>
  <c r="F2989" i="10" s="1"/>
  <c r="F2988" i="10" a="1"/>
  <c r="F2988" i="10" s="1"/>
  <c r="F2987" i="10" a="1"/>
  <c r="F2987" i="10" s="1"/>
  <c r="F2986" i="10" a="1"/>
  <c r="F2986" i="10" s="1"/>
  <c r="F2985" i="10" a="1"/>
  <c r="F2985" i="10" s="1"/>
  <c r="F2984" i="10" a="1"/>
  <c r="F2984" i="10" s="1"/>
  <c r="F2983" i="10" a="1"/>
  <c r="F2983" i="10" s="1"/>
  <c r="F2982" i="10" a="1"/>
  <c r="F2982" i="10" s="1"/>
  <c r="F2981" i="10" a="1"/>
  <c r="F2981" i="10" s="1"/>
  <c r="F2980" i="10" a="1"/>
  <c r="F2980" i="10" s="1"/>
  <c r="F2979" i="10" a="1"/>
  <c r="F2979" i="10" s="1"/>
  <c r="F2978" i="10" a="1"/>
  <c r="F2978" i="10" s="1"/>
  <c r="F2977" i="10" a="1"/>
  <c r="F2977" i="10" s="1"/>
  <c r="F2976" i="10" a="1"/>
  <c r="F2976" i="10" s="1"/>
  <c r="F2975" i="10" a="1"/>
  <c r="F2975" i="10" s="1"/>
  <c r="F2974" i="10" a="1"/>
  <c r="F2974" i="10" s="1"/>
  <c r="F2973" i="10" a="1"/>
  <c r="F2973" i="10" s="1"/>
  <c r="F2972" i="10" a="1"/>
  <c r="F2972" i="10" s="1"/>
  <c r="F2971" i="10" a="1"/>
  <c r="F2971" i="10" s="1"/>
  <c r="F2970" i="10" a="1"/>
  <c r="F2970" i="10" s="1"/>
  <c r="F2969" i="10" a="1"/>
  <c r="F2969" i="10" s="1"/>
  <c r="F2968" i="10" a="1"/>
  <c r="F2968" i="10" s="1"/>
  <c r="F2967" i="10" a="1"/>
  <c r="F2967" i="10" s="1"/>
  <c r="F2966" i="10" a="1"/>
  <c r="F2966" i="10" s="1"/>
  <c r="F2965" i="10" a="1"/>
  <c r="F2965" i="10" s="1"/>
  <c r="F2964" i="10" a="1"/>
  <c r="F2964" i="10" s="1"/>
  <c r="F2963" i="10" a="1"/>
  <c r="F2963" i="10" s="1"/>
  <c r="F2962" i="10" a="1"/>
  <c r="F2962" i="10" s="1"/>
  <c r="F2961" i="10" a="1"/>
  <c r="F2961" i="10" s="1"/>
  <c r="F2960" i="10" a="1"/>
  <c r="F2960" i="10" s="1"/>
  <c r="F2959" i="10" a="1"/>
  <c r="F2959" i="10" s="1"/>
  <c r="F2958" i="10" a="1"/>
  <c r="F2958" i="10" s="1"/>
  <c r="F2957" i="10" a="1"/>
  <c r="F2957" i="10" s="1"/>
  <c r="F2956" i="10" a="1"/>
  <c r="F2956" i="10" s="1"/>
  <c r="F2955" i="10" a="1"/>
  <c r="F2955" i="10" s="1"/>
  <c r="F2954" i="10" a="1"/>
  <c r="F2954" i="10" s="1"/>
  <c r="F2953" i="10" a="1"/>
  <c r="F2953" i="10" s="1"/>
  <c r="F2952" i="10" a="1"/>
  <c r="F2952" i="10" s="1"/>
  <c r="F2951" i="10" a="1"/>
  <c r="F2951" i="10" s="1"/>
  <c r="F2950" i="10" a="1"/>
  <c r="F2950" i="10" s="1"/>
  <c r="F2949" i="10" a="1"/>
  <c r="F2949" i="10" s="1"/>
  <c r="F2948" i="10" a="1"/>
  <c r="F2948" i="10" s="1"/>
  <c r="F2947" i="10" a="1"/>
  <c r="F2947" i="10" s="1"/>
  <c r="F2946" i="10" a="1"/>
  <c r="F2946" i="10" s="1"/>
  <c r="F2945" i="10" a="1"/>
  <c r="F2945" i="10" s="1"/>
  <c r="F2944" i="10" a="1"/>
  <c r="F2944" i="10" s="1"/>
  <c r="F2943" i="10" a="1"/>
  <c r="F2943" i="10" s="1"/>
  <c r="F2942" i="10" a="1"/>
  <c r="F2942" i="10" s="1"/>
  <c r="F2941" i="10" a="1"/>
  <c r="F2941" i="10" s="1"/>
  <c r="F2940" i="10" a="1"/>
  <c r="F2940" i="10" s="1"/>
  <c r="F2939" i="10" a="1"/>
  <c r="F2939" i="10" s="1"/>
  <c r="F2938" i="10" a="1"/>
  <c r="F2938" i="10" s="1"/>
  <c r="F2937" i="10" a="1"/>
  <c r="F2937" i="10" s="1"/>
  <c r="F2936" i="10" a="1"/>
  <c r="F2936" i="10" s="1"/>
  <c r="F2935" i="10" a="1"/>
  <c r="F2935" i="10" s="1"/>
  <c r="F2934" i="10" a="1"/>
  <c r="F2934" i="10" s="1"/>
  <c r="F2933" i="10" a="1"/>
  <c r="F2933" i="10" s="1"/>
  <c r="F2932" i="10" a="1"/>
  <c r="F2932" i="10" s="1"/>
  <c r="F2931" i="10" a="1"/>
  <c r="F2931" i="10" s="1"/>
  <c r="F2930" i="10" a="1"/>
  <c r="F2930" i="10" s="1"/>
  <c r="F2929" i="10" a="1"/>
  <c r="F2929" i="10" s="1"/>
  <c r="F2928" i="10" a="1"/>
  <c r="F2928" i="10" s="1"/>
  <c r="F2927" i="10" a="1"/>
  <c r="F2927" i="10" s="1"/>
  <c r="F2926" i="10" a="1"/>
  <c r="F2926" i="10" s="1"/>
  <c r="F2925" i="10" a="1"/>
  <c r="F2925" i="10" s="1"/>
  <c r="F2924" i="10" a="1"/>
  <c r="F2924" i="10" s="1"/>
  <c r="F2923" i="10" a="1"/>
  <c r="F2923" i="10" s="1"/>
  <c r="F2922" i="10" a="1"/>
  <c r="F2922" i="10" s="1"/>
  <c r="F2921" i="10" a="1"/>
  <c r="F2921" i="10" s="1"/>
  <c r="F2920" i="10" a="1"/>
  <c r="F2920" i="10" s="1"/>
  <c r="F2919" i="10" a="1"/>
  <c r="F2919" i="10" s="1"/>
  <c r="F2918" i="10" a="1"/>
  <c r="F2918" i="10" s="1"/>
  <c r="F2917" i="10" a="1"/>
  <c r="F2917" i="10" s="1"/>
  <c r="F2916" i="10" a="1"/>
  <c r="F2916" i="10" s="1"/>
  <c r="F2915" i="10" a="1"/>
  <c r="F2915" i="10" s="1"/>
  <c r="F2914" i="10" a="1"/>
  <c r="F2914" i="10" s="1"/>
  <c r="F2913" i="10" a="1"/>
  <c r="F2913" i="10" s="1"/>
  <c r="F2912" i="10" a="1"/>
  <c r="F2912" i="10" s="1"/>
  <c r="F2911" i="10" a="1"/>
  <c r="F2911" i="10" s="1"/>
  <c r="F2910" i="10" a="1"/>
  <c r="F2910" i="10" s="1"/>
  <c r="F2909" i="10" a="1"/>
  <c r="F2909" i="10" s="1"/>
  <c r="F2908" i="10" a="1"/>
  <c r="F2908" i="10" s="1"/>
  <c r="F2907" i="10" a="1"/>
  <c r="F2907" i="10" s="1"/>
  <c r="F2906" i="10" a="1"/>
  <c r="F2906" i="10" s="1"/>
  <c r="F2905" i="10" a="1"/>
  <c r="F2905" i="10" s="1"/>
  <c r="F2904" i="10" a="1"/>
  <c r="F2904" i="10" s="1"/>
  <c r="F2903" i="10" a="1"/>
  <c r="F2903" i="10" s="1"/>
  <c r="F2902" i="10" a="1"/>
  <c r="F2902" i="10" s="1"/>
  <c r="F2901" i="10" a="1"/>
  <c r="F2901" i="10" s="1"/>
  <c r="F2900" i="10" a="1"/>
  <c r="F2900" i="10" s="1"/>
  <c r="F2899" i="10" a="1"/>
  <c r="F2899" i="10" s="1"/>
  <c r="F2898" i="10" a="1"/>
  <c r="F2898" i="10" s="1"/>
  <c r="F2897" i="10" a="1"/>
  <c r="F2897" i="10" s="1"/>
  <c r="F2896" i="10" a="1"/>
  <c r="F2896" i="10" s="1"/>
  <c r="F2895" i="10" a="1"/>
  <c r="F2895" i="10" s="1"/>
  <c r="F2894" i="10" a="1"/>
  <c r="F2894" i="10" s="1"/>
  <c r="F2893" i="10" a="1"/>
  <c r="F2893" i="10" s="1"/>
  <c r="F2892" i="10" a="1"/>
  <c r="F2892" i="10" s="1"/>
  <c r="F2891" i="10" a="1"/>
  <c r="F2891" i="10" s="1"/>
  <c r="F2890" i="10" a="1"/>
  <c r="F2890" i="10" s="1"/>
  <c r="F2889" i="10" a="1"/>
  <c r="F2889" i="10" s="1"/>
  <c r="F2888" i="10" a="1"/>
  <c r="F2888" i="10" s="1"/>
  <c r="F2887" i="10" a="1"/>
  <c r="F2887" i="10" s="1"/>
  <c r="F2886" i="10" a="1"/>
  <c r="F2886" i="10" s="1"/>
  <c r="F2885" i="10" a="1"/>
  <c r="F2885" i="10" s="1"/>
  <c r="F2884" i="10" a="1"/>
  <c r="F2884" i="10" s="1"/>
  <c r="F2883" i="10" a="1"/>
  <c r="F2883" i="10" s="1"/>
  <c r="F2882" i="10" a="1"/>
  <c r="F2882" i="10" s="1"/>
  <c r="F2881" i="10" a="1"/>
  <c r="F2881" i="10" s="1"/>
  <c r="F2880" i="10" a="1"/>
  <c r="F2880" i="10" s="1"/>
  <c r="F2879" i="10" a="1"/>
  <c r="F2879" i="10" s="1"/>
  <c r="F2878" i="10" a="1"/>
  <c r="F2878" i="10" s="1"/>
  <c r="F2877" i="10" a="1"/>
  <c r="F2877" i="10" s="1"/>
  <c r="F2876" i="10" a="1"/>
  <c r="F2876" i="10" s="1"/>
  <c r="F2875" i="10" a="1"/>
  <c r="F2875" i="10" s="1"/>
  <c r="F2874" i="10" a="1"/>
  <c r="F2874" i="10" s="1"/>
  <c r="F2873" i="10" a="1"/>
  <c r="F2873" i="10" s="1"/>
  <c r="F2872" i="10" a="1"/>
  <c r="F2872" i="10" s="1"/>
  <c r="F2871" i="10"/>
  <c r="F2871" i="10" a="1"/>
  <c r="F2870" i="10" a="1"/>
  <c r="F2870" i="10" s="1"/>
  <c r="F2869" i="10" a="1"/>
  <c r="F2869" i="10" s="1"/>
  <c r="F2868" i="10" a="1"/>
  <c r="F2868" i="10" s="1"/>
  <c r="F2867" i="10" a="1"/>
  <c r="F2867" i="10" s="1"/>
  <c r="F2866" i="10" a="1"/>
  <c r="F2866" i="10" s="1"/>
  <c r="F2865" i="10" a="1"/>
  <c r="F2865" i="10" s="1"/>
  <c r="F2864" i="10" a="1"/>
  <c r="F2864" i="10" s="1"/>
  <c r="F2863" i="10" a="1"/>
  <c r="F2863" i="10" s="1"/>
  <c r="F2862" i="10" a="1"/>
  <c r="F2862" i="10" s="1"/>
  <c r="F2861" i="10" a="1"/>
  <c r="F2861" i="10" s="1"/>
  <c r="F2860" i="10" a="1"/>
  <c r="F2860" i="10" s="1"/>
  <c r="F2859" i="10" a="1"/>
  <c r="F2859" i="10" s="1"/>
  <c r="F2858" i="10" a="1"/>
  <c r="F2858" i="10" s="1"/>
  <c r="F2857" i="10" a="1"/>
  <c r="F2857" i="10" s="1"/>
  <c r="F2856" i="10" a="1"/>
  <c r="F2856" i="10" s="1"/>
  <c r="F2855" i="10" a="1"/>
  <c r="F2855" i="10" s="1"/>
  <c r="F2854" i="10" a="1"/>
  <c r="F2854" i="10" s="1"/>
  <c r="F2853" i="10" a="1"/>
  <c r="F2853" i="10" s="1"/>
  <c r="F2852" i="10" a="1"/>
  <c r="F2852" i="10" s="1"/>
  <c r="F2851" i="10" a="1"/>
  <c r="F2851" i="10" s="1"/>
  <c r="F2850" i="10" a="1"/>
  <c r="F2850" i="10" s="1"/>
  <c r="F2849" i="10" a="1"/>
  <c r="F2849" i="10" s="1"/>
  <c r="F2848" i="10" a="1"/>
  <c r="F2848" i="10" s="1"/>
  <c r="F2847" i="10" a="1"/>
  <c r="F2847" i="10" s="1"/>
  <c r="F2846" i="10" a="1"/>
  <c r="F2846" i="10" s="1"/>
  <c r="F2845" i="10" a="1"/>
  <c r="F2845" i="10" s="1"/>
  <c r="F2844" i="10" a="1"/>
  <c r="F2844" i="10" s="1"/>
  <c r="F2843" i="10" a="1"/>
  <c r="F2843" i="10" s="1"/>
  <c r="F2842" i="10" a="1"/>
  <c r="F2842" i="10" s="1"/>
  <c r="F2841" i="10" a="1"/>
  <c r="F2841" i="10" s="1"/>
  <c r="F2840" i="10" a="1"/>
  <c r="F2840" i="10" s="1"/>
  <c r="F2839" i="10" a="1"/>
  <c r="F2839" i="10" s="1"/>
  <c r="F2838" i="10" a="1"/>
  <c r="F2838" i="10" s="1"/>
  <c r="F2837" i="10" a="1"/>
  <c r="F2837" i="10" s="1"/>
  <c r="F2836" i="10" a="1"/>
  <c r="F2836" i="10" s="1"/>
  <c r="F2835" i="10" a="1"/>
  <c r="F2835" i="10" s="1"/>
  <c r="F2834" i="10" a="1"/>
  <c r="F2834" i="10" s="1"/>
  <c r="F2833" i="10" a="1"/>
  <c r="F2833" i="10" s="1"/>
  <c r="F2832" i="10" a="1"/>
  <c r="F2832" i="10" s="1"/>
  <c r="F2831" i="10" a="1"/>
  <c r="F2831" i="10" s="1"/>
  <c r="F2830" i="10" a="1"/>
  <c r="F2830" i="10" s="1"/>
  <c r="F2829" i="10" a="1"/>
  <c r="F2829" i="10" s="1"/>
  <c r="F2828" i="10" a="1"/>
  <c r="F2828" i="10" s="1"/>
  <c r="F2827" i="10" a="1"/>
  <c r="F2827" i="10" s="1"/>
  <c r="F2826" i="10" a="1"/>
  <c r="F2826" i="10" s="1"/>
  <c r="F2825" i="10" a="1"/>
  <c r="F2825" i="10" s="1"/>
  <c r="F2824" i="10" a="1"/>
  <c r="F2824" i="10" s="1"/>
  <c r="F2823" i="10" a="1"/>
  <c r="F2823" i="10" s="1"/>
  <c r="F2822" i="10" a="1"/>
  <c r="F2822" i="10" s="1"/>
  <c r="F2821" i="10" a="1"/>
  <c r="F2821" i="10" s="1"/>
  <c r="F2820" i="10" a="1"/>
  <c r="F2820" i="10" s="1"/>
  <c r="F2819" i="10" a="1"/>
  <c r="F2819" i="10" s="1"/>
  <c r="F2818" i="10" a="1"/>
  <c r="F2818" i="10" s="1"/>
  <c r="F2817" i="10" a="1"/>
  <c r="F2817" i="10" s="1"/>
  <c r="F2816" i="10" a="1"/>
  <c r="F2816" i="10" s="1"/>
  <c r="F2815" i="10" a="1"/>
  <c r="F2815" i="10" s="1"/>
  <c r="F2814" i="10" a="1"/>
  <c r="F2814" i="10" s="1"/>
  <c r="F2813" i="10" a="1"/>
  <c r="F2813" i="10" s="1"/>
  <c r="F2812" i="10" a="1"/>
  <c r="F2812" i="10" s="1"/>
  <c r="F2811" i="10" a="1"/>
  <c r="F2811" i="10" s="1"/>
  <c r="F2810" i="10" a="1"/>
  <c r="F2810" i="10" s="1"/>
  <c r="F2809" i="10" a="1"/>
  <c r="F2809" i="10" s="1"/>
  <c r="F2808" i="10" a="1"/>
  <c r="F2808" i="10" s="1"/>
  <c r="F2807" i="10" a="1"/>
  <c r="F2807" i="10" s="1"/>
  <c r="F2806" i="10" a="1"/>
  <c r="F2806" i="10" s="1"/>
  <c r="F2805" i="10" a="1"/>
  <c r="F2805" i="10" s="1"/>
  <c r="F2804" i="10" a="1"/>
  <c r="F2804" i="10" s="1"/>
  <c r="F2803" i="10" a="1"/>
  <c r="F2803" i="10" s="1"/>
  <c r="F2802" i="10" a="1"/>
  <c r="F2802" i="10" s="1"/>
  <c r="F2801" i="10" a="1"/>
  <c r="F2801" i="10" s="1"/>
  <c r="F2800" i="10" a="1"/>
  <c r="F2800" i="10" s="1"/>
  <c r="F2799" i="10" a="1"/>
  <c r="F2799" i="10" s="1"/>
  <c r="F2798" i="10" a="1"/>
  <c r="F2798" i="10" s="1"/>
  <c r="F2797" i="10" a="1"/>
  <c r="F2797" i="10" s="1"/>
  <c r="F2796" i="10" a="1"/>
  <c r="F2796" i="10" s="1"/>
  <c r="F2795" i="10" a="1"/>
  <c r="F2795" i="10" s="1"/>
  <c r="F2794" i="10" a="1"/>
  <c r="F2794" i="10" s="1"/>
  <c r="F2793" i="10" a="1"/>
  <c r="F2793" i="10" s="1"/>
  <c r="F2792" i="10" a="1"/>
  <c r="F2792" i="10" s="1"/>
  <c r="F2791" i="10" a="1"/>
  <c r="F2791" i="10" s="1"/>
  <c r="F2790" i="10" a="1"/>
  <c r="F2790" i="10" s="1"/>
  <c r="F2789" i="10" a="1"/>
  <c r="F2789" i="10" s="1"/>
  <c r="F2788" i="10" a="1"/>
  <c r="F2788" i="10" s="1"/>
  <c r="F2787" i="10" a="1"/>
  <c r="F2787" i="10" s="1"/>
  <c r="F2786" i="10" a="1"/>
  <c r="F2786" i="10" s="1"/>
  <c r="F2785" i="10" a="1"/>
  <c r="F2785" i="10" s="1"/>
  <c r="F2784" i="10" a="1"/>
  <c r="F2784" i="10" s="1"/>
  <c r="F2783" i="10" a="1"/>
  <c r="F2783" i="10" s="1"/>
  <c r="F2782" i="10" a="1"/>
  <c r="F2782" i="10" s="1"/>
  <c r="F2781" i="10" a="1"/>
  <c r="F2781" i="10" s="1"/>
  <c r="F2780" i="10" a="1"/>
  <c r="F2780" i="10" s="1"/>
  <c r="F2779" i="10" a="1"/>
  <c r="F2779" i="10" s="1"/>
  <c r="F2778" i="10" a="1"/>
  <c r="F2778" i="10" s="1"/>
  <c r="F2777" i="10" a="1"/>
  <c r="F2777" i="10" s="1"/>
  <c r="F2776" i="10" a="1"/>
  <c r="F2776" i="10" s="1"/>
  <c r="F2775" i="10" a="1"/>
  <c r="F2775" i="10" s="1"/>
  <c r="F2774" i="10" a="1"/>
  <c r="F2774" i="10" s="1"/>
  <c r="F2773" i="10" a="1"/>
  <c r="F2773" i="10" s="1"/>
  <c r="F2772" i="10" a="1"/>
  <c r="F2772" i="10" s="1"/>
  <c r="F2771" i="10" a="1"/>
  <c r="F2771" i="10" s="1"/>
  <c r="F2770" i="10" a="1"/>
  <c r="F2770" i="10" s="1"/>
  <c r="F2769" i="10" a="1"/>
  <c r="F2769" i="10" s="1"/>
  <c r="F2768" i="10" a="1"/>
  <c r="F2768" i="10" s="1"/>
  <c r="F2767" i="10" a="1"/>
  <c r="F2767" i="10" s="1"/>
  <c r="F2766" i="10" a="1"/>
  <c r="F2766" i="10" s="1"/>
  <c r="F2765" i="10" a="1"/>
  <c r="F2765" i="10" s="1"/>
  <c r="F2764" i="10" a="1"/>
  <c r="F2764" i="10" s="1"/>
  <c r="F2763" i="10" a="1"/>
  <c r="F2763" i="10" s="1"/>
  <c r="F2762" i="10" a="1"/>
  <c r="F2762" i="10" s="1"/>
  <c r="F2761" i="10" a="1"/>
  <c r="F2761" i="10" s="1"/>
  <c r="F2760" i="10" a="1"/>
  <c r="F2760" i="10" s="1"/>
  <c r="F2759" i="10" a="1"/>
  <c r="F2759" i="10" s="1"/>
  <c r="F2758" i="10" a="1"/>
  <c r="F2758" i="10" s="1"/>
  <c r="F2757" i="10" a="1"/>
  <c r="F2757" i="10" s="1"/>
  <c r="F2756" i="10" a="1"/>
  <c r="F2756" i="10" s="1"/>
  <c r="F2755" i="10" a="1"/>
  <c r="F2755" i="10" s="1"/>
  <c r="F2754" i="10" a="1"/>
  <c r="F2754" i="10" s="1"/>
  <c r="F2753" i="10" a="1"/>
  <c r="F2753" i="10" s="1"/>
  <c r="F2752" i="10" a="1"/>
  <c r="F2752" i="10" s="1"/>
  <c r="F2751" i="10" a="1"/>
  <c r="F2751" i="10" s="1"/>
  <c r="F2750" i="10" a="1"/>
  <c r="F2750" i="10" s="1"/>
  <c r="F2749" i="10" a="1"/>
  <c r="F2749" i="10" s="1"/>
  <c r="F2748" i="10" a="1"/>
  <c r="F2748" i="10" s="1"/>
  <c r="F2747" i="10" a="1"/>
  <c r="F2747" i="10" s="1"/>
  <c r="F2746" i="10" a="1"/>
  <c r="F2746" i="10" s="1"/>
  <c r="F2745" i="10" a="1"/>
  <c r="F2745" i="10" s="1"/>
  <c r="F2744" i="10" a="1"/>
  <c r="F2744" i="10" s="1"/>
  <c r="F2743" i="10" a="1"/>
  <c r="F2743" i="10" s="1"/>
  <c r="F2742" i="10" a="1"/>
  <c r="F2742" i="10" s="1"/>
  <c r="F2741" i="10" a="1"/>
  <c r="F2741" i="10" s="1"/>
  <c r="F2740" i="10" a="1"/>
  <c r="F2740" i="10" s="1"/>
  <c r="F2739" i="10" a="1"/>
  <c r="F2739" i="10" s="1"/>
  <c r="F2738" i="10" a="1"/>
  <c r="F2738" i="10" s="1"/>
  <c r="F2737" i="10" a="1"/>
  <c r="F2737" i="10" s="1"/>
  <c r="F2736" i="10" a="1"/>
  <c r="F2736" i="10" s="1"/>
  <c r="F2735" i="10" a="1"/>
  <c r="F2735" i="10" s="1"/>
  <c r="F2734" i="10" a="1"/>
  <c r="F2734" i="10" s="1"/>
  <c r="F2733" i="10"/>
  <c r="F2733" i="10" a="1"/>
  <c r="F2732" i="10" a="1"/>
  <c r="F2732" i="10" s="1"/>
  <c r="F2731" i="10" a="1"/>
  <c r="F2731" i="10" s="1"/>
  <c r="F2730" i="10" a="1"/>
  <c r="F2730" i="10" s="1"/>
  <c r="F2729" i="10" a="1"/>
  <c r="F2729" i="10" s="1"/>
  <c r="F2728" i="10" a="1"/>
  <c r="F2728" i="10" s="1"/>
  <c r="F2727" i="10" a="1"/>
  <c r="F2727" i="10" s="1"/>
  <c r="F2726" i="10" a="1"/>
  <c r="F2726" i="10" s="1"/>
  <c r="F2725" i="10" a="1"/>
  <c r="F2725" i="10" s="1"/>
  <c r="F2724" i="10" a="1"/>
  <c r="F2724" i="10" s="1"/>
  <c r="F2723" i="10" a="1"/>
  <c r="F2723" i="10" s="1"/>
  <c r="F2722" i="10" a="1"/>
  <c r="F2722" i="10" s="1"/>
  <c r="F2721" i="10" a="1"/>
  <c r="F2721" i="10" s="1"/>
  <c r="F2720" i="10" a="1"/>
  <c r="F2720" i="10" s="1"/>
  <c r="F2719" i="10" a="1"/>
  <c r="F2719" i="10" s="1"/>
  <c r="F2718" i="10" a="1"/>
  <c r="F2718" i="10" s="1"/>
  <c r="F2717" i="10" a="1"/>
  <c r="F2717" i="10" s="1"/>
  <c r="F2716" i="10" a="1"/>
  <c r="F2716" i="10" s="1"/>
  <c r="F2715" i="10" a="1"/>
  <c r="F2715" i="10" s="1"/>
  <c r="F2714" i="10" a="1"/>
  <c r="F2714" i="10" s="1"/>
  <c r="F2713" i="10" a="1"/>
  <c r="F2713" i="10" s="1"/>
  <c r="F2712" i="10" a="1"/>
  <c r="F2712" i="10" s="1"/>
  <c r="F2711" i="10" a="1"/>
  <c r="F2711" i="10" s="1"/>
  <c r="F2710" i="10" a="1"/>
  <c r="F2710" i="10" s="1"/>
  <c r="F2709" i="10" a="1"/>
  <c r="F2709" i="10" s="1"/>
  <c r="F2708" i="10" a="1"/>
  <c r="F2708" i="10" s="1"/>
  <c r="F2707" i="10" a="1"/>
  <c r="F2707" i="10" s="1"/>
  <c r="F2706" i="10" a="1"/>
  <c r="F2706" i="10" s="1"/>
  <c r="F2705" i="10" a="1"/>
  <c r="F2705" i="10" s="1"/>
  <c r="F2704" i="10" a="1"/>
  <c r="F2704" i="10" s="1"/>
  <c r="F2703" i="10" a="1"/>
  <c r="F2703" i="10" s="1"/>
  <c r="F2702" i="10" a="1"/>
  <c r="F2702" i="10" s="1"/>
  <c r="F2701" i="10" a="1"/>
  <c r="F2701" i="10" s="1"/>
  <c r="F2700" i="10" a="1"/>
  <c r="F2700" i="10" s="1"/>
  <c r="F2699" i="10" a="1"/>
  <c r="F2699" i="10" s="1"/>
  <c r="F2698" i="10" a="1"/>
  <c r="F2698" i="10" s="1"/>
  <c r="F2697" i="10" a="1"/>
  <c r="F2697" i="10" s="1"/>
  <c r="F2696" i="10" a="1"/>
  <c r="F2696" i="10" s="1"/>
  <c r="F2695" i="10" a="1"/>
  <c r="F2695" i="10" s="1"/>
  <c r="F2694" i="10" a="1"/>
  <c r="F2694" i="10" s="1"/>
  <c r="F2693" i="10" a="1"/>
  <c r="F2693" i="10" s="1"/>
  <c r="F2692" i="10" a="1"/>
  <c r="F2692" i="10" s="1"/>
  <c r="F2691" i="10" a="1"/>
  <c r="F2691" i="10" s="1"/>
  <c r="F2690" i="10" a="1"/>
  <c r="F2690" i="10" s="1"/>
  <c r="F2689" i="10" a="1"/>
  <c r="F2689" i="10" s="1"/>
  <c r="F2688" i="10" a="1"/>
  <c r="F2688" i="10" s="1"/>
  <c r="F2687" i="10" a="1"/>
  <c r="F2687" i="10" s="1"/>
  <c r="F2686" i="10" a="1"/>
  <c r="F2686" i="10" s="1"/>
  <c r="F2685" i="10" a="1"/>
  <c r="F2685" i="10" s="1"/>
  <c r="F2684" i="10" a="1"/>
  <c r="F2684" i="10" s="1"/>
  <c r="F2683" i="10" a="1"/>
  <c r="F2683" i="10" s="1"/>
  <c r="F2682" i="10" a="1"/>
  <c r="F2682" i="10" s="1"/>
  <c r="F2681" i="10" a="1"/>
  <c r="F2681" i="10" s="1"/>
  <c r="F2680" i="10" a="1"/>
  <c r="F2680" i="10" s="1"/>
  <c r="F2679" i="10" a="1"/>
  <c r="F2679" i="10" s="1"/>
  <c r="F2678" i="10" a="1"/>
  <c r="F2678" i="10" s="1"/>
  <c r="F2677" i="10" a="1"/>
  <c r="F2677" i="10" s="1"/>
  <c r="F2676" i="10" a="1"/>
  <c r="F2676" i="10" s="1"/>
  <c r="F2675" i="10" a="1"/>
  <c r="F2675" i="10" s="1"/>
  <c r="F2674" i="10" a="1"/>
  <c r="F2674" i="10" s="1"/>
  <c r="F2673" i="10" a="1"/>
  <c r="F2673" i="10" s="1"/>
  <c r="F2672" i="10" a="1"/>
  <c r="F2672" i="10" s="1"/>
  <c r="F2671" i="10" a="1"/>
  <c r="F2671" i="10" s="1"/>
  <c r="F2670" i="10" a="1"/>
  <c r="F2670" i="10" s="1"/>
  <c r="F2669" i="10" a="1"/>
  <c r="F2669" i="10" s="1"/>
  <c r="F2668" i="10" a="1"/>
  <c r="F2668" i="10" s="1"/>
  <c r="F2667" i="10" a="1"/>
  <c r="F2667" i="10" s="1"/>
  <c r="F2666" i="10" a="1"/>
  <c r="F2666" i="10" s="1"/>
  <c r="F2665" i="10" a="1"/>
  <c r="F2665" i="10" s="1"/>
  <c r="F2664" i="10" a="1"/>
  <c r="F2664" i="10" s="1"/>
  <c r="F2663" i="10" a="1"/>
  <c r="F2663" i="10" s="1"/>
  <c r="F2662" i="10" a="1"/>
  <c r="F2662" i="10" s="1"/>
  <c r="F2661" i="10" a="1"/>
  <c r="F2661" i="10" s="1"/>
  <c r="F2660" i="10" a="1"/>
  <c r="F2660" i="10" s="1"/>
  <c r="F2659" i="10" a="1"/>
  <c r="F2659" i="10" s="1"/>
  <c r="F2658" i="10" a="1"/>
  <c r="F2658" i="10" s="1"/>
  <c r="F2657" i="10" a="1"/>
  <c r="F2657" i="10" s="1"/>
  <c r="F2656" i="10" a="1"/>
  <c r="F2656" i="10" s="1"/>
  <c r="F2655" i="10" a="1"/>
  <c r="F2655" i="10" s="1"/>
  <c r="F2654" i="10" a="1"/>
  <c r="F2654" i="10" s="1"/>
  <c r="F2653" i="10" a="1"/>
  <c r="F2653" i="10" s="1"/>
  <c r="F2652" i="10" a="1"/>
  <c r="F2652" i="10" s="1"/>
  <c r="F2651" i="10" a="1"/>
  <c r="F2651" i="10" s="1"/>
  <c r="F2650" i="10" a="1"/>
  <c r="F2650" i="10" s="1"/>
  <c r="F2649" i="10" a="1"/>
  <c r="F2649" i="10" s="1"/>
  <c r="F2648" i="10" a="1"/>
  <c r="F2648" i="10" s="1"/>
  <c r="F2647" i="10" a="1"/>
  <c r="F2647" i="10" s="1"/>
  <c r="F2646" i="10" a="1"/>
  <c r="F2646" i="10" s="1"/>
  <c r="F2645" i="10" a="1"/>
  <c r="F2645" i="10" s="1"/>
  <c r="F2644" i="10" a="1"/>
  <c r="F2644" i="10" s="1"/>
  <c r="F2643" i="10" a="1"/>
  <c r="F2643" i="10" s="1"/>
  <c r="F2642" i="10" a="1"/>
  <c r="F2642" i="10" s="1"/>
  <c r="F2641" i="10" a="1"/>
  <c r="F2641" i="10" s="1"/>
  <c r="F2640" i="10" a="1"/>
  <c r="F2640" i="10" s="1"/>
  <c r="F2639" i="10" a="1"/>
  <c r="F2639" i="10" s="1"/>
  <c r="F2638" i="10" a="1"/>
  <c r="F2638" i="10" s="1"/>
  <c r="F2637" i="10" a="1"/>
  <c r="F2637" i="10" s="1"/>
  <c r="F2636" i="10" a="1"/>
  <c r="F2636" i="10" s="1"/>
  <c r="F2635" i="10" a="1"/>
  <c r="F2635" i="10" s="1"/>
  <c r="F2634" i="10" a="1"/>
  <c r="F2634" i="10" s="1"/>
  <c r="F2633" i="10" a="1"/>
  <c r="F2633" i="10" s="1"/>
  <c r="F2632" i="10" a="1"/>
  <c r="F2632" i="10" s="1"/>
  <c r="F2631" i="10" a="1"/>
  <c r="F2631" i="10" s="1"/>
  <c r="F2630" i="10" a="1"/>
  <c r="F2630" i="10" s="1"/>
  <c r="F2629" i="10" a="1"/>
  <c r="F2629" i="10" s="1"/>
  <c r="F2628" i="10" a="1"/>
  <c r="F2628" i="10" s="1"/>
  <c r="F2627" i="10" a="1"/>
  <c r="F2627" i="10" s="1"/>
  <c r="F2626" i="10" a="1"/>
  <c r="F2626" i="10" s="1"/>
  <c r="F2625" i="10" a="1"/>
  <c r="F2625" i="10" s="1"/>
  <c r="F2624" i="10" a="1"/>
  <c r="F2624" i="10" s="1"/>
  <c r="F2623" i="10" a="1"/>
  <c r="F2623" i="10" s="1"/>
  <c r="F2622" i="10" a="1"/>
  <c r="F2622" i="10" s="1"/>
  <c r="F2621" i="10" a="1"/>
  <c r="F2621" i="10" s="1"/>
  <c r="F2620" i="10" a="1"/>
  <c r="F2620" i="10" s="1"/>
  <c r="F2619" i="10" a="1"/>
  <c r="F2619" i="10" s="1"/>
  <c r="F2618" i="10" a="1"/>
  <c r="F2618" i="10" s="1"/>
  <c r="F2617" i="10" a="1"/>
  <c r="F2617" i="10" s="1"/>
  <c r="F2616" i="10" a="1"/>
  <c r="F2616" i="10" s="1"/>
  <c r="F2615" i="10" a="1"/>
  <c r="F2615" i="10" s="1"/>
  <c r="F2614" i="10" a="1"/>
  <c r="F2614" i="10" s="1"/>
  <c r="F2613" i="10" a="1"/>
  <c r="F2613" i="10" s="1"/>
  <c r="F2612" i="10" a="1"/>
  <c r="F2612" i="10" s="1"/>
  <c r="F2611" i="10" a="1"/>
  <c r="F2611" i="10" s="1"/>
  <c r="F2610" i="10" a="1"/>
  <c r="F2610" i="10" s="1"/>
  <c r="F2609" i="10" a="1"/>
  <c r="F2609" i="10" s="1"/>
  <c r="F2608" i="10" a="1"/>
  <c r="F2608" i="10" s="1"/>
  <c r="F2607" i="10" a="1"/>
  <c r="F2607" i="10" s="1"/>
  <c r="F2606" i="10" a="1"/>
  <c r="F2606" i="10" s="1"/>
  <c r="F2605" i="10" a="1"/>
  <c r="F2605" i="10" s="1"/>
  <c r="F2604" i="10" a="1"/>
  <c r="F2604" i="10" s="1"/>
  <c r="F2603" i="10" a="1"/>
  <c r="F2603" i="10" s="1"/>
  <c r="F2602" i="10" a="1"/>
  <c r="F2602" i="10" s="1"/>
  <c r="F2601" i="10" a="1"/>
  <c r="F2601" i="10" s="1"/>
  <c r="F2600" i="10" a="1"/>
  <c r="F2600" i="10" s="1"/>
  <c r="F2599" i="10" a="1"/>
  <c r="F2599" i="10" s="1"/>
  <c r="F2598" i="10" a="1"/>
  <c r="F2598" i="10" s="1"/>
  <c r="F2597" i="10" a="1"/>
  <c r="F2597" i="10" s="1"/>
  <c r="F2596" i="10" a="1"/>
  <c r="F2596" i="10" s="1"/>
  <c r="F2595" i="10" a="1"/>
  <c r="F2595" i="10" s="1"/>
  <c r="F2594" i="10" a="1"/>
  <c r="F2594" i="10" s="1"/>
  <c r="F2593" i="10" a="1"/>
  <c r="F2593" i="10" s="1"/>
  <c r="F2592" i="10" a="1"/>
  <c r="F2592" i="10" s="1"/>
  <c r="F2591" i="10" a="1"/>
  <c r="F2591" i="10" s="1"/>
  <c r="F2590" i="10" a="1"/>
  <c r="F2590" i="10" s="1"/>
  <c r="F2589" i="10" a="1"/>
  <c r="F2589" i="10" s="1"/>
  <c r="F2588" i="10" a="1"/>
  <c r="F2588" i="10" s="1"/>
  <c r="F2587" i="10" a="1"/>
  <c r="F2587" i="10" s="1"/>
  <c r="F2586" i="10" a="1"/>
  <c r="F2586" i="10" s="1"/>
  <c r="F2585" i="10" a="1"/>
  <c r="F2585" i="10" s="1"/>
  <c r="F2584" i="10" a="1"/>
  <c r="F2584" i="10" s="1"/>
  <c r="F2583" i="10" a="1"/>
  <c r="F2583" i="10" s="1"/>
  <c r="F2582" i="10" a="1"/>
  <c r="F2582" i="10" s="1"/>
  <c r="F2581" i="10" a="1"/>
  <c r="F2581" i="10" s="1"/>
  <c r="F2580" i="10" a="1"/>
  <c r="F2580" i="10" s="1"/>
  <c r="F2579" i="10" a="1"/>
  <c r="F2579" i="10" s="1"/>
  <c r="F2578" i="10" a="1"/>
  <c r="F2578" i="10" s="1"/>
  <c r="F2577" i="10" a="1"/>
  <c r="F2577" i="10" s="1"/>
  <c r="F2576" i="10" a="1"/>
  <c r="F2576" i="10" s="1"/>
  <c r="F2575" i="10" a="1"/>
  <c r="F2575" i="10" s="1"/>
  <c r="F2574" i="10" a="1"/>
  <c r="F2574" i="10" s="1"/>
  <c r="F2573" i="10" a="1"/>
  <c r="F2573" i="10" s="1"/>
  <c r="F2572" i="10" a="1"/>
  <c r="F2572" i="10" s="1"/>
  <c r="F2571" i="10" a="1"/>
  <c r="F2571" i="10" s="1"/>
  <c r="F2570" i="10" a="1"/>
  <c r="F2570" i="10" s="1"/>
  <c r="F2569" i="10" a="1"/>
  <c r="F2569" i="10" s="1"/>
  <c r="F2568" i="10" a="1"/>
  <c r="F2568" i="10" s="1"/>
  <c r="F2567" i="10" a="1"/>
  <c r="F2567" i="10" s="1"/>
  <c r="F2566" i="10" a="1"/>
  <c r="F2566" i="10" s="1"/>
  <c r="F2565" i="10" a="1"/>
  <c r="F2565" i="10" s="1"/>
  <c r="F2564" i="10" a="1"/>
  <c r="F2564" i="10" s="1"/>
  <c r="F2563" i="10" a="1"/>
  <c r="F2563" i="10" s="1"/>
  <c r="F2562" i="10" a="1"/>
  <c r="F2562" i="10" s="1"/>
  <c r="F2561" i="10" a="1"/>
  <c r="F2561" i="10" s="1"/>
  <c r="F2560" i="10" a="1"/>
  <c r="F2560" i="10" s="1"/>
  <c r="F2559" i="10" a="1"/>
  <c r="F2559" i="10" s="1"/>
  <c r="F2558" i="10" a="1"/>
  <c r="F2558" i="10" s="1"/>
  <c r="F2557" i="10" a="1"/>
  <c r="F2557" i="10" s="1"/>
  <c r="F2556" i="10" a="1"/>
  <c r="F2556" i="10" s="1"/>
  <c r="F2555" i="10" a="1"/>
  <c r="F2555" i="10" s="1"/>
  <c r="F2554" i="10" a="1"/>
  <c r="F2554" i="10" s="1"/>
  <c r="F2553" i="10" a="1"/>
  <c r="F2553" i="10" s="1"/>
  <c r="F2552" i="10" a="1"/>
  <c r="F2552" i="10" s="1"/>
  <c r="F2551" i="10" a="1"/>
  <c r="F2551" i="10" s="1"/>
  <c r="F2550" i="10" a="1"/>
  <c r="F2550" i="10" s="1"/>
  <c r="F2549" i="10" a="1"/>
  <c r="F2549" i="10" s="1"/>
  <c r="F2548" i="10" a="1"/>
  <c r="F2548" i="10" s="1"/>
  <c r="F2547" i="10" a="1"/>
  <c r="F2547" i="10" s="1"/>
  <c r="F2546" i="10" a="1"/>
  <c r="F2546" i="10" s="1"/>
  <c r="F2545" i="10" a="1"/>
  <c r="F2545" i="10" s="1"/>
  <c r="F2544" i="10" a="1"/>
  <c r="F2544" i="10" s="1"/>
  <c r="F2543" i="10" a="1"/>
  <c r="F2543" i="10" s="1"/>
  <c r="F2542" i="10" a="1"/>
  <c r="F2542" i="10" s="1"/>
  <c r="F2541" i="10" a="1"/>
  <c r="F2541" i="10" s="1"/>
  <c r="F2540" i="10" a="1"/>
  <c r="F2540" i="10" s="1"/>
  <c r="F2539" i="10" a="1"/>
  <c r="F2539" i="10" s="1"/>
  <c r="F2538" i="10" a="1"/>
  <c r="F2538" i="10" s="1"/>
  <c r="F2537" i="10" a="1"/>
  <c r="F2537" i="10" s="1"/>
  <c r="F2536" i="10" a="1"/>
  <c r="F2536" i="10" s="1"/>
  <c r="F2535" i="10" a="1"/>
  <c r="F2535" i="10" s="1"/>
  <c r="F2534" i="10" a="1"/>
  <c r="F2534" i="10" s="1"/>
  <c r="F2533" i="10" a="1"/>
  <c r="F2533" i="10" s="1"/>
  <c r="F2532" i="10" a="1"/>
  <c r="F2532" i="10" s="1"/>
  <c r="F2531" i="10" a="1"/>
  <c r="F2531" i="10" s="1"/>
  <c r="F2530" i="10" a="1"/>
  <c r="F2530" i="10" s="1"/>
  <c r="F2529" i="10" a="1"/>
  <c r="F2529" i="10" s="1"/>
  <c r="F2528" i="10" a="1"/>
  <c r="F2528" i="10" s="1"/>
  <c r="F2527" i="10" a="1"/>
  <c r="F2527" i="10" s="1"/>
  <c r="F2526" i="10" a="1"/>
  <c r="F2526" i="10" s="1"/>
  <c r="F2525" i="10" a="1"/>
  <c r="F2525" i="10" s="1"/>
  <c r="F2524" i="10" a="1"/>
  <c r="F2524" i="10" s="1"/>
  <c r="F2523" i="10" a="1"/>
  <c r="F2523" i="10" s="1"/>
  <c r="F2522" i="10" a="1"/>
  <c r="F2522" i="10" s="1"/>
  <c r="F2521" i="10" a="1"/>
  <c r="F2521" i="10" s="1"/>
  <c r="F2520" i="10" a="1"/>
  <c r="F2520" i="10" s="1"/>
  <c r="F2519" i="10" a="1"/>
  <c r="F2519" i="10" s="1"/>
  <c r="F2518" i="10" a="1"/>
  <c r="F2518" i="10" s="1"/>
  <c r="F2517" i="10" a="1"/>
  <c r="F2517" i="10" s="1"/>
  <c r="F2516" i="10" a="1"/>
  <c r="F2516" i="10" s="1"/>
  <c r="F2515" i="10" a="1"/>
  <c r="F2515" i="10" s="1"/>
  <c r="F2514" i="10" a="1"/>
  <c r="F2514" i="10" s="1"/>
  <c r="F2513" i="10" a="1"/>
  <c r="F2513" i="10" s="1"/>
  <c r="F2512" i="10" a="1"/>
  <c r="F2512" i="10" s="1"/>
  <c r="F2511" i="10" a="1"/>
  <c r="F2511" i="10" s="1"/>
  <c r="F2510" i="10" a="1"/>
  <c r="F2510" i="10" s="1"/>
  <c r="F2509" i="10" a="1"/>
  <c r="F2509" i="10" s="1"/>
  <c r="F2508" i="10" a="1"/>
  <c r="F2508" i="10" s="1"/>
  <c r="F2507" i="10" a="1"/>
  <c r="F2507" i="10" s="1"/>
  <c r="F2506" i="10" a="1"/>
  <c r="F2506" i="10" s="1"/>
  <c r="F2505" i="10" a="1"/>
  <c r="F2505" i="10" s="1"/>
  <c r="F2504" i="10" a="1"/>
  <c r="F2504" i="10" s="1"/>
  <c r="F2503" i="10" a="1"/>
  <c r="F2503" i="10" s="1"/>
  <c r="F2502" i="10" a="1"/>
  <c r="F2502" i="10" s="1"/>
  <c r="F2501" i="10" a="1"/>
  <c r="F2501" i="10" s="1"/>
  <c r="F2500" i="10" a="1"/>
  <c r="F2500" i="10" s="1"/>
  <c r="F2499" i="10" a="1"/>
  <c r="F2499" i="10" s="1"/>
  <c r="F2498" i="10" a="1"/>
  <c r="F2498" i="10" s="1"/>
  <c r="F2497" i="10" a="1"/>
  <c r="F2497" i="10" s="1"/>
  <c r="F2496" i="10" a="1"/>
  <c r="F2496" i="10" s="1"/>
  <c r="F2495" i="10" a="1"/>
  <c r="F2495" i="10" s="1"/>
  <c r="F2494" i="10" a="1"/>
  <c r="F2494" i="10" s="1"/>
  <c r="F2493" i="10" a="1"/>
  <c r="F2493" i="10" s="1"/>
  <c r="F2492" i="10" a="1"/>
  <c r="F2492" i="10" s="1"/>
  <c r="F2491" i="10" a="1"/>
  <c r="F2491" i="10" s="1"/>
  <c r="F2490" i="10" a="1"/>
  <c r="F2490" i="10" s="1"/>
  <c r="F2489" i="10" a="1"/>
  <c r="F2489" i="10" s="1"/>
  <c r="F2488" i="10" a="1"/>
  <c r="F2488" i="10" s="1"/>
  <c r="F2487" i="10" a="1"/>
  <c r="F2487" i="10" s="1"/>
  <c r="F2486" i="10" a="1"/>
  <c r="F2486" i="10" s="1"/>
  <c r="F2485" i="10" a="1"/>
  <c r="F2485" i="10" s="1"/>
  <c r="F2484" i="10" a="1"/>
  <c r="F2484" i="10" s="1"/>
  <c r="F2483" i="10" a="1"/>
  <c r="F2483" i="10" s="1"/>
  <c r="F2482" i="10" a="1"/>
  <c r="F2482" i="10" s="1"/>
  <c r="F2481" i="10" a="1"/>
  <c r="F2481" i="10" s="1"/>
  <c r="F2480" i="10" a="1"/>
  <c r="F2480" i="10" s="1"/>
  <c r="F2479" i="10" a="1"/>
  <c r="F2479" i="10" s="1"/>
  <c r="F2478" i="10" a="1"/>
  <c r="F2478" i="10" s="1"/>
  <c r="F2477" i="10" a="1"/>
  <c r="F2477" i="10" s="1"/>
  <c r="F2476" i="10" a="1"/>
  <c r="F2476" i="10" s="1"/>
  <c r="F2475" i="10" a="1"/>
  <c r="F2475" i="10" s="1"/>
  <c r="F2474" i="10" a="1"/>
  <c r="F2474" i="10" s="1"/>
  <c r="F2473" i="10" a="1"/>
  <c r="F2473" i="10" s="1"/>
  <c r="F2472" i="10" a="1"/>
  <c r="F2472" i="10" s="1"/>
  <c r="F2471" i="10" a="1"/>
  <c r="F2471" i="10" s="1"/>
  <c r="F2470" i="10" a="1"/>
  <c r="F2470" i="10" s="1"/>
  <c r="F2469" i="10" a="1"/>
  <c r="F2469" i="10" s="1"/>
  <c r="F2468" i="10" a="1"/>
  <c r="F2468" i="10" s="1"/>
  <c r="F2467" i="10" a="1"/>
  <c r="F2467" i="10" s="1"/>
  <c r="F2466" i="10" a="1"/>
  <c r="F2466" i="10" s="1"/>
  <c r="F2465" i="10" a="1"/>
  <c r="F2465" i="10" s="1"/>
  <c r="F2464" i="10" a="1"/>
  <c r="F2464" i="10" s="1"/>
  <c r="F2463" i="10" a="1"/>
  <c r="F2463" i="10" s="1"/>
  <c r="F2462" i="10" a="1"/>
  <c r="F2462" i="10" s="1"/>
  <c r="F2461" i="10" a="1"/>
  <c r="F2461" i="10" s="1"/>
  <c r="F2460" i="10" a="1"/>
  <c r="F2460" i="10" s="1"/>
  <c r="F2459" i="10" a="1"/>
  <c r="F2459" i="10" s="1"/>
  <c r="F2458" i="10" a="1"/>
  <c r="F2458" i="10" s="1"/>
  <c r="F2457" i="10" a="1"/>
  <c r="F2457" i="10" s="1"/>
  <c r="F2456" i="10" a="1"/>
  <c r="F2456" i="10" s="1"/>
  <c r="F2455" i="10" a="1"/>
  <c r="F2455" i="10" s="1"/>
  <c r="F2454" i="10" a="1"/>
  <c r="F2454" i="10" s="1"/>
  <c r="F2453" i="10" a="1"/>
  <c r="F2453" i="10" s="1"/>
  <c r="F2452" i="10" a="1"/>
  <c r="F2452" i="10" s="1"/>
  <c r="F2451" i="10" a="1"/>
  <c r="F2451" i="10" s="1"/>
  <c r="F2450" i="10" a="1"/>
  <c r="F2450" i="10" s="1"/>
  <c r="F2449" i="10" a="1"/>
  <c r="F2449" i="10" s="1"/>
  <c r="F2448" i="10" a="1"/>
  <c r="F2448" i="10" s="1"/>
  <c r="F2447" i="10" a="1"/>
  <c r="F2447" i="10" s="1"/>
  <c r="F2446" i="10" a="1"/>
  <c r="F2446" i="10" s="1"/>
  <c r="F2445" i="10" a="1"/>
  <c r="F2445" i="10" s="1"/>
  <c r="F2444" i="10" a="1"/>
  <c r="F2444" i="10" s="1"/>
  <c r="F2443" i="10" a="1"/>
  <c r="F2443" i="10" s="1"/>
  <c r="F2442" i="10" a="1"/>
  <c r="F2442" i="10" s="1"/>
  <c r="F2441" i="10" a="1"/>
  <c r="F2441" i="10" s="1"/>
  <c r="F2440" i="10" a="1"/>
  <c r="F2440" i="10" s="1"/>
  <c r="F2439" i="10" a="1"/>
  <c r="F2439" i="10" s="1"/>
  <c r="F2438" i="10" a="1"/>
  <c r="F2438" i="10" s="1"/>
  <c r="F2437" i="10" a="1"/>
  <c r="F2437" i="10" s="1"/>
  <c r="F2436" i="10" a="1"/>
  <c r="F2436" i="10" s="1"/>
  <c r="F2435" i="10" a="1"/>
  <c r="F2435" i="10" s="1"/>
  <c r="F2434" i="10" a="1"/>
  <c r="F2434" i="10" s="1"/>
  <c r="F2433" i="10" a="1"/>
  <c r="F2433" i="10" s="1"/>
  <c r="F2432" i="10" a="1"/>
  <c r="F2432" i="10" s="1"/>
  <c r="F2431" i="10" a="1"/>
  <c r="F2431" i="10" s="1"/>
  <c r="F2430" i="10" a="1"/>
  <c r="F2430" i="10" s="1"/>
  <c r="F2429" i="10" a="1"/>
  <c r="F2429" i="10" s="1"/>
  <c r="F2428" i="10" a="1"/>
  <c r="F2428" i="10" s="1"/>
  <c r="F2427" i="10" a="1"/>
  <c r="F2427" i="10" s="1"/>
  <c r="F2426" i="10" a="1"/>
  <c r="F2426" i="10" s="1"/>
  <c r="F2425" i="10" a="1"/>
  <c r="F2425" i="10" s="1"/>
  <c r="F2424" i="10" a="1"/>
  <c r="F2424" i="10" s="1"/>
  <c r="F2423" i="10" a="1"/>
  <c r="F2423" i="10" s="1"/>
  <c r="F2422" i="10" a="1"/>
  <c r="F2422" i="10" s="1"/>
  <c r="F2421" i="10" a="1"/>
  <c r="F2421" i="10" s="1"/>
  <c r="F2420" i="10" a="1"/>
  <c r="F2420" i="10" s="1"/>
  <c r="F2419" i="10" a="1"/>
  <c r="F2419" i="10" s="1"/>
  <c r="F2418" i="10" a="1"/>
  <c r="F2418" i="10" s="1"/>
  <c r="F2417" i="10" a="1"/>
  <c r="F2417" i="10" s="1"/>
  <c r="F2416" i="10" a="1"/>
  <c r="F2416" i="10" s="1"/>
  <c r="F2415" i="10" a="1"/>
  <c r="F2415" i="10" s="1"/>
  <c r="F2414" i="10" a="1"/>
  <c r="F2414" i="10" s="1"/>
  <c r="F2413" i="10" a="1"/>
  <c r="F2413" i="10" s="1"/>
  <c r="F2412" i="10" a="1"/>
  <c r="F2412" i="10" s="1"/>
  <c r="F2411" i="10" a="1"/>
  <c r="F2411" i="10" s="1"/>
  <c r="F2410" i="10" a="1"/>
  <c r="F2410" i="10" s="1"/>
  <c r="F2409" i="10" a="1"/>
  <c r="F2409" i="10" s="1"/>
  <c r="F2408" i="10" a="1"/>
  <c r="F2408" i="10" s="1"/>
  <c r="F2407" i="10" a="1"/>
  <c r="F2407" i="10" s="1"/>
  <c r="F2406" i="10" a="1"/>
  <c r="F2406" i="10" s="1"/>
  <c r="F2405" i="10" a="1"/>
  <c r="F2405" i="10" s="1"/>
  <c r="F2404" i="10" a="1"/>
  <c r="F2404" i="10" s="1"/>
  <c r="F2403" i="10" a="1"/>
  <c r="F2403" i="10" s="1"/>
  <c r="F2402" i="10" a="1"/>
  <c r="F2402" i="10" s="1"/>
  <c r="F2401" i="10" a="1"/>
  <c r="F2401" i="10" s="1"/>
  <c r="F2400" i="10" a="1"/>
  <c r="F2400" i="10" s="1"/>
  <c r="F2399" i="10" a="1"/>
  <c r="F2399" i="10" s="1"/>
  <c r="F2398" i="10" a="1"/>
  <c r="F2398" i="10" s="1"/>
  <c r="F2397" i="10" a="1"/>
  <c r="F2397" i="10" s="1"/>
  <c r="F2396" i="10" a="1"/>
  <c r="F2396" i="10" s="1"/>
  <c r="F2395" i="10" a="1"/>
  <c r="F2395" i="10" s="1"/>
  <c r="F2394" i="10" a="1"/>
  <c r="F2394" i="10" s="1"/>
  <c r="F2393" i="10" a="1"/>
  <c r="F2393" i="10" s="1"/>
  <c r="F2392" i="10" a="1"/>
  <c r="F2392" i="10" s="1"/>
  <c r="F2391" i="10" a="1"/>
  <c r="F2391" i="10" s="1"/>
  <c r="F2390" i="10" a="1"/>
  <c r="F2390" i="10" s="1"/>
  <c r="F2389" i="10" a="1"/>
  <c r="F2389" i="10" s="1"/>
  <c r="F2388" i="10" a="1"/>
  <c r="F2388" i="10" s="1"/>
  <c r="F2387" i="10" a="1"/>
  <c r="F2387" i="10" s="1"/>
  <c r="F2386" i="10" a="1"/>
  <c r="F2386" i="10" s="1"/>
  <c r="F2385" i="10" a="1"/>
  <c r="F2385" i="10" s="1"/>
  <c r="F2384" i="10" a="1"/>
  <c r="F2384" i="10" s="1"/>
  <c r="F2383" i="10" a="1"/>
  <c r="F2383" i="10" s="1"/>
  <c r="F2382" i="10" a="1"/>
  <c r="F2382" i="10" s="1"/>
  <c r="F2381" i="10" a="1"/>
  <c r="F2381" i="10" s="1"/>
  <c r="F2380" i="10" a="1"/>
  <c r="F2380" i="10" s="1"/>
  <c r="F2379" i="10" a="1"/>
  <c r="F2379" i="10" s="1"/>
  <c r="F2378" i="10" a="1"/>
  <c r="F2378" i="10" s="1"/>
  <c r="F2377" i="10" a="1"/>
  <c r="F2377" i="10" s="1"/>
  <c r="F2376" i="10" a="1"/>
  <c r="F2376" i="10" s="1"/>
  <c r="F2375" i="10" a="1"/>
  <c r="F2375" i="10" s="1"/>
  <c r="F2374" i="10" a="1"/>
  <c r="F2374" i="10" s="1"/>
  <c r="F2373" i="10" a="1"/>
  <c r="F2373" i="10" s="1"/>
  <c r="F2372" i="10" a="1"/>
  <c r="F2372" i="10" s="1"/>
  <c r="F2371" i="10" a="1"/>
  <c r="F2371" i="10" s="1"/>
  <c r="F2370" i="10" a="1"/>
  <c r="F2370" i="10" s="1"/>
  <c r="F2369" i="10" a="1"/>
  <c r="F2369" i="10" s="1"/>
  <c r="F2368" i="10" a="1"/>
  <c r="F2368" i="10" s="1"/>
  <c r="F2367" i="10" a="1"/>
  <c r="F2367" i="10" s="1"/>
  <c r="F2366" i="10" a="1"/>
  <c r="F2366" i="10" s="1"/>
  <c r="F2365" i="10" a="1"/>
  <c r="F2365" i="10" s="1"/>
  <c r="F2364" i="10" a="1"/>
  <c r="F2364" i="10" s="1"/>
  <c r="F2363" i="10" a="1"/>
  <c r="F2363" i="10" s="1"/>
  <c r="F2362" i="10" a="1"/>
  <c r="F2362" i="10" s="1"/>
  <c r="F2361" i="10" a="1"/>
  <c r="F2361" i="10" s="1"/>
  <c r="F2360" i="10" a="1"/>
  <c r="F2360" i="10" s="1"/>
  <c r="F2359" i="10" a="1"/>
  <c r="F2359" i="10" s="1"/>
  <c r="F2358" i="10" a="1"/>
  <c r="F2358" i="10" s="1"/>
  <c r="F2357" i="10" a="1"/>
  <c r="F2357" i="10" s="1"/>
  <c r="F2356" i="10" a="1"/>
  <c r="F2356" i="10" s="1"/>
  <c r="F2355" i="10" a="1"/>
  <c r="F2355" i="10" s="1"/>
  <c r="F2354" i="10" a="1"/>
  <c r="F2354" i="10" s="1"/>
  <c r="F2353" i="10" a="1"/>
  <c r="F2353" i="10" s="1"/>
  <c r="F2352" i="10" a="1"/>
  <c r="F2352" i="10" s="1"/>
  <c r="F2351" i="10" a="1"/>
  <c r="F2351" i="10" s="1"/>
  <c r="F2350" i="10" a="1"/>
  <c r="F2350" i="10" s="1"/>
  <c r="F2349" i="10" a="1"/>
  <c r="F2349" i="10" s="1"/>
  <c r="F2348" i="10" a="1"/>
  <c r="F2348" i="10" s="1"/>
  <c r="F2347" i="10" a="1"/>
  <c r="F2347" i="10" s="1"/>
  <c r="F2346" i="10" a="1"/>
  <c r="F2346" i="10" s="1"/>
  <c r="F2345" i="10" a="1"/>
  <c r="F2345" i="10" s="1"/>
  <c r="F2344" i="10" a="1"/>
  <c r="F2344" i="10" s="1"/>
  <c r="F2343" i="10" a="1"/>
  <c r="F2343" i="10" s="1"/>
  <c r="F2342" i="10" a="1"/>
  <c r="F2342" i="10" s="1"/>
  <c r="F2341" i="10" a="1"/>
  <c r="F2341" i="10" s="1"/>
  <c r="F2340" i="10" a="1"/>
  <c r="F2340" i="10" s="1"/>
  <c r="F2339" i="10" a="1"/>
  <c r="F2339" i="10" s="1"/>
  <c r="F2338" i="10" a="1"/>
  <c r="F2338" i="10" s="1"/>
  <c r="F2337" i="10" a="1"/>
  <c r="F2337" i="10" s="1"/>
  <c r="F2336" i="10" a="1"/>
  <c r="F2336" i="10" s="1"/>
  <c r="F2335" i="10" a="1"/>
  <c r="F2335" i="10" s="1"/>
  <c r="F2334" i="10" a="1"/>
  <c r="F2334" i="10" s="1"/>
  <c r="F2333" i="10" a="1"/>
  <c r="F2333" i="10" s="1"/>
  <c r="F2332" i="10" a="1"/>
  <c r="F2332" i="10" s="1"/>
  <c r="F2331" i="10" a="1"/>
  <c r="F2331" i="10" s="1"/>
  <c r="F2330" i="10" a="1"/>
  <c r="F2330" i="10" s="1"/>
  <c r="F2329" i="10" a="1"/>
  <c r="F2329" i="10" s="1"/>
  <c r="F2328" i="10" a="1"/>
  <c r="F2328" i="10" s="1"/>
  <c r="F2327" i="10" a="1"/>
  <c r="F2327" i="10" s="1"/>
  <c r="F2326" i="10" a="1"/>
  <c r="F2326" i="10" s="1"/>
  <c r="F2325" i="10" a="1"/>
  <c r="F2325" i="10" s="1"/>
  <c r="F2324" i="10" a="1"/>
  <c r="F2324" i="10" s="1"/>
  <c r="F2323" i="10" a="1"/>
  <c r="F2323" i="10" s="1"/>
  <c r="F2322" i="10" a="1"/>
  <c r="F2322" i="10" s="1"/>
  <c r="F2321" i="10" a="1"/>
  <c r="F2321" i="10" s="1"/>
  <c r="F2320" i="10" a="1"/>
  <c r="F2320" i="10" s="1"/>
  <c r="F2319" i="10" a="1"/>
  <c r="F2319" i="10" s="1"/>
  <c r="F2318" i="10" a="1"/>
  <c r="F2318" i="10" s="1"/>
  <c r="F2317" i="10" a="1"/>
  <c r="F2317" i="10" s="1"/>
  <c r="F2316" i="10" a="1"/>
  <c r="F2316" i="10" s="1"/>
  <c r="F2315" i="10" a="1"/>
  <c r="F2315" i="10" s="1"/>
  <c r="F2314" i="10" a="1"/>
  <c r="F2314" i="10" s="1"/>
  <c r="F2313" i="10" a="1"/>
  <c r="F2313" i="10" s="1"/>
  <c r="F2312" i="10" a="1"/>
  <c r="F2312" i="10" s="1"/>
  <c r="F2311" i="10" a="1"/>
  <c r="F2311" i="10" s="1"/>
  <c r="F2310" i="10" a="1"/>
  <c r="F2310" i="10" s="1"/>
  <c r="F2309" i="10" a="1"/>
  <c r="F2309" i="10" s="1"/>
  <c r="F2308" i="10" a="1"/>
  <c r="F2308" i="10" s="1"/>
  <c r="F2307" i="10" a="1"/>
  <c r="F2307" i="10" s="1"/>
  <c r="F2306" i="10" a="1"/>
  <c r="F2306" i="10" s="1"/>
  <c r="F2305" i="10" a="1"/>
  <c r="F2305" i="10" s="1"/>
  <c r="F2304" i="10" a="1"/>
  <c r="F2304" i="10" s="1"/>
  <c r="F2303" i="10" a="1"/>
  <c r="F2303" i="10" s="1"/>
  <c r="F2302" i="10" a="1"/>
  <c r="F2302" i="10" s="1"/>
  <c r="F2301" i="10" a="1"/>
  <c r="F2301" i="10" s="1"/>
  <c r="F2300" i="10" a="1"/>
  <c r="F2300" i="10" s="1"/>
  <c r="F2299" i="10" a="1"/>
  <c r="F2299" i="10" s="1"/>
  <c r="F2298" i="10" a="1"/>
  <c r="F2298" i="10" s="1"/>
  <c r="F2297" i="10" a="1"/>
  <c r="F2297" i="10" s="1"/>
  <c r="F2296" i="10" a="1"/>
  <c r="F2296" i="10" s="1"/>
  <c r="F2295" i="10" a="1"/>
  <c r="F2295" i="10" s="1"/>
  <c r="F2294" i="10" a="1"/>
  <c r="F2294" i="10" s="1"/>
  <c r="F2293" i="10" a="1"/>
  <c r="F2293" i="10" s="1"/>
  <c r="F2292" i="10" a="1"/>
  <c r="F2292" i="10" s="1"/>
  <c r="F2291" i="10" a="1"/>
  <c r="F2291" i="10" s="1"/>
  <c r="F2290" i="10" a="1"/>
  <c r="F2290" i="10" s="1"/>
  <c r="F2289" i="10" a="1"/>
  <c r="F2289" i="10" s="1"/>
  <c r="F2288" i="10" a="1"/>
  <c r="F2288" i="10" s="1"/>
  <c r="F2287" i="10" a="1"/>
  <c r="F2287" i="10" s="1"/>
  <c r="F2286" i="10" a="1"/>
  <c r="F2286" i="10" s="1"/>
  <c r="F2285" i="10" a="1"/>
  <c r="F2285" i="10" s="1"/>
  <c r="F2284" i="10" a="1"/>
  <c r="F2284" i="10" s="1"/>
  <c r="F2283" i="10" a="1"/>
  <c r="F2283" i="10" s="1"/>
  <c r="F2282" i="10" a="1"/>
  <c r="F2282" i="10" s="1"/>
  <c r="F2281" i="10" a="1"/>
  <c r="F2281" i="10" s="1"/>
  <c r="F2280" i="10" a="1"/>
  <c r="F2280" i="10" s="1"/>
  <c r="F2279" i="10" a="1"/>
  <c r="F2279" i="10" s="1"/>
  <c r="F2278" i="10" a="1"/>
  <c r="F2278" i="10" s="1"/>
  <c r="F2277" i="10" a="1"/>
  <c r="F2277" i="10" s="1"/>
  <c r="F2276" i="10" a="1"/>
  <c r="F2276" i="10" s="1"/>
  <c r="F2275" i="10" a="1"/>
  <c r="F2275" i="10" s="1"/>
  <c r="F2274" i="10" a="1"/>
  <c r="F2274" i="10" s="1"/>
  <c r="F2273" i="10" a="1"/>
  <c r="F2273" i="10" s="1"/>
  <c r="F2272" i="10" a="1"/>
  <c r="F2272" i="10" s="1"/>
  <c r="F2271" i="10" a="1"/>
  <c r="F2271" i="10" s="1"/>
  <c r="F2270" i="10" a="1"/>
  <c r="F2270" i="10" s="1"/>
  <c r="F2269" i="10" a="1"/>
  <c r="F2269" i="10" s="1"/>
  <c r="F2268" i="10" a="1"/>
  <c r="F2268" i="10" s="1"/>
  <c r="F2267" i="10" a="1"/>
  <c r="F2267" i="10" s="1"/>
  <c r="F2266" i="10" a="1"/>
  <c r="F2266" i="10" s="1"/>
  <c r="F2265" i="10" a="1"/>
  <c r="F2265" i="10" s="1"/>
  <c r="F2264" i="10" a="1"/>
  <c r="F2264" i="10" s="1"/>
  <c r="F2263" i="10" a="1"/>
  <c r="F2263" i="10" s="1"/>
  <c r="F2262" i="10" a="1"/>
  <c r="F2262" i="10" s="1"/>
  <c r="F2261" i="10" a="1"/>
  <c r="F2261" i="10" s="1"/>
  <c r="F2260" i="10" a="1"/>
  <c r="F2260" i="10" s="1"/>
  <c r="F2259" i="10" a="1"/>
  <c r="F2259" i="10" s="1"/>
  <c r="F2258" i="10" a="1"/>
  <c r="F2258" i="10" s="1"/>
  <c r="F2257" i="10" a="1"/>
  <c r="F2257" i="10" s="1"/>
  <c r="F2256" i="10" a="1"/>
  <c r="F2256" i="10" s="1"/>
  <c r="F2255" i="10" a="1"/>
  <c r="F2255" i="10" s="1"/>
  <c r="F2254" i="10" a="1"/>
  <c r="F2254" i="10" s="1"/>
  <c r="F2253" i="10" a="1"/>
  <c r="F2253" i="10" s="1"/>
  <c r="F2252" i="10" a="1"/>
  <c r="F2252" i="10" s="1"/>
  <c r="F2251" i="10" a="1"/>
  <c r="F2251" i="10" s="1"/>
  <c r="F2250" i="10" a="1"/>
  <c r="F2250" i="10" s="1"/>
  <c r="F2249" i="10" a="1"/>
  <c r="F2249" i="10" s="1"/>
  <c r="F2248" i="10" a="1"/>
  <c r="F2248" i="10" s="1"/>
  <c r="F2247" i="10" a="1"/>
  <c r="F2247" i="10" s="1"/>
  <c r="F2246" i="10" a="1"/>
  <c r="F2246" i="10" s="1"/>
  <c r="F2245" i="10" a="1"/>
  <c r="F2245" i="10" s="1"/>
  <c r="F2244" i="10" a="1"/>
  <c r="F2244" i="10" s="1"/>
  <c r="F2243" i="10" a="1"/>
  <c r="F2243" i="10" s="1"/>
  <c r="F2242" i="10" a="1"/>
  <c r="F2242" i="10" s="1"/>
  <c r="F2241" i="10" a="1"/>
  <c r="F2241" i="10" s="1"/>
  <c r="F2240" i="10" a="1"/>
  <c r="F2240" i="10" s="1"/>
  <c r="F2239" i="10" a="1"/>
  <c r="F2239" i="10" s="1"/>
  <c r="F2238" i="10" a="1"/>
  <c r="F2238" i="10" s="1"/>
  <c r="F2237" i="10" a="1"/>
  <c r="F2237" i="10" s="1"/>
  <c r="F2236" i="10" a="1"/>
  <c r="F2236" i="10" s="1"/>
  <c r="F2235" i="10" a="1"/>
  <c r="F2235" i="10" s="1"/>
  <c r="F2234" i="10" a="1"/>
  <c r="F2234" i="10" s="1"/>
  <c r="F2233" i="10" a="1"/>
  <c r="F2233" i="10" s="1"/>
  <c r="F2232" i="10" a="1"/>
  <c r="F2232" i="10" s="1"/>
  <c r="F2231" i="10" a="1"/>
  <c r="F2231" i="10" s="1"/>
  <c r="F2230" i="10" a="1"/>
  <c r="F2230" i="10" s="1"/>
  <c r="F2229" i="10" a="1"/>
  <c r="F2229" i="10" s="1"/>
  <c r="F2228" i="10" a="1"/>
  <c r="F2228" i="10" s="1"/>
  <c r="F2227" i="10" a="1"/>
  <c r="F2227" i="10" s="1"/>
  <c r="F2226" i="10" a="1"/>
  <c r="F2226" i="10" s="1"/>
  <c r="F2225" i="10" a="1"/>
  <c r="F2225" i="10" s="1"/>
  <c r="F2224" i="10" a="1"/>
  <c r="F2224" i="10" s="1"/>
  <c r="F2223" i="10" a="1"/>
  <c r="F2223" i="10" s="1"/>
  <c r="F2222" i="10" a="1"/>
  <c r="F2222" i="10" s="1"/>
  <c r="F2221" i="10" a="1"/>
  <c r="F2221" i="10" s="1"/>
  <c r="F2220" i="10" a="1"/>
  <c r="F2220" i="10" s="1"/>
  <c r="F2219" i="10" a="1"/>
  <c r="F2219" i="10" s="1"/>
  <c r="F2218" i="10" a="1"/>
  <c r="F2218" i="10" s="1"/>
  <c r="F2217" i="10" a="1"/>
  <c r="F2217" i="10" s="1"/>
  <c r="F2216" i="10" a="1"/>
  <c r="F2216" i="10" s="1"/>
  <c r="F2215" i="10" a="1"/>
  <c r="F2215" i="10" s="1"/>
  <c r="F2214" i="10" a="1"/>
  <c r="F2214" i="10" s="1"/>
  <c r="F2213" i="10" a="1"/>
  <c r="F2213" i="10" s="1"/>
  <c r="F2212" i="10" a="1"/>
  <c r="F2212" i="10" s="1"/>
  <c r="F2211" i="10" a="1"/>
  <c r="F2211" i="10" s="1"/>
  <c r="F2210" i="10" a="1"/>
  <c r="F2210" i="10" s="1"/>
  <c r="F2209" i="10" a="1"/>
  <c r="F2209" i="10" s="1"/>
  <c r="F2208" i="10" a="1"/>
  <c r="F2208" i="10" s="1"/>
  <c r="F2207" i="10" a="1"/>
  <c r="F2207" i="10" s="1"/>
  <c r="F2206" i="10" a="1"/>
  <c r="F2206" i="10" s="1"/>
  <c r="F2205" i="10" a="1"/>
  <c r="F2205" i="10" s="1"/>
  <c r="F2204" i="10" a="1"/>
  <c r="F2204" i="10" s="1"/>
  <c r="F2203" i="10" a="1"/>
  <c r="F2203" i="10" s="1"/>
  <c r="F2202" i="10" a="1"/>
  <c r="F2202" i="10" s="1"/>
  <c r="F2201" i="10" a="1"/>
  <c r="F2201" i="10" s="1"/>
  <c r="F2200" i="10" a="1"/>
  <c r="F2200" i="10" s="1"/>
  <c r="F2199" i="10" a="1"/>
  <c r="F2199" i="10" s="1"/>
  <c r="F2198" i="10" a="1"/>
  <c r="F2198" i="10" s="1"/>
  <c r="F2197" i="10" a="1"/>
  <c r="F2197" i="10" s="1"/>
  <c r="F2196" i="10" a="1"/>
  <c r="F2196" i="10" s="1"/>
  <c r="F2195" i="10" a="1"/>
  <c r="F2195" i="10" s="1"/>
  <c r="F2194" i="10" a="1"/>
  <c r="F2194" i="10" s="1"/>
  <c r="F2193" i="10" a="1"/>
  <c r="F2193" i="10" s="1"/>
  <c r="F2192" i="10" a="1"/>
  <c r="F2192" i="10" s="1"/>
  <c r="F2191" i="10" a="1"/>
  <c r="F2191" i="10" s="1"/>
  <c r="F2190" i="10" a="1"/>
  <c r="F2190" i="10" s="1"/>
  <c r="F2189" i="10" a="1"/>
  <c r="F2189" i="10" s="1"/>
  <c r="F2188" i="10" a="1"/>
  <c r="F2188" i="10" s="1"/>
  <c r="F2187" i="10" a="1"/>
  <c r="F2187" i="10" s="1"/>
  <c r="F2186" i="10" a="1"/>
  <c r="F2186" i="10" s="1"/>
  <c r="F2185" i="10" a="1"/>
  <c r="F2185" i="10" s="1"/>
  <c r="F2184" i="10" a="1"/>
  <c r="F2184" i="10" s="1"/>
  <c r="F2183" i="10" a="1"/>
  <c r="F2183" i="10" s="1"/>
  <c r="F2182" i="10" a="1"/>
  <c r="F2182" i="10" s="1"/>
  <c r="F2181" i="10" a="1"/>
  <c r="F2181" i="10" s="1"/>
  <c r="F2180" i="10" a="1"/>
  <c r="F2180" i="10" s="1"/>
  <c r="F2179" i="10" a="1"/>
  <c r="F2179" i="10" s="1"/>
  <c r="F2178" i="10" a="1"/>
  <c r="F2178" i="10" s="1"/>
  <c r="F2177" i="10" a="1"/>
  <c r="F2177" i="10" s="1"/>
  <c r="F2176" i="10" a="1"/>
  <c r="F2176" i="10" s="1"/>
  <c r="F2175" i="10" a="1"/>
  <c r="F2175" i="10" s="1"/>
  <c r="F2174" i="10" a="1"/>
  <c r="F2174" i="10" s="1"/>
  <c r="F2173" i="10" a="1"/>
  <c r="F2173" i="10" s="1"/>
  <c r="F2172" i="10" a="1"/>
  <c r="F2172" i="10" s="1"/>
  <c r="F2171" i="10" a="1"/>
  <c r="F2171" i="10" s="1"/>
  <c r="F2170" i="10" a="1"/>
  <c r="F2170" i="10" s="1"/>
  <c r="F2169" i="10" a="1"/>
  <c r="F2169" i="10" s="1"/>
  <c r="F2168" i="10" a="1"/>
  <c r="F2168" i="10" s="1"/>
  <c r="F2167" i="10" a="1"/>
  <c r="F2167" i="10" s="1"/>
  <c r="F2166" i="10" a="1"/>
  <c r="F2166" i="10" s="1"/>
  <c r="F2165" i="10" a="1"/>
  <c r="F2165" i="10" s="1"/>
  <c r="F2164" i="10" a="1"/>
  <c r="F2164" i="10" s="1"/>
  <c r="F2163" i="10" a="1"/>
  <c r="F2163" i="10" s="1"/>
  <c r="F2162" i="10" a="1"/>
  <c r="F2162" i="10" s="1"/>
  <c r="F2161" i="10" a="1"/>
  <c r="F2161" i="10" s="1"/>
  <c r="F2160" i="10" a="1"/>
  <c r="F2160" i="10" s="1"/>
  <c r="F2159" i="10" a="1"/>
  <c r="F2159" i="10" s="1"/>
  <c r="F2158" i="10" a="1"/>
  <c r="F2158" i="10" s="1"/>
  <c r="F2157" i="10" a="1"/>
  <c r="F2157" i="10" s="1"/>
  <c r="F2156" i="10" a="1"/>
  <c r="F2156" i="10" s="1"/>
  <c r="F2155" i="10" a="1"/>
  <c r="F2155" i="10" s="1"/>
  <c r="F2154" i="10" a="1"/>
  <c r="F2154" i="10" s="1"/>
  <c r="F2153" i="10" a="1"/>
  <c r="F2153" i="10" s="1"/>
  <c r="F2152" i="10" a="1"/>
  <c r="F2152" i="10" s="1"/>
  <c r="F2151" i="10" a="1"/>
  <c r="F2151" i="10" s="1"/>
  <c r="F2150" i="10" a="1"/>
  <c r="F2150" i="10" s="1"/>
  <c r="F2149" i="10" a="1"/>
  <c r="F2149" i="10" s="1"/>
  <c r="F2148" i="10" a="1"/>
  <c r="F2148" i="10" s="1"/>
  <c r="F2147" i="10" a="1"/>
  <c r="F2147" i="10" s="1"/>
  <c r="F2146" i="10" a="1"/>
  <c r="F2146" i="10" s="1"/>
  <c r="F2145" i="10" a="1"/>
  <c r="F2145" i="10" s="1"/>
  <c r="F2144" i="10" a="1"/>
  <c r="F2144" i="10" s="1"/>
  <c r="F2143" i="10" a="1"/>
  <c r="F2143" i="10" s="1"/>
  <c r="F2142" i="10" a="1"/>
  <c r="F2142" i="10" s="1"/>
  <c r="F2141" i="10" a="1"/>
  <c r="F2141" i="10" s="1"/>
  <c r="F2140" i="10" a="1"/>
  <c r="F2140" i="10" s="1"/>
  <c r="F2139" i="10" a="1"/>
  <c r="F2139" i="10" s="1"/>
  <c r="F2138" i="10" a="1"/>
  <c r="F2138" i="10" s="1"/>
  <c r="F2137" i="10" a="1"/>
  <c r="F2137" i="10" s="1"/>
  <c r="F2136" i="10" a="1"/>
  <c r="F2136" i="10" s="1"/>
  <c r="F2135" i="10" a="1"/>
  <c r="F2135" i="10" s="1"/>
  <c r="F2134" i="10" a="1"/>
  <c r="F2134" i="10" s="1"/>
  <c r="F2133" i="10" a="1"/>
  <c r="F2133" i="10" s="1"/>
  <c r="F2132" i="10" a="1"/>
  <c r="F2132" i="10" s="1"/>
  <c r="F2131" i="10" a="1"/>
  <c r="F2131" i="10" s="1"/>
  <c r="F2130" i="10" a="1"/>
  <c r="F2130" i="10" s="1"/>
  <c r="F2129" i="10" a="1"/>
  <c r="F2129" i="10" s="1"/>
  <c r="F2128" i="10" a="1"/>
  <c r="F2128" i="10" s="1"/>
  <c r="F2127" i="10" a="1"/>
  <c r="F2127" i="10" s="1"/>
  <c r="F2126" i="10" a="1"/>
  <c r="F2126" i="10" s="1"/>
  <c r="F2125" i="10" a="1"/>
  <c r="F2125" i="10" s="1"/>
  <c r="F2124" i="10" a="1"/>
  <c r="F2124" i="10" s="1"/>
  <c r="F2123" i="10" a="1"/>
  <c r="F2123" i="10" s="1"/>
  <c r="F2122" i="10" a="1"/>
  <c r="F2122" i="10" s="1"/>
  <c r="F2121" i="10" a="1"/>
  <c r="F2121" i="10" s="1"/>
  <c r="F2120" i="10" a="1"/>
  <c r="F2120" i="10" s="1"/>
  <c r="F2119" i="10" a="1"/>
  <c r="F2119" i="10" s="1"/>
  <c r="F2118" i="10" a="1"/>
  <c r="F2118" i="10" s="1"/>
  <c r="F2117" i="10" a="1"/>
  <c r="F2117" i="10" s="1"/>
  <c r="F2116" i="10" a="1"/>
  <c r="F2116" i="10" s="1"/>
  <c r="F2115" i="10" a="1"/>
  <c r="F2115" i="10" s="1"/>
  <c r="F2114" i="10" a="1"/>
  <c r="F2114" i="10" s="1"/>
  <c r="F2113" i="10" a="1"/>
  <c r="F2113" i="10" s="1"/>
  <c r="F2112" i="10" a="1"/>
  <c r="F2112" i="10" s="1"/>
  <c r="F2111" i="10" a="1"/>
  <c r="F2111" i="10" s="1"/>
  <c r="F2110" i="10" a="1"/>
  <c r="F2110" i="10" s="1"/>
  <c r="F2109" i="10" a="1"/>
  <c r="F2109" i="10" s="1"/>
  <c r="F2108" i="10" a="1"/>
  <c r="F2108" i="10" s="1"/>
  <c r="F2107" i="10" a="1"/>
  <c r="F2107" i="10" s="1"/>
  <c r="F2106" i="10" a="1"/>
  <c r="F2106" i="10" s="1"/>
  <c r="F2105" i="10" a="1"/>
  <c r="F2105" i="10" s="1"/>
  <c r="F2104" i="10" a="1"/>
  <c r="F2104" i="10" s="1"/>
  <c r="F2103" i="10" a="1"/>
  <c r="F2103" i="10" s="1"/>
  <c r="F2102" i="10" a="1"/>
  <c r="F2102" i="10" s="1"/>
  <c r="F2101" i="10" a="1"/>
  <c r="F2101" i="10" s="1"/>
  <c r="F2100" i="10" a="1"/>
  <c r="F2100" i="10" s="1"/>
  <c r="F2099" i="10" a="1"/>
  <c r="F2099" i="10" s="1"/>
  <c r="F2098" i="10" a="1"/>
  <c r="F2098" i="10" s="1"/>
  <c r="F2097" i="10" a="1"/>
  <c r="F2097" i="10" s="1"/>
  <c r="F2096" i="10" a="1"/>
  <c r="F2096" i="10" s="1"/>
  <c r="F2095" i="10" a="1"/>
  <c r="F2095" i="10" s="1"/>
  <c r="F2094" i="10" a="1"/>
  <c r="F2094" i="10" s="1"/>
  <c r="F2093" i="10" a="1"/>
  <c r="F2093" i="10" s="1"/>
  <c r="F2092" i="10" a="1"/>
  <c r="F2092" i="10" s="1"/>
  <c r="F2091" i="10" a="1"/>
  <c r="F2091" i="10" s="1"/>
  <c r="F2090" i="10" a="1"/>
  <c r="F2090" i="10" s="1"/>
  <c r="F2089" i="10" a="1"/>
  <c r="F2089" i="10" s="1"/>
  <c r="F2088" i="10" a="1"/>
  <c r="F2088" i="10" s="1"/>
  <c r="F2087" i="10" a="1"/>
  <c r="F2087" i="10" s="1"/>
  <c r="F2086" i="10" a="1"/>
  <c r="F2086" i="10" s="1"/>
  <c r="F2085" i="10" a="1"/>
  <c r="F2085" i="10" s="1"/>
  <c r="F2084" i="10" a="1"/>
  <c r="F2084" i="10" s="1"/>
  <c r="F2083" i="10" a="1"/>
  <c r="F2083" i="10" s="1"/>
  <c r="F2082" i="10" a="1"/>
  <c r="F2082" i="10" s="1"/>
  <c r="F2081" i="10" a="1"/>
  <c r="F2081" i="10" s="1"/>
  <c r="F2080" i="10" a="1"/>
  <c r="F2080" i="10" s="1"/>
  <c r="F2079" i="10" a="1"/>
  <c r="F2079" i="10" s="1"/>
  <c r="F2078" i="10" a="1"/>
  <c r="F2078" i="10" s="1"/>
  <c r="F2077" i="10" a="1"/>
  <c r="F2077" i="10" s="1"/>
  <c r="F2076" i="10" a="1"/>
  <c r="F2076" i="10" s="1"/>
  <c r="F2075" i="10" a="1"/>
  <c r="F2075" i="10" s="1"/>
  <c r="F2074" i="10" a="1"/>
  <c r="F2074" i="10" s="1"/>
  <c r="F2073" i="10" a="1"/>
  <c r="F2073" i="10" s="1"/>
  <c r="F2072" i="10" a="1"/>
  <c r="F2072" i="10" s="1"/>
  <c r="F2071" i="10" a="1"/>
  <c r="F2071" i="10" s="1"/>
  <c r="F2070" i="10" a="1"/>
  <c r="F2070" i="10" s="1"/>
  <c r="F2069" i="10" a="1"/>
  <c r="F2069" i="10" s="1"/>
  <c r="F2068" i="10" a="1"/>
  <c r="F2068" i="10" s="1"/>
  <c r="F2067" i="10" a="1"/>
  <c r="F2067" i="10" s="1"/>
  <c r="F2066" i="10" a="1"/>
  <c r="F2066" i="10" s="1"/>
  <c r="F2065" i="10" a="1"/>
  <c r="F2065" i="10" s="1"/>
  <c r="F2064" i="10" a="1"/>
  <c r="F2064" i="10" s="1"/>
  <c r="F2063" i="10" a="1"/>
  <c r="F2063" i="10" s="1"/>
  <c r="F2062" i="10" a="1"/>
  <c r="F2062" i="10" s="1"/>
  <c r="F2061" i="10" a="1"/>
  <c r="F2061" i="10" s="1"/>
  <c r="F2060" i="10" a="1"/>
  <c r="F2060" i="10" s="1"/>
  <c r="F2059" i="10" a="1"/>
  <c r="F2059" i="10" s="1"/>
  <c r="F2058" i="10" a="1"/>
  <c r="F2058" i="10" s="1"/>
  <c r="F2057" i="10" a="1"/>
  <c r="F2057" i="10" s="1"/>
  <c r="F2056" i="10" a="1"/>
  <c r="F2056" i="10" s="1"/>
  <c r="F2055" i="10" a="1"/>
  <c r="F2055" i="10" s="1"/>
  <c r="F2054" i="10" a="1"/>
  <c r="F2054" i="10" s="1"/>
  <c r="F2053" i="10" a="1"/>
  <c r="F2053" i="10" s="1"/>
  <c r="F2052" i="10" a="1"/>
  <c r="F2052" i="10" s="1"/>
  <c r="F2051" i="10" a="1"/>
  <c r="F2051" i="10" s="1"/>
  <c r="F2050" i="10" a="1"/>
  <c r="F2050" i="10" s="1"/>
  <c r="F2049" i="10" a="1"/>
  <c r="F2049" i="10" s="1"/>
  <c r="F2048" i="10" a="1"/>
  <c r="F2048" i="10" s="1"/>
  <c r="F2047" i="10" a="1"/>
  <c r="F2047" i="10" s="1"/>
  <c r="F2046" i="10" a="1"/>
  <c r="F2046" i="10" s="1"/>
  <c r="F2045" i="10" a="1"/>
  <c r="F2045" i="10" s="1"/>
  <c r="F2044" i="10" a="1"/>
  <c r="F2044" i="10" s="1"/>
  <c r="F2043" i="10" a="1"/>
  <c r="F2043" i="10" s="1"/>
  <c r="F2042" i="10" a="1"/>
  <c r="F2042" i="10" s="1"/>
  <c r="F2041" i="10" a="1"/>
  <c r="F2041" i="10" s="1"/>
  <c r="F2040" i="10" a="1"/>
  <c r="F2040" i="10" s="1"/>
  <c r="F2039" i="10" a="1"/>
  <c r="F2039" i="10" s="1"/>
  <c r="F2038" i="10" a="1"/>
  <c r="F2038" i="10" s="1"/>
  <c r="F2037" i="10" a="1"/>
  <c r="F2037" i="10" s="1"/>
  <c r="F2036" i="10" a="1"/>
  <c r="F2036" i="10" s="1"/>
  <c r="F2035" i="10" a="1"/>
  <c r="F2035" i="10" s="1"/>
  <c r="F2034" i="10" a="1"/>
  <c r="F2034" i="10" s="1"/>
  <c r="F2033" i="10" a="1"/>
  <c r="F2033" i="10" s="1"/>
  <c r="F2032" i="10" a="1"/>
  <c r="F2032" i="10" s="1"/>
  <c r="F2031" i="10" a="1"/>
  <c r="F2031" i="10" s="1"/>
  <c r="F2030" i="10" a="1"/>
  <c r="F2030" i="10" s="1"/>
  <c r="F2029" i="10" a="1"/>
  <c r="F2029" i="10" s="1"/>
  <c r="F2028" i="10" a="1"/>
  <c r="F2028" i="10" s="1"/>
  <c r="F2027" i="10" a="1"/>
  <c r="F2027" i="10" s="1"/>
  <c r="F2026" i="10" a="1"/>
  <c r="F2026" i="10" s="1"/>
  <c r="F2025" i="10" a="1"/>
  <c r="F2025" i="10" s="1"/>
  <c r="F2024" i="10" a="1"/>
  <c r="F2024" i="10" s="1"/>
  <c r="F2023" i="10" a="1"/>
  <c r="F2023" i="10" s="1"/>
  <c r="F2022" i="10" a="1"/>
  <c r="F2022" i="10" s="1"/>
  <c r="F2021" i="10" a="1"/>
  <c r="F2021" i="10" s="1"/>
  <c r="F2020" i="10" a="1"/>
  <c r="F2020" i="10" s="1"/>
  <c r="F2019" i="10" a="1"/>
  <c r="F2019" i="10" s="1"/>
  <c r="F2018" i="10" a="1"/>
  <c r="F2018" i="10" s="1"/>
  <c r="F2017" i="10" a="1"/>
  <c r="F2017" i="10" s="1"/>
  <c r="F2016" i="10" a="1"/>
  <c r="F2016" i="10" s="1"/>
  <c r="F2015" i="10" a="1"/>
  <c r="F2015" i="10" s="1"/>
  <c r="F2014" i="10" a="1"/>
  <c r="F2014" i="10" s="1"/>
  <c r="F2013" i="10" a="1"/>
  <c r="F2013" i="10" s="1"/>
  <c r="F2012" i="10" a="1"/>
  <c r="F2012" i="10" s="1"/>
  <c r="F2011" i="10" a="1"/>
  <c r="F2011" i="10" s="1"/>
  <c r="F2010" i="10" a="1"/>
  <c r="F2010" i="10" s="1"/>
  <c r="F2009" i="10" a="1"/>
  <c r="F2009" i="10" s="1"/>
  <c r="F2008" i="10" a="1"/>
  <c r="F2008" i="10" s="1"/>
  <c r="F2007" i="10" a="1"/>
  <c r="F2007" i="10" s="1"/>
  <c r="F2006" i="10" a="1"/>
  <c r="F2006" i="10" s="1"/>
  <c r="F2005" i="10" a="1"/>
  <c r="F2005" i="10" s="1"/>
  <c r="F2004" i="10" a="1"/>
  <c r="F2004" i="10" s="1"/>
  <c r="F2003" i="10" a="1"/>
  <c r="F2003" i="10" s="1"/>
  <c r="F2002" i="10" a="1"/>
  <c r="F2002" i="10" s="1"/>
  <c r="F2001" i="10" a="1"/>
  <c r="F2001" i="10" s="1"/>
  <c r="F2000" i="10" a="1"/>
  <c r="F2000" i="10" s="1"/>
  <c r="F1999" i="10" a="1"/>
  <c r="F1999" i="10" s="1"/>
  <c r="F1998" i="10" a="1"/>
  <c r="F1998" i="10" s="1"/>
  <c r="F1997" i="10" a="1"/>
  <c r="F1997" i="10" s="1"/>
  <c r="F1996" i="10" a="1"/>
  <c r="F1996" i="10" s="1"/>
  <c r="F1995" i="10" a="1"/>
  <c r="F1995" i="10" s="1"/>
  <c r="F1994" i="10" a="1"/>
  <c r="F1994" i="10" s="1"/>
  <c r="F1993" i="10" a="1"/>
  <c r="F1993" i="10" s="1"/>
  <c r="F1992" i="10" a="1"/>
  <c r="F1992" i="10" s="1"/>
  <c r="F1991" i="10" a="1"/>
  <c r="F1991" i="10" s="1"/>
  <c r="F1990" i="10" a="1"/>
  <c r="F1990" i="10" s="1"/>
  <c r="F1989" i="10" a="1"/>
  <c r="F1989" i="10" s="1"/>
  <c r="F1988" i="10" a="1"/>
  <c r="F1988" i="10" s="1"/>
  <c r="F1987" i="10" a="1"/>
  <c r="F1987" i="10" s="1"/>
  <c r="F1986" i="10" a="1"/>
  <c r="F1986" i="10" s="1"/>
  <c r="F1985" i="10" a="1"/>
  <c r="F1985" i="10" s="1"/>
  <c r="F1984" i="10" a="1"/>
  <c r="F1984" i="10" s="1"/>
  <c r="F1983" i="10"/>
  <c r="F1983" i="10" a="1"/>
  <c r="F1982" i="10" a="1"/>
  <c r="F1982" i="10" s="1"/>
  <c r="F1981" i="10" a="1"/>
  <c r="F1981" i="10" s="1"/>
  <c r="F1980" i="10" a="1"/>
  <c r="F1980" i="10" s="1"/>
  <c r="F1979" i="10" a="1"/>
  <c r="F1979" i="10" s="1"/>
  <c r="F1978" i="10" a="1"/>
  <c r="F1978" i="10" s="1"/>
  <c r="F1977" i="10" a="1"/>
  <c r="F1977" i="10" s="1"/>
  <c r="F1976" i="10" a="1"/>
  <c r="F1976" i="10" s="1"/>
  <c r="F1975" i="10" a="1"/>
  <c r="F1975" i="10" s="1"/>
  <c r="F1974" i="10" a="1"/>
  <c r="F1974" i="10" s="1"/>
  <c r="F1973" i="10" a="1"/>
  <c r="F1973" i="10" s="1"/>
  <c r="F1972" i="10" a="1"/>
  <c r="F1972" i="10" s="1"/>
  <c r="F1971" i="10" a="1"/>
  <c r="F1971" i="10" s="1"/>
  <c r="F1970" i="10" a="1"/>
  <c r="F1970" i="10" s="1"/>
  <c r="F1969" i="10" a="1"/>
  <c r="F1969" i="10" s="1"/>
  <c r="F1968" i="10" a="1"/>
  <c r="F1968" i="10" s="1"/>
  <c r="F1967" i="10" a="1"/>
  <c r="F1967" i="10" s="1"/>
  <c r="F1966" i="10" a="1"/>
  <c r="F1966" i="10" s="1"/>
  <c r="F1965" i="10" a="1"/>
  <c r="F1965" i="10" s="1"/>
  <c r="F1964" i="10" a="1"/>
  <c r="F1964" i="10" s="1"/>
  <c r="F1963" i="10" a="1"/>
  <c r="F1963" i="10" s="1"/>
  <c r="F1962" i="10" a="1"/>
  <c r="F1962" i="10" s="1"/>
  <c r="F1961" i="10" a="1"/>
  <c r="F1961" i="10" s="1"/>
  <c r="F1960" i="10" a="1"/>
  <c r="F1960" i="10" s="1"/>
  <c r="F1959" i="10" a="1"/>
  <c r="F1959" i="10" s="1"/>
  <c r="F1958" i="10" a="1"/>
  <c r="F1958" i="10" s="1"/>
  <c r="F1957" i="10" a="1"/>
  <c r="F1957" i="10" s="1"/>
  <c r="F1956" i="10" a="1"/>
  <c r="F1956" i="10" s="1"/>
  <c r="F1955" i="10" a="1"/>
  <c r="F1955" i="10" s="1"/>
  <c r="F1954" i="10" a="1"/>
  <c r="F1954" i="10" s="1"/>
  <c r="F1953" i="10" a="1"/>
  <c r="F1953" i="10" s="1"/>
  <c r="F1952" i="10" a="1"/>
  <c r="F1952" i="10" s="1"/>
  <c r="F1951" i="10" a="1"/>
  <c r="F1951" i="10" s="1"/>
  <c r="F1950" i="10" a="1"/>
  <c r="F1950" i="10" s="1"/>
  <c r="F1949" i="10" a="1"/>
  <c r="F1949" i="10" s="1"/>
  <c r="F1948" i="10" a="1"/>
  <c r="F1948" i="10" s="1"/>
  <c r="F1947" i="10" a="1"/>
  <c r="F1947" i="10" s="1"/>
  <c r="F1946" i="10" a="1"/>
  <c r="F1946" i="10" s="1"/>
  <c r="F1945" i="10" a="1"/>
  <c r="F1945" i="10" s="1"/>
  <c r="F1944" i="10" a="1"/>
  <c r="F1944" i="10" s="1"/>
  <c r="F1943" i="10" a="1"/>
  <c r="F1943" i="10" s="1"/>
  <c r="F1942" i="10" a="1"/>
  <c r="F1942" i="10" s="1"/>
  <c r="F1941" i="10" a="1"/>
  <c r="F1941" i="10" s="1"/>
  <c r="F1940" i="10" a="1"/>
  <c r="F1940" i="10" s="1"/>
  <c r="F1939" i="10" a="1"/>
  <c r="F1939" i="10" s="1"/>
  <c r="F1938" i="10" a="1"/>
  <c r="F1938" i="10" s="1"/>
  <c r="F1937" i="10" a="1"/>
  <c r="F1937" i="10" s="1"/>
  <c r="F1936" i="10" a="1"/>
  <c r="F1936" i="10" s="1"/>
  <c r="F1935" i="10" a="1"/>
  <c r="F1935" i="10" s="1"/>
  <c r="F1934" i="10" a="1"/>
  <c r="F1934" i="10" s="1"/>
  <c r="F1933" i="10" a="1"/>
  <c r="F1933" i="10" s="1"/>
  <c r="F1932" i="10" a="1"/>
  <c r="F1932" i="10" s="1"/>
  <c r="F1931" i="10" a="1"/>
  <c r="F1931" i="10" s="1"/>
  <c r="F1930" i="10" a="1"/>
  <c r="F1930" i="10" s="1"/>
  <c r="F1929" i="10" a="1"/>
  <c r="F1929" i="10" s="1"/>
  <c r="F1928" i="10" a="1"/>
  <c r="F1928" i="10" s="1"/>
  <c r="F1927" i="10" a="1"/>
  <c r="F1927" i="10" s="1"/>
  <c r="F1926" i="10" a="1"/>
  <c r="F1926" i="10" s="1"/>
  <c r="F1925" i="10" a="1"/>
  <c r="F1925" i="10" s="1"/>
  <c r="F1924" i="10" a="1"/>
  <c r="F1924" i="10" s="1"/>
  <c r="F1923" i="10" a="1"/>
  <c r="F1923" i="10" s="1"/>
  <c r="F1922" i="10" a="1"/>
  <c r="F1922" i="10" s="1"/>
  <c r="F1921" i="10" a="1"/>
  <c r="F1921" i="10" s="1"/>
  <c r="F1920" i="10" a="1"/>
  <c r="F1920" i="10" s="1"/>
  <c r="F1919" i="10" a="1"/>
  <c r="F1919" i="10" s="1"/>
  <c r="F1918" i="10" a="1"/>
  <c r="F1918" i="10" s="1"/>
  <c r="F1917" i="10" a="1"/>
  <c r="F1917" i="10" s="1"/>
  <c r="F1916" i="10" a="1"/>
  <c r="F1916" i="10" s="1"/>
  <c r="F1915" i="10" a="1"/>
  <c r="F1915" i="10" s="1"/>
  <c r="F1914" i="10" a="1"/>
  <c r="F1914" i="10" s="1"/>
  <c r="F1913" i="10" a="1"/>
  <c r="F1913" i="10" s="1"/>
  <c r="F1912" i="10" a="1"/>
  <c r="F1912" i="10" s="1"/>
  <c r="F1911" i="10" a="1"/>
  <c r="F1911" i="10" s="1"/>
  <c r="F1910" i="10" a="1"/>
  <c r="F1910" i="10" s="1"/>
  <c r="F1909" i="10" a="1"/>
  <c r="F1909" i="10" s="1"/>
  <c r="F1908" i="10" a="1"/>
  <c r="F1908" i="10" s="1"/>
  <c r="F1907" i="10" a="1"/>
  <c r="F1907" i="10" s="1"/>
  <c r="F1906" i="10" a="1"/>
  <c r="F1906" i="10" s="1"/>
  <c r="F1905" i="10" a="1"/>
  <c r="F1905" i="10" s="1"/>
  <c r="F1904" i="10" a="1"/>
  <c r="F1904" i="10" s="1"/>
  <c r="F1903" i="10" a="1"/>
  <c r="F1903" i="10" s="1"/>
  <c r="F1902" i="10" a="1"/>
  <c r="F1902" i="10" s="1"/>
  <c r="F1901" i="10" a="1"/>
  <c r="F1901" i="10" s="1"/>
  <c r="F1900" i="10" a="1"/>
  <c r="F1900" i="10" s="1"/>
  <c r="F1899" i="10" a="1"/>
  <c r="F1899" i="10" s="1"/>
  <c r="F1898" i="10" a="1"/>
  <c r="F1898" i="10" s="1"/>
  <c r="F1897" i="10" a="1"/>
  <c r="F1897" i="10" s="1"/>
  <c r="F1896" i="10" a="1"/>
  <c r="F1896" i="10" s="1"/>
  <c r="F1895" i="10"/>
  <c r="F1895" i="10" a="1"/>
  <c r="F1894" i="10" a="1"/>
  <c r="F1894" i="10" s="1"/>
  <c r="F1893" i="10" a="1"/>
  <c r="F1893" i="10" s="1"/>
  <c r="F1892" i="10" a="1"/>
  <c r="F1892" i="10" s="1"/>
  <c r="F1891" i="10" a="1"/>
  <c r="F1891" i="10" s="1"/>
  <c r="F1890" i="10" a="1"/>
  <c r="F1890" i="10" s="1"/>
  <c r="F1889" i="10" a="1"/>
  <c r="F1889" i="10" s="1"/>
  <c r="F1888" i="10" a="1"/>
  <c r="F1888" i="10" s="1"/>
  <c r="F1887" i="10" a="1"/>
  <c r="F1887" i="10" s="1"/>
  <c r="F1886" i="10" a="1"/>
  <c r="F1886" i="10" s="1"/>
  <c r="F1885" i="10" a="1"/>
  <c r="F1885" i="10" s="1"/>
  <c r="F1884" i="10" a="1"/>
  <c r="F1884" i="10" s="1"/>
  <c r="F1883" i="10" a="1"/>
  <c r="F1883" i="10" s="1"/>
  <c r="F1882" i="10" a="1"/>
  <c r="F1882" i="10" s="1"/>
  <c r="F1881" i="10" a="1"/>
  <c r="F1881" i="10" s="1"/>
  <c r="F1880" i="10" a="1"/>
  <c r="F1880" i="10" s="1"/>
  <c r="F1879" i="10" a="1"/>
  <c r="F1879" i="10" s="1"/>
  <c r="F1878" i="10" a="1"/>
  <c r="F1878" i="10" s="1"/>
  <c r="F1877" i="10" a="1"/>
  <c r="F1877" i="10" s="1"/>
  <c r="F1876" i="10" a="1"/>
  <c r="F1876" i="10" s="1"/>
  <c r="F1875" i="10" a="1"/>
  <c r="F1875" i="10" s="1"/>
  <c r="F1874" i="10" a="1"/>
  <c r="F1874" i="10" s="1"/>
  <c r="F1873" i="10" a="1"/>
  <c r="F1873" i="10" s="1"/>
  <c r="F1872" i="10" a="1"/>
  <c r="F1872" i="10" s="1"/>
  <c r="F1871" i="10" a="1"/>
  <c r="F1871" i="10" s="1"/>
  <c r="F1870" i="10" a="1"/>
  <c r="F1870" i="10" s="1"/>
  <c r="F1869" i="10" a="1"/>
  <c r="F1869" i="10" s="1"/>
  <c r="F1868" i="10" a="1"/>
  <c r="F1868" i="10" s="1"/>
  <c r="F1867" i="10" a="1"/>
  <c r="F1867" i="10" s="1"/>
  <c r="F1866" i="10" a="1"/>
  <c r="F1866" i="10" s="1"/>
  <c r="F1865" i="10" a="1"/>
  <c r="F1865" i="10" s="1"/>
  <c r="F1864" i="10" a="1"/>
  <c r="F1864" i="10" s="1"/>
  <c r="F1863" i="10" a="1"/>
  <c r="F1863" i="10" s="1"/>
  <c r="F1862" i="10" a="1"/>
  <c r="F1862" i="10" s="1"/>
  <c r="F1861" i="10" a="1"/>
  <c r="F1861" i="10" s="1"/>
  <c r="F1860" i="10" a="1"/>
  <c r="F1860" i="10" s="1"/>
  <c r="F1859" i="10" a="1"/>
  <c r="F1859" i="10" s="1"/>
  <c r="F1858" i="10" a="1"/>
  <c r="F1858" i="10" s="1"/>
  <c r="F1857" i="10" a="1"/>
  <c r="F1857" i="10" s="1"/>
  <c r="F1856" i="10" a="1"/>
  <c r="F1856" i="10" s="1"/>
  <c r="F1855" i="10" a="1"/>
  <c r="F1855" i="10" s="1"/>
  <c r="F1854" i="10" a="1"/>
  <c r="F1854" i="10" s="1"/>
  <c r="F1853" i="10" a="1"/>
  <c r="F1853" i="10" s="1"/>
  <c r="F1852" i="10" a="1"/>
  <c r="F1852" i="10" s="1"/>
  <c r="F1851" i="10" a="1"/>
  <c r="F1851" i="10" s="1"/>
  <c r="F1850" i="10" a="1"/>
  <c r="F1850" i="10" s="1"/>
  <c r="F1849" i="10" a="1"/>
  <c r="F1849" i="10" s="1"/>
  <c r="F1848" i="10" a="1"/>
  <c r="F1848" i="10" s="1"/>
  <c r="F1847" i="10" a="1"/>
  <c r="F1847" i="10" s="1"/>
  <c r="F1846" i="10" a="1"/>
  <c r="F1846" i="10" s="1"/>
  <c r="F1845" i="10" a="1"/>
  <c r="F1845" i="10" s="1"/>
  <c r="F1844" i="10" a="1"/>
  <c r="F1844" i="10" s="1"/>
  <c r="F1843" i="10" a="1"/>
  <c r="F1843" i="10" s="1"/>
  <c r="F1842" i="10" a="1"/>
  <c r="F1842" i="10" s="1"/>
  <c r="F1841" i="10" a="1"/>
  <c r="F1841" i="10" s="1"/>
  <c r="F1840" i="10" a="1"/>
  <c r="F1840" i="10" s="1"/>
  <c r="F1839" i="10" a="1"/>
  <c r="F1839" i="10" s="1"/>
  <c r="F1838" i="10" a="1"/>
  <c r="F1838" i="10" s="1"/>
  <c r="F1837" i="10" a="1"/>
  <c r="F1837" i="10" s="1"/>
  <c r="F1836" i="10" a="1"/>
  <c r="F1836" i="10" s="1"/>
  <c r="F1835" i="10" a="1"/>
  <c r="F1835" i="10" s="1"/>
  <c r="F1834" i="10" a="1"/>
  <c r="F1834" i="10" s="1"/>
  <c r="F1833" i="10" a="1"/>
  <c r="F1833" i="10" s="1"/>
  <c r="F1832" i="10" a="1"/>
  <c r="F1832" i="10" s="1"/>
  <c r="F1831" i="10" a="1"/>
  <c r="F1831" i="10" s="1"/>
  <c r="F1830" i="10" a="1"/>
  <c r="F1830" i="10" s="1"/>
  <c r="F1829" i="10" a="1"/>
  <c r="F1829" i="10" s="1"/>
  <c r="F1828" i="10" a="1"/>
  <c r="F1828" i="10" s="1"/>
  <c r="F1827" i="10" a="1"/>
  <c r="F1827" i="10" s="1"/>
  <c r="F1826" i="10" a="1"/>
  <c r="F1826" i="10" s="1"/>
  <c r="F1825" i="10" a="1"/>
  <c r="F1825" i="10" s="1"/>
  <c r="F1824" i="10" a="1"/>
  <c r="F1824" i="10" s="1"/>
  <c r="F1823" i="10" a="1"/>
  <c r="F1823" i="10" s="1"/>
  <c r="F1822" i="10" a="1"/>
  <c r="F1822" i="10" s="1"/>
  <c r="F1821" i="10" a="1"/>
  <c r="F1821" i="10" s="1"/>
  <c r="F1820" i="10" a="1"/>
  <c r="F1820" i="10" s="1"/>
  <c r="F1819" i="10" a="1"/>
  <c r="F1819" i="10" s="1"/>
  <c r="F1818" i="10" a="1"/>
  <c r="F1818" i="10" s="1"/>
  <c r="F1817" i="10" a="1"/>
  <c r="F1817" i="10" s="1"/>
  <c r="F1816" i="10" a="1"/>
  <c r="F1816" i="10" s="1"/>
  <c r="F1815" i="10" a="1"/>
  <c r="F1815" i="10" s="1"/>
  <c r="F1814" i="10" a="1"/>
  <c r="F1814" i="10" s="1"/>
  <c r="F1813" i="10" a="1"/>
  <c r="F1813" i="10" s="1"/>
  <c r="F1812" i="10" a="1"/>
  <c r="F1812" i="10" s="1"/>
  <c r="F1811" i="10" a="1"/>
  <c r="F1811" i="10" s="1"/>
  <c r="F1810" i="10" a="1"/>
  <c r="F1810" i="10" s="1"/>
  <c r="F1809" i="10" a="1"/>
  <c r="F1809" i="10" s="1"/>
  <c r="F1808" i="10" a="1"/>
  <c r="F1808" i="10" s="1"/>
  <c r="F1807" i="10" a="1"/>
  <c r="F1807" i="10" s="1"/>
  <c r="F1806" i="10" a="1"/>
  <c r="F1806" i="10" s="1"/>
  <c r="F1805" i="10" a="1"/>
  <c r="F1805" i="10" s="1"/>
  <c r="F1804" i="10" a="1"/>
  <c r="F1804" i="10" s="1"/>
  <c r="F1803" i="10" a="1"/>
  <c r="F1803" i="10" s="1"/>
  <c r="F1802" i="10" a="1"/>
  <c r="F1802" i="10" s="1"/>
  <c r="F1801" i="10" a="1"/>
  <c r="F1801" i="10" s="1"/>
  <c r="F1800" i="10" a="1"/>
  <c r="F1800" i="10" s="1"/>
  <c r="F1799" i="10" a="1"/>
  <c r="F1799" i="10" s="1"/>
  <c r="F1798" i="10" a="1"/>
  <c r="F1798" i="10" s="1"/>
  <c r="F1797" i="10" a="1"/>
  <c r="F1797" i="10" s="1"/>
  <c r="F1796" i="10" a="1"/>
  <c r="F1796" i="10" s="1"/>
  <c r="F1795" i="10" a="1"/>
  <c r="F1795" i="10" s="1"/>
  <c r="F1794" i="10" a="1"/>
  <c r="F1794" i="10" s="1"/>
  <c r="F1793" i="10" a="1"/>
  <c r="F1793" i="10" s="1"/>
  <c r="F1792" i="10" a="1"/>
  <c r="F1792" i="10" s="1"/>
  <c r="F1791" i="10" a="1"/>
  <c r="F1791" i="10" s="1"/>
  <c r="F1790" i="10" a="1"/>
  <c r="F1790" i="10" s="1"/>
  <c r="F1789" i="10" a="1"/>
  <c r="F1789" i="10" s="1"/>
  <c r="F1788" i="10" a="1"/>
  <c r="F1788" i="10" s="1"/>
  <c r="F1787" i="10" a="1"/>
  <c r="F1787" i="10" s="1"/>
  <c r="F1786" i="10" a="1"/>
  <c r="F1786" i="10" s="1"/>
  <c r="F1785" i="10" a="1"/>
  <c r="F1785" i="10" s="1"/>
  <c r="F1784" i="10" a="1"/>
  <c r="F1784" i="10" s="1"/>
  <c r="F1783" i="10" a="1"/>
  <c r="F1783" i="10" s="1"/>
  <c r="F1782" i="10" a="1"/>
  <c r="F1782" i="10" s="1"/>
  <c r="F1781" i="10" a="1"/>
  <c r="F1781" i="10" s="1"/>
  <c r="F1780" i="10" a="1"/>
  <c r="F1780" i="10" s="1"/>
  <c r="F1779" i="10" a="1"/>
  <c r="F1779" i="10" s="1"/>
  <c r="F1778" i="10" a="1"/>
  <c r="F1778" i="10" s="1"/>
  <c r="F1777" i="10" a="1"/>
  <c r="F1777" i="10" s="1"/>
  <c r="F1776" i="10" a="1"/>
  <c r="F1776" i="10" s="1"/>
  <c r="F1775" i="10" a="1"/>
  <c r="F1775" i="10" s="1"/>
  <c r="F1774" i="10" a="1"/>
  <c r="F1774" i="10" s="1"/>
  <c r="F1773" i="10" a="1"/>
  <c r="F1773" i="10" s="1"/>
  <c r="F1772" i="10" a="1"/>
  <c r="F1772" i="10" s="1"/>
  <c r="F1771" i="10" a="1"/>
  <c r="F1771" i="10" s="1"/>
  <c r="F1770" i="10" a="1"/>
  <c r="F1770" i="10" s="1"/>
  <c r="F1769" i="10" a="1"/>
  <c r="F1769" i="10" s="1"/>
  <c r="F1768" i="10" a="1"/>
  <c r="F1768" i="10" s="1"/>
  <c r="F1767" i="10" a="1"/>
  <c r="F1767" i="10" s="1"/>
  <c r="F1766" i="10" a="1"/>
  <c r="F1766" i="10" s="1"/>
  <c r="F1765" i="10" a="1"/>
  <c r="F1765" i="10" s="1"/>
  <c r="F1764" i="10" a="1"/>
  <c r="F1764" i="10" s="1"/>
  <c r="F1763" i="10" a="1"/>
  <c r="F1763" i="10" s="1"/>
  <c r="F1762" i="10" a="1"/>
  <c r="F1762" i="10" s="1"/>
  <c r="F1761" i="10" a="1"/>
  <c r="F1761" i="10" s="1"/>
  <c r="F1760" i="10" a="1"/>
  <c r="F1760" i="10" s="1"/>
  <c r="F1759" i="10" a="1"/>
  <c r="F1759" i="10" s="1"/>
  <c r="F1758" i="10" a="1"/>
  <c r="F1758" i="10" s="1"/>
  <c r="F1757" i="10" a="1"/>
  <c r="F1757" i="10" s="1"/>
  <c r="F1756" i="10" a="1"/>
  <c r="F1756" i="10" s="1"/>
  <c r="F1755" i="10" a="1"/>
  <c r="F1755" i="10" s="1"/>
  <c r="F1754" i="10" a="1"/>
  <c r="F1754" i="10" s="1"/>
  <c r="F1753" i="10" a="1"/>
  <c r="F1753" i="10" s="1"/>
  <c r="F1752" i="10" a="1"/>
  <c r="F1752" i="10" s="1"/>
  <c r="F1751" i="10" a="1"/>
  <c r="F1751" i="10" s="1"/>
  <c r="F1750" i="10" a="1"/>
  <c r="F1750" i="10" s="1"/>
  <c r="F1749" i="10" a="1"/>
  <c r="F1749" i="10" s="1"/>
  <c r="F1748" i="10" a="1"/>
  <c r="F1748" i="10" s="1"/>
  <c r="F1747" i="10" a="1"/>
  <c r="F1747" i="10" s="1"/>
  <c r="F1746" i="10" a="1"/>
  <c r="F1746" i="10" s="1"/>
  <c r="F1745" i="10" a="1"/>
  <c r="F1745" i="10" s="1"/>
  <c r="F1744" i="10" a="1"/>
  <c r="F1744" i="10" s="1"/>
  <c r="F1743" i="10" a="1"/>
  <c r="F1743" i="10" s="1"/>
  <c r="F1742" i="10" a="1"/>
  <c r="F1742" i="10" s="1"/>
  <c r="F1741" i="10" a="1"/>
  <c r="F1741" i="10" s="1"/>
  <c r="F1740" i="10" a="1"/>
  <c r="F1740" i="10" s="1"/>
  <c r="F1739" i="10" a="1"/>
  <c r="F1739" i="10" s="1"/>
  <c r="F1738" i="10" a="1"/>
  <c r="F1738" i="10" s="1"/>
  <c r="F1737" i="10" a="1"/>
  <c r="F1737" i="10" s="1"/>
  <c r="F1736" i="10" a="1"/>
  <c r="F1736" i="10" s="1"/>
  <c r="F1735" i="10" a="1"/>
  <c r="F1735" i="10" s="1"/>
  <c r="F1734" i="10" a="1"/>
  <c r="F1734" i="10" s="1"/>
  <c r="F1733" i="10" a="1"/>
  <c r="F1733" i="10" s="1"/>
  <c r="F1732" i="10" a="1"/>
  <c r="F1732" i="10" s="1"/>
  <c r="F1731" i="10" a="1"/>
  <c r="F1731" i="10" s="1"/>
  <c r="F1730" i="10" a="1"/>
  <c r="F1730" i="10" s="1"/>
  <c r="F1729" i="10" a="1"/>
  <c r="F1729" i="10" s="1"/>
  <c r="F1728" i="10" a="1"/>
  <c r="F1728" i="10" s="1"/>
  <c r="F1727" i="10" a="1"/>
  <c r="F1727" i="10" s="1"/>
  <c r="F1726" i="10" a="1"/>
  <c r="F1726" i="10" s="1"/>
  <c r="F1725" i="10" a="1"/>
  <c r="F1725" i="10" s="1"/>
  <c r="F1724" i="10" a="1"/>
  <c r="F1724" i="10" s="1"/>
  <c r="F1723" i="10" a="1"/>
  <c r="F1723" i="10" s="1"/>
  <c r="F1722" i="10" a="1"/>
  <c r="F1722" i="10" s="1"/>
  <c r="F1721" i="10" a="1"/>
  <c r="F1721" i="10" s="1"/>
  <c r="F1720" i="10" a="1"/>
  <c r="F1720" i="10" s="1"/>
  <c r="F1719" i="10" a="1"/>
  <c r="F1719" i="10" s="1"/>
  <c r="F1718" i="10" a="1"/>
  <c r="F1718" i="10" s="1"/>
  <c r="F1717" i="10" a="1"/>
  <c r="F1717" i="10" s="1"/>
  <c r="F1716" i="10" a="1"/>
  <c r="F1716" i="10" s="1"/>
  <c r="F1715" i="10" a="1"/>
  <c r="F1715" i="10" s="1"/>
  <c r="F1714" i="10" a="1"/>
  <c r="F1714" i="10" s="1"/>
  <c r="F1713" i="10" a="1"/>
  <c r="F1713" i="10" s="1"/>
  <c r="F1712" i="10" a="1"/>
  <c r="F1712" i="10" s="1"/>
  <c r="F1711" i="10" a="1"/>
  <c r="F1711" i="10" s="1"/>
  <c r="F1710" i="10" a="1"/>
  <c r="F1710" i="10" s="1"/>
  <c r="F1709" i="10" a="1"/>
  <c r="F1709" i="10" s="1"/>
  <c r="F1708" i="10" a="1"/>
  <c r="F1708" i="10" s="1"/>
  <c r="F1707" i="10" a="1"/>
  <c r="F1707" i="10" s="1"/>
  <c r="F1706" i="10" a="1"/>
  <c r="F1706" i="10" s="1"/>
  <c r="F1705" i="10" a="1"/>
  <c r="F1705" i="10" s="1"/>
  <c r="F1704" i="10" a="1"/>
  <c r="F1704" i="10" s="1"/>
  <c r="F1703" i="10" a="1"/>
  <c r="F1703" i="10" s="1"/>
  <c r="F1702" i="10" a="1"/>
  <c r="F1702" i="10" s="1"/>
  <c r="F1701" i="10" a="1"/>
  <c r="F1701" i="10" s="1"/>
  <c r="F1700" i="10" a="1"/>
  <c r="F1700" i="10" s="1"/>
  <c r="F1699" i="10" a="1"/>
  <c r="F1699" i="10" s="1"/>
  <c r="F1698" i="10" a="1"/>
  <c r="F1698" i="10" s="1"/>
  <c r="F1697" i="10" a="1"/>
  <c r="F1697" i="10" s="1"/>
  <c r="F1696" i="10" a="1"/>
  <c r="F1696" i="10" s="1"/>
  <c r="F1695" i="10"/>
  <c r="F1695" i="10" a="1"/>
  <c r="F1694" i="10" a="1"/>
  <c r="F1694" i="10" s="1"/>
  <c r="F1693" i="10" a="1"/>
  <c r="F1693" i="10" s="1"/>
  <c r="F1692" i="10" a="1"/>
  <c r="F1692" i="10" s="1"/>
  <c r="F1691" i="10" a="1"/>
  <c r="F1691" i="10" s="1"/>
  <c r="F1690" i="10" a="1"/>
  <c r="F1690" i="10" s="1"/>
  <c r="F1689" i="10" a="1"/>
  <c r="F1689" i="10" s="1"/>
  <c r="F1688" i="10" a="1"/>
  <c r="F1688" i="10" s="1"/>
  <c r="F1687" i="10" a="1"/>
  <c r="F1687" i="10" s="1"/>
  <c r="F1686" i="10" a="1"/>
  <c r="F1686" i="10" s="1"/>
  <c r="F1685" i="10" a="1"/>
  <c r="F1685" i="10" s="1"/>
  <c r="F1684" i="10" a="1"/>
  <c r="F1684" i="10" s="1"/>
  <c r="F1683" i="10" a="1"/>
  <c r="F1683" i="10" s="1"/>
  <c r="F1682" i="10" a="1"/>
  <c r="F1682" i="10" s="1"/>
  <c r="F1681" i="10" a="1"/>
  <c r="F1681" i="10" s="1"/>
  <c r="F1680" i="10" a="1"/>
  <c r="F1680" i="10" s="1"/>
  <c r="F1679" i="10" a="1"/>
  <c r="F1679" i="10" s="1"/>
  <c r="F1678" i="10" a="1"/>
  <c r="F1678" i="10" s="1"/>
  <c r="F1677" i="10" a="1"/>
  <c r="F1677" i="10" s="1"/>
  <c r="F1676" i="10" a="1"/>
  <c r="F1676" i="10" s="1"/>
  <c r="F1675" i="10" a="1"/>
  <c r="F1675" i="10" s="1"/>
  <c r="F1674" i="10" a="1"/>
  <c r="F1674" i="10" s="1"/>
  <c r="F1673" i="10" a="1"/>
  <c r="F1673" i="10" s="1"/>
  <c r="F1672" i="10" a="1"/>
  <c r="F1672" i="10" s="1"/>
  <c r="F1671" i="10" a="1"/>
  <c r="F1671" i="10" s="1"/>
  <c r="F1670" i="10" a="1"/>
  <c r="F1670" i="10" s="1"/>
  <c r="F1669" i="10" a="1"/>
  <c r="F1669" i="10" s="1"/>
  <c r="F1668" i="10" a="1"/>
  <c r="F1668" i="10" s="1"/>
  <c r="F1667" i="10" a="1"/>
  <c r="F1667" i="10" s="1"/>
  <c r="F1666" i="10" a="1"/>
  <c r="F1666" i="10" s="1"/>
  <c r="F1665" i="10" a="1"/>
  <c r="F1665" i="10" s="1"/>
  <c r="F1664" i="10" a="1"/>
  <c r="F1664" i="10" s="1"/>
  <c r="F1663" i="10" a="1"/>
  <c r="F1663" i="10" s="1"/>
  <c r="F1662" i="10" a="1"/>
  <c r="F1662" i="10" s="1"/>
  <c r="F1661" i="10" a="1"/>
  <c r="F1661" i="10" s="1"/>
  <c r="F1660" i="10" a="1"/>
  <c r="F1660" i="10" s="1"/>
  <c r="F1659" i="10" a="1"/>
  <c r="F1659" i="10" s="1"/>
  <c r="F1658" i="10" a="1"/>
  <c r="F1658" i="10" s="1"/>
  <c r="F1657" i="10" a="1"/>
  <c r="F1657" i="10" s="1"/>
  <c r="F1656" i="10" a="1"/>
  <c r="F1656" i="10" s="1"/>
  <c r="F1655" i="10" a="1"/>
  <c r="F1655" i="10" s="1"/>
  <c r="F1654" i="10" a="1"/>
  <c r="F1654" i="10" s="1"/>
  <c r="F1653" i="10" a="1"/>
  <c r="F1653" i="10" s="1"/>
  <c r="F1652" i="10" a="1"/>
  <c r="F1652" i="10" s="1"/>
  <c r="F1651" i="10" a="1"/>
  <c r="F1651" i="10" s="1"/>
  <c r="F1650" i="10" a="1"/>
  <c r="F1650" i="10" s="1"/>
  <c r="F1649" i="10" a="1"/>
  <c r="F1649" i="10" s="1"/>
  <c r="F1648" i="10" a="1"/>
  <c r="F1648" i="10" s="1"/>
  <c r="F1647" i="10" a="1"/>
  <c r="F1647" i="10" s="1"/>
  <c r="F1646" i="10" a="1"/>
  <c r="F1646" i="10" s="1"/>
  <c r="F1645" i="10" a="1"/>
  <c r="F1645" i="10" s="1"/>
  <c r="F1644" i="10" a="1"/>
  <c r="F1644" i="10" s="1"/>
  <c r="F1643" i="10" a="1"/>
  <c r="F1643" i="10" s="1"/>
  <c r="F1642" i="10" a="1"/>
  <c r="F1642" i="10" s="1"/>
  <c r="F1641" i="10" a="1"/>
  <c r="F1641" i="10" s="1"/>
  <c r="F1640" i="10" a="1"/>
  <c r="F1640" i="10" s="1"/>
  <c r="F1639" i="10" a="1"/>
  <c r="F1639" i="10" s="1"/>
  <c r="F1638" i="10" a="1"/>
  <c r="F1638" i="10" s="1"/>
  <c r="F1637" i="10" a="1"/>
  <c r="F1637" i="10" s="1"/>
  <c r="F1636" i="10" a="1"/>
  <c r="F1636" i="10" s="1"/>
  <c r="F1635" i="10" a="1"/>
  <c r="F1635" i="10" s="1"/>
  <c r="F1634" i="10" a="1"/>
  <c r="F1634" i="10" s="1"/>
  <c r="F1633" i="10" a="1"/>
  <c r="F1633" i="10" s="1"/>
  <c r="F1632" i="10" a="1"/>
  <c r="F1632" i="10" s="1"/>
  <c r="F1631" i="10" a="1"/>
  <c r="F1631" i="10" s="1"/>
  <c r="F1630" i="10" a="1"/>
  <c r="F1630" i="10" s="1"/>
  <c r="F1629" i="10" a="1"/>
  <c r="F1629" i="10" s="1"/>
  <c r="F1628" i="10" a="1"/>
  <c r="F1628" i="10" s="1"/>
  <c r="F1627" i="10" a="1"/>
  <c r="F1627" i="10" s="1"/>
  <c r="F1626" i="10" a="1"/>
  <c r="F1626" i="10" s="1"/>
  <c r="F1625" i="10" a="1"/>
  <c r="F1625" i="10" s="1"/>
  <c r="F1624" i="10" a="1"/>
  <c r="F1624" i="10" s="1"/>
  <c r="F1623" i="10" a="1"/>
  <c r="F1623" i="10" s="1"/>
  <c r="F1622" i="10" a="1"/>
  <c r="F1622" i="10" s="1"/>
  <c r="F1621" i="10" a="1"/>
  <c r="F1621" i="10" s="1"/>
  <c r="F1620" i="10" a="1"/>
  <c r="F1620" i="10" s="1"/>
  <c r="F1619" i="10" a="1"/>
  <c r="F1619" i="10" s="1"/>
  <c r="F1618" i="10" a="1"/>
  <c r="F1618" i="10" s="1"/>
  <c r="F1617" i="10" a="1"/>
  <c r="F1617" i="10" s="1"/>
  <c r="F1616" i="10" a="1"/>
  <c r="F1616" i="10" s="1"/>
  <c r="F1615" i="10" a="1"/>
  <c r="F1615" i="10" s="1"/>
  <c r="F1614" i="10" a="1"/>
  <c r="F1614" i="10" s="1"/>
  <c r="F1613" i="10" a="1"/>
  <c r="F1613" i="10" s="1"/>
  <c r="F1612" i="10" a="1"/>
  <c r="F1612" i="10" s="1"/>
  <c r="F1611" i="10" a="1"/>
  <c r="F1611" i="10" s="1"/>
  <c r="F1610" i="10" a="1"/>
  <c r="F1610" i="10" s="1"/>
  <c r="F1609" i="10" a="1"/>
  <c r="F1609" i="10" s="1"/>
  <c r="F1608" i="10" a="1"/>
  <c r="F1608" i="10" s="1"/>
  <c r="F1607" i="10" a="1"/>
  <c r="F1607" i="10" s="1"/>
  <c r="F1606" i="10" a="1"/>
  <c r="F1606" i="10" s="1"/>
  <c r="F1605" i="10" a="1"/>
  <c r="F1605" i="10" s="1"/>
  <c r="F1604" i="10" a="1"/>
  <c r="F1604" i="10" s="1"/>
  <c r="F1603" i="10" a="1"/>
  <c r="F1603" i="10" s="1"/>
  <c r="F1602" i="10" a="1"/>
  <c r="F1602" i="10" s="1"/>
  <c r="F1601" i="10" a="1"/>
  <c r="F1601" i="10" s="1"/>
  <c r="F1600" i="10" a="1"/>
  <c r="F1600" i="10" s="1"/>
  <c r="F1599" i="10" a="1"/>
  <c r="F1599" i="10" s="1"/>
  <c r="F1598" i="10" a="1"/>
  <c r="F1598" i="10" s="1"/>
  <c r="F1597" i="10" a="1"/>
  <c r="F1597" i="10" s="1"/>
  <c r="F1596" i="10" a="1"/>
  <c r="F1596" i="10" s="1"/>
  <c r="F1595" i="10" a="1"/>
  <c r="F1595" i="10" s="1"/>
  <c r="F1594" i="10" a="1"/>
  <c r="F1594" i="10" s="1"/>
  <c r="F1593" i="10" a="1"/>
  <c r="F1593" i="10" s="1"/>
  <c r="F1592" i="10" a="1"/>
  <c r="F1592" i="10" s="1"/>
  <c r="F1591" i="10"/>
  <c r="F1591" i="10" a="1"/>
  <c r="F1590" i="10" a="1"/>
  <c r="F1590" i="10" s="1"/>
  <c r="F1589" i="10" a="1"/>
  <c r="F1589" i="10" s="1"/>
  <c r="F1588" i="10" a="1"/>
  <c r="F1588" i="10" s="1"/>
  <c r="F1587" i="10" a="1"/>
  <c r="F1587" i="10" s="1"/>
  <c r="F1586" i="10" a="1"/>
  <c r="F1586" i="10" s="1"/>
  <c r="F1585" i="10" a="1"/>
  <c r="F1585" i="10" s="1"/>
  <c r="F1584" i="10" a="1"/>
  <c r="F1584" i="10" s="1"/>
  <c r="F1583" i="10" a="1"/>
  <c r="F1583" i="10" s="1"/>
  <c r="F1582" i="10" a="1"/>
  <c r="F1582" i="10" s="1"/>
  <c r="F1581" i="10" a="1"/>
  <c r="F1581" i="10" s="1"/>
  <c r="F1580" i="10" a="1"/>
  <c r="F1580" i="10" s="1"/>
  <c r="F1579" i="10" a="1"/>
  <c r="F1579" i="10" s="1"/>
  <c r="F1578" i="10" a="1"/>
  <c r="F1578" i="10" s="1"/>
  <c r="F1577" i="10" a="1"/>
  <c r="F1577" i="10" s="1"/>
  <c r="F1576" i="10" a="1"/>
  <c r="F1576" i="10" s="1"/>
  <c r="F1575" i="10" a="1"/>
  <c r="F1575" i="10" s="1"/>
  <c r="F1574" i="10" a="1"/>
  <c r="F1574" i="10" s="1"/>
  <c r="F1573" i="10" a="1"/>
  <c r="F1573" i="10" s="1"/>
  <c r="F1572" i="10" a="1"/>
  <c r="F1572" i="10" s="1"/>
  <c r="F1571" i="10" a="1"/>
  <c r="F1571" i="10" s="1"/>
  <c r="F1570" i="10" a="1"/>
  <c r="F1570" i="10" s="1"/>
  <c r="F1569" i="10" a="1"/>
  <c r="F1569" i="10" s="1"/>
  <c r="F1568" i="10" a="1"/>
  <c r="F1568" i="10" s="1"/>
  <c r="F1567" i="10" a="1"/>
  <c r="F1567" i="10" s="1"/>
  <c r="F1566" i="10" a="1"/>
  <c r="F1566" i="10" s="1"/>
  <c r="F1565" i="10" a="1"/>
  <c r="F1565" i="10" s="1"/>
  <c r="F1564" i="10" a="1"/>
  <c r="F1564" i="10" s="1"/>
  <c r="F1563" i="10" a="1"/>
  <c r="F1563" i="10" s="1"/>
  <c r="F1562" i="10" a="1"/>
  <c r="F1562" i="10" s="1"/>
  <c r="F1561" i="10" a="1"/>
  <c r="F1561" i="10" s="1"/>
  <c r="F1560" i="10" a="1"/>
  <c r="F1560" i="10" s="1"/>
  <c r="F1559" i="10" a="1"/>
  <c r="F1559" i="10" s="1"/>
  <c r="F1558" i="10" a="1"/>
  <c r="F1558" i="10" s="1"/>
  <c r="F1557" i="10" a="1"/>
  <c r="F1557" i="10" s="1"/>
  <c r="F1556" i="10" a="1"/>
  <c r="F1556" i="10" s="1"/>
  <c r="F1555" i="10" a="1"/>
  <c r="F1555" i="10" s="1"/>
  <c r="F1554" i="10" a="1"/>
  <c r="F1554" i="10" s="1"/>
  <c r="F1553" i="10" a="1"/>
  <c r="F1553" i="10" s="1"/>
  <c r="F1552" i="10" a="1"/>
  <c r="F1552" i="10" s="1"/>
  <c r="F1551" i="10" a="1"/>
  <c r="F1551" i="10" s="1"/>
  <c r="F1550" i="10" a="1"/>
  <c r="F1550" i="10" s="1"/>
  <c r="F1549" i="10" a="1"/>
  <c r="F1549" i="10" s="1"/>
  <c r="F1548" i="10" a="1"/>
  <c r="F1548" i="10" s="1"/>
  <c r="F1547" i="10" a="1"/>
  <c r="F1547" i="10" s="1"/>
  <c r="F1546" i="10" a="1"/>
  <c r="F1546" i="10" s="1"/>
  <c r="F1545" i="10" a="1"/>
  <c r="F1545" i="10" s="1"/>
  <c r="F1544" i="10" a="1"/>
  <c r="F1544" i="10" s="1"/>
  <c r="F1543" i="10" a="1"/>
  <c r="F1543" i="10" s="1"/>
  <c r="F1542" i="10" a="1"/>
  <c r="F1542" i="10" s="1"/>
  <c r="F1541" i="10" a="1"/>
  <c r="F1541" i="10" s="1"/>
  <c r="F1540" i="10" a="1"/>
  <c r="F1540" i="10" s="1"/>
  <c r="F1539" i="10" a="1"/>
  <c r="F1539" i="10" s="1"/>
  <c r="F1538" i="10" a="1"/>
  <c r="F1538" i="10" s="1"/>
  <c r="F1537" i="10" a="1"/>
  <c r="F1537" i="10" s="1"/>
  <c r="F1536" i="10" a="1"/>
  <c r="F1536" i="10" s="1"/>
  <c r="F1535" i="10" a="1"/>
  <c r="F1535" i="10" s="1"/>
  <c r="F1534" i="10" a="1"/>
  <c r="F1534" i="10" s="1"/>
  <c r="F1533" i="10" a="1"/>
  <c r="F1533" i="10" s="1"/>
  <c r="F1532" i="10" a="1"/>
  <c r="F1532" i="10" s="1"/>
  <c r="F1531" i="10" a="1"/>
  <c r="F1531" i="10" s="1"/>
  <c r="F1530" i="10" a="1"/>
  <c r="F1530" i="10" s="1"/>
  <c r="F1529" i="10" a="1"/>
  <c r="F1529" i="10" s="1"/>
  <c r="F1528" i="10" a="1"/>
  <c r="F1528" i="10" s="1"/>
  <c r="F1527" i="10"/>
  <c r="F1527" i="10" a="1"/>
  <c r="F1526" i="10" a="1"/>
  <c r="F1526" i="10" s="1"/>
  <c r="F1525" i="10" a="1"/>
  <c r="F1525" i="10" s="1"/>
  <c r="F1524" i="10" a="1"/>
  <c r="F1524" i="10" s="1"/>
  <c r="F1523" i="10" a="1"/>
  <c r="F1523" i="10" s="1"/>
  <c r="F1522" i="10" a="1"/>
  <c r="F1522" i="10" s="1"/>
  <c r="F1521" i="10" a="1"/>
  <c r="F1521" i="10" s="1"/>
  <c r="F1520" i="10" a="1"/>
  <c r="F1520" i="10" s="1"/>
  <c r="F1519" i="10" a="1"/>
  <c r="F1519" i="10" s="1"/>
  <c r="F1518" i="10" a="1"/>
  <c r="F1518" i="10" s="1"/>
  <c r="F1517" i="10" a="1"/>
  <c r="F1517" i="10" s="1"/>
  <c r="F1516" i="10" a="1"/>
  <c r="F1516" i="10" s="1"/>
  <c r="F1515" i="10" a="1"/>
  <c r="F1515" i="10" s="1"/>
  <c r="F1514" i="10" a="1"/>
  <c r="F1514" i="10" s="1"/>
  <c r="F1513" i="10" a="1"/>
  <c r="F1513" i="10" s="1"/>
  <c r="F1512" i="10" a="1"/>
  <c r="F1512" i="10" s="1"/>
  <c r="F1511" i="10" a="1"/>
  <c r="F1511" i="10" s="1"/>
  <c r="F1510" i="10" a="1"/>
  <c r="F1510" i="10" s="1"/>
  <c r="F1509" i="10" a="1"/>
  <c r="F1509" i="10" s="1"/>
  <c r="F1508" i="10" a="1"/>
  <c r="F1508" i="10" s="1"/>
  <c r="F1507" i="10" a="1"/>
  <c r="F1507" i="10" s="1"/>
  <c r="F1506" i="10" a="1"/>
  <c r="F1506" i="10" s="1"/>
  <c r="F1505" i="10" a="1"/>
  <c r="F1505" i="10" s="1"/>
  <c r="F1504" i="10" a="1"/>
  <c r="F1504" i="10" s="1"/>
  <c r="F1503" i="10" a="1"/>
  <c r="F1503" i="10" s="1"/>
  <c r="F1502" i="10" a="1"/>
  <c r="F1502" i="10" s="1"/>
  <c r="F1501" i="10" a="1"/>
  <c r="F1501" i="10" s="1"/>
  <c r="F1500" i="10" a="1"/>
  <c r="F1500" i="10" s="1"/>
  <c r="F1499" i="10" a="1"/>
  <c r="F1499" i="10" s="1"/>
  <c r="F1498" i="10" a="1"/>
  <c r="F1498" i="10" s="1"/>
  <c r="F1497" i="10" a="1"/>
  <c r="F1497" i="10" s="1"/>
  <c r="F1496" i="10" a="1"/>
  <c r="F1496" i="10" s="1"/>
  <c r="F1495" i="10" a="1"/>
  <c r="F1495" i="10" s="1"/>
  <c r="F1494" i="10" a="1"/>
  <c r="F1494" i="10" s="1"/>
  <c r="F1493" i="10" a="1"/>
  <c r="F1493" i="10" s="1"/>
  <c r="F1492" i="10" a="1"/>
  <c r="F1492" i="10" s="1"/>
  <c r="F1491" i="10" a="1"/>
  <c r="F1491" i="10" s="1"/>
  <c r="F1490" i="10" a="1"/>
  <c r="F1490" i="10" s="1"/>
  <c r="F1489" i="10" a="1"/>
  <c r="F1489" i="10" s="1"/>
  <c r="F1488" i="10" a="1"/>
  <c r="F1488" i="10" s="1"/>
  <c r="F1487" i="10" a="1"/>
  <c r="F1487" i="10" s="1"/>
  <c r="F1486" i="10" a="1"/>
  <c r="F1486" i="10" s="1"/>
  <c r="F1485" i="10" a="1"/>
  <c r="F1485" i="10" s="1"/>
  <c r="F1484" i="10" a="1"/>
  <c r="F1484" i="10" s="1"/>
  <c r="F1483" i="10" a="1"/>
  <c r="F1483" i="10" s="1"/>
  <c r="F1482" i="10" a="1"/>
  <c r="F1482" i="10" s="1"/>
  <c r="F1481" i="10" a="1"/>
  <c r="F1481" i="10" s="1"/>
  <c r="F1480" i="10" a="1"/>
  <c r="F1480" i="10" s="1"/>
  <c r="F1479" i="10" a="1"/>
  <c r="F1479" i="10" s="1"/>
  <c r="F1478" i="10" a="1"/>
  <c r="F1478" i="10" s="1"/>
  <c r="F1477" i="10" a="1"/>
  <c r="F1477" i="10" s="1"/>
  <c r="F1476" i="10" a="1"/>
  <c r="F1476" i="10" s="1"/>
  <c r="F1475" i="10" a="1"/>
  <c r="F1475" i="10" s="1"/>
  <c r="F1474" i="10" a="1"/>
  <c r="F1474" i="10" s="1"/>
  <c r="F1473" i="10" a="1"/>
  <c r="F1473" i="10" s="1"/>
  <c r="F1472" i="10" a="1"/>
  <c r="F1472" i="10" s="1"/>
  <c r="F1471" i="10" a="1"/>
  <c r="F1471" i="10" s="1"/>
  <c r="F1470" i="10" a="1"/>
  <c r="F1470" i="10" s="1"/>
  <c r="F1469" i="10" a="1"/>
  <c r="F1469" i="10" s="1"/>
  <c r="F1468" i="10" a="1"/>
  <c r="F1468" i="10" s="1"/>
  <c r="F1467" i="10" a="1"/>
  <c r="F1467" i="10" s="1"/>
  <c r="F1466" i="10" a="1"/>
  <c r="F1466" i="10" s="1"/>
  <c r="F1465" i="10" a="1"/>
  <c r="F1465" i="10" s="1"/>
  <c r="F1464" i="10" a="1"/>
  <c r="F1464" i="10" s="1"/>
  <c r="F1463" i="10" a="1"/>
  <c r="F1463" i="10" s="1"/>
  <c r="F1462" i="10" a="1"/>
  <c r="F1462" i="10" s="1"/>
  <c r="F1461" i="10" a="1"/>
  <c r="F1461" i="10" s="1"/>
  <c r="F1460" i="10" a="1"/>
  <c r="F1460" i="10" s="1"/>
  <c r="F1459" i="10" a="1"/>
  <c r="F1459" i="10" s="1"/>
  <c r="F1458" i="10" a="1"/>
  <c r="F1458" i="10" s="1"/>
  <c r="F1457" i="10" a="1"/>
  <c r="F1457" i="10" s="1"/>
  <c r="F1456" i="10" a="1"/>
  <c r="F1456" i="10" s="1"/>
  <c r="F1455" i="10" a="1"/>
  <c r="F1455" i="10" s="1"/>
  <c r="F1454" i="10" a="1"/>
  <c r="F1454" i="10" s="1"/>
  <c r="F1453" i="10" a="1"/>
  <c r="F1453" i="10" s="1"/>
  <c r="F1452" i="10" a="1"/>
  <c r="F1452" i="10" s="1"/>
  <c r="F1451" i="10" a="1"/>
  <c r="F1451" i="10" s="1"/>
  <c r="F1450" i="10" a="1"/>
  <c r="F1450" i="10" s="1"/>
  <c r="F1449" i="10" a="1"/>
  <c r="F1449" i="10" s="1"/>
  <c r="F1448" i="10" a="1"/>
  <c r="F1448" i="10" s="1"/>
  <c r="F1447" i="10" a="1"/>
  <c r="F1447" i="10" s="1"/>
  <c r="F1446" i="10" a="1"/>
  <c r="F1446" i="10" s="1"/>
  <c r="F1445" i="10" a="1"/>
  <c r="F1445" i="10" s="1"/>
  <c r="F1444" i="10" a="1"/>
  <c r="F1444" i="10" s="1"/>
  <c r="F1443" i="10" a="1"/>
  <c r="F1443" i="10" s="1"/>
  <c r="F1442" i="10" a="1"/>
  <c r="F1442" i="10" s="1"/>
  <c r="F1441" i="10" a="1"/>
  <c r="F1441" i="10" s="1"/>
  <c r="F1440" i="10" a="1"/>
  <c r="F1440" i="10" s="1"/>
  <c r="F1439" i="10"/>
  <c r="F1439" i="10" a="1"/>
  <c r="F1438" i="10" a="1"/>
  <c r="F1438" i="10" s="1"/>
  <c r="F1437" i="10" a="1"/>
  <c r="F1437" i="10" s="1"/>
  <c r="F1436" i="10" a="1"/>
  <c r="F1436" i="10" s="1"/>
  <c r="F1435" i="10" a="1"/>
  <c r="F1435" i="10" s="1"/>
  <c r="F1434" i="10" a="1"/>
  <c r="F1434" i="10" s="1"/>
  <c r="F1433" i="10" a="1"/>
  <c r="F1433" i="10" s="1"/>
  <c r="F1432" i="10" a="1"/>
  <c r="F1432" i="10" s="1"/>
  <c r="F1431" i="10" a="1"/>
  <c r="F1431" i="10" s="1"/>
  <c r="F1430" i="10" a="1"/>
  <c r="F1430" i="10" s="1"/>
  <c r="F1429" i="10" a="1"/>
  <c r="F1429" i="10" s="1"/>
  <c r="F1428" i="10" a="1"/>
  <c r="F1428" i="10" s="1"/>
  <c r="F1427" i="10" a="1"/>
  <c r="F1427" i="10" s="1"/>
  <c r="F1426" i="10" a="1"/>
  <c r="F1426" i="10" s="1"/>
  <c r="F1425" i="10" a="1"/>
  <c r="F1425" i="10" s="1"/>
  <c r="F1424" i="10" a="1"/>
  <c r="F1424" i="10" s="1"/>
  <c r="F1423" i="10" a="1"/>
  <c r="F1423" i="10" s="1"/>
  <c r="F1422" i="10" a="1"/>
  <c r="F1422" i="10" s="1"/>
  <c r="F1421" i="10" a="1"/>
  <c r="F1421" i="10" s="1"/>
  <c r="F1420" i="10" a="1"/>
  <c r="F1420" i="10" s="1"/>
  <c r="F1419" i="10" a="1"/>
  <c r="F1419" i="10" s="1"/>
  <c r="F1418" i="10" a="1"/>
  <c r="F1418" i="10" s="1"/>
  <c r="F1417" i="10" a="1"/>
  <c r="F1417" i="10" s="1"/>
  <c r="F1416" i="10" a="1"/>
  <c r="F1416" i="10" s="1"/>
  <c r="F1415" i="10" a="1"/>
  <c r="F1415" i="10" s="1"/>
  <c r="F1414" i="10" a="1"/>
  <c r="F1414" i="10" s="1"/>
  <c r="F1413" i="10" a="1"/>
  <c r="F1413" i="10" s="1"/>
  <c r="F1412" i="10" a="1"/>
  <c r="F1412" i="10" s="1"/>
  <c r="F1411" i="10" a="1"/>
  <c r="F1411" i="10" s="1"/>
  <c r="F1410" i="10" a="1"/>
  <c r="F1410" i="10" s="1"/>
  <c r="F1409" i="10" a="1"/>
  <c r="F1409" i="10" s="1"/>
  <c r="F1408" i="10" a="1"/>
  <c r="F1408" i="10" s="1"/>
  <c r="F1407" i="10" a="1"/>
  <c r="F1407" i="10" s="1"/>
  <c r="F1406" i="10" a="1"/>
  <c r="F1406" i="10" s="1"/>
  <c r="F1405" i="10" a="1"/>
  <c r="F1405" i="10" s="1"/>
  <c r="F1404" i="10" a="1"/>
  <c r="F1404" i="10" s="1"/>
  <c r="F1403" i="10" a="1"/>
  <c r="F1403" i="10" s="1"/>
  <c r="F1402" i="10" a="1"/>
  <c r="F1402" i="10" s="1"/>
  <c r="F1401" i="10" a="1"/>
  <c r="F1401" i="10" s="1"/>
  <c r="F1400" i="10" a="1"/>
  <c r="F1400" i="10" s="1"/>
  <c r="F1399" i="10"/>
  <c r="F1399" i="10" a="1"/>
  <c r="F1398" i="10" a="1"/>
  <c r="F1398" i="10" s="1"/>
  <c r="F1397" i="10" a="1"/>
  <c r="F1397" i="10" s="1"/>
  <c r="F1396" i="10" a="1"/>
  <c r="F1396" i="10" s="1"/>
  <c r="F1395" i="10" a="1"/>
  <c r="F1395" i="10" s="1"/>
  <c r="F1394" i="10" a="1"/>
  <c r="F1394" i="10" s="1"/>
  <c r="F1393" i="10" a="1"/>
  <c r="F1393" i="10" s="1"/>
  <c r="F1392" i="10" a="1"/>
  <c r="F1392" i="10" s="1"/>
  <c r="F1391" i="10" a="1"/>
  <c r="F1391" i="10" s="1"/>
  <c r="F1390" i="10" a="1"/>
  <c r="F1390" i="10" s="1"/>
  <c r="F1389" i="10" a="1"/>
  <c r="F1389" i="10" s="1"/>
  <c r="F1388" i="10" a="1"/>
  <c r="F1388" i="10" s="1"/>
  <c r="F1387" i="10" a="1"/>
  <c r="F1387" i="10" s="1"/>
  <c r="F1386" i="10" a="1"/>
  <c r="F1386" i="10" s="1"/>
  <c r="F1385" i="10" a="1"/>
  <c r="F1385" i="10" s="1"/>
  <c r="F1384" i="10" a="1"/>
  <c r="F1384" i="10" s="1"/>
  <c r="F1383" i="10" a="1"/>
  <c r="F1383" i="10" s="1"/>
  <c r="F1382" i="10" a="1"/>
  <c r="F1382" i="10" s="1"/>
  <c r="F1381" i="10" a="1"/>
  <c r="F1381" i="10" s="1"/>
  <c r="F1380" i="10" a="1"/>
  <c r="F1380" i="10" s="1"/>
  <c r="F1379" i="10" a="1"/>
  <c r="F1379" i="10" s="1"/>
  <c r="F1378" i="10" a="1"/>
  <c r="F1378" i="10" s="1"/>
  <c r="F1377" i="10" a="1"/>
  <c r="F1377" i="10" s="1"/>
  <c r="F1376" i="10" a="1"/>
  <c r="F1376" i="10" s="1"/>
  <c r="F1375" i="10" a="1"/>
  <c r="F1375" i="10" s="1"/>
  <c r="F1374" i="10" a="1"/>
  <c r="F1374" i="10" s="1"/>
  <c r="F1373" i="10" a="1"/>
  <c r="F1373" i="10" s="1"/>
  <c r="F1372" i="10" a="1"/>
  <c r="F1372" i="10" s="1"/>
  <c r="F1371" i="10" a="1"/>
  <c r="F1371" i="10" s="1"/>
  <c r="F1370" i="10" a="1"/>
  <c r="F1370" i="10" s="1"/>
  <c r="F1369" i="10" a="1"/>
  <c r="F1369" i="10" s="1"/>
  <c r="F1368" i="10" a="1"/>
  <c r="F1368" i="10" s="1"/>
  <c r="F1367" i="10" a="1"/>
  <c r="F1367" i="10" s="1"/>
  <c r="F1366" i="10" a="1"/>
  <c r="F1366" i="10" s="1"/>
  <c r="F1365" i="10" a="1"/>
  <c r="F1365" i="10" s="1"/>
  <c r="F1364" i="10" a="1"/>
  <c r="F1364" i="10" s="1"/>
  <c r="F1363" i="10" a="1"/>
  <c r="F1363" i="10" s="1"/>
  <c r="F1362" i="10" a="1"/>
  <c r="F1362" i="10" s="1"/>
  <c r="F1361" i="10" a="1"/>
  <c r="F1361" i="10" s="1"/>
  <c r="F1360" i="10" a="1"/>
  <c r="F1360" i="10" s="1"/>
  <c r="F1359" i="10" a="1"/>
  <c r="F1359" i="10" s="1"/>
  <c r="F1358" i="10" a="1"/>
  <c r="F1358" i="10" s="1"/>
  <c r="F1357" i="10" a="1"/>
  <c r="F1357" i="10" s="1"/>
  <c r="F1356" i="10" a="1"/>
  <c r="F1356" i="10" s="1"/>
  <c r="F1355" i="10" a="1"/>
  <c r="F1355" i="10" s="1"/>
  <c r="F1354" i="10" a="1"/>
  <c r="F1354" i="10" s="1"/>
  <c r="F1353" i="10" a="1"/>
  <c r="F1353" i="10" s="1"/>
  <c r="F1352" i="10" a="1"/>
  <c r="F1352" i="10" s="1"/>
  <c r="F1351" i="10" a="1"/>
  <c r="F1351" i="10" s="1"/>
  <c r="F1350" i="10" a="1"/>
  <c r="F1350" i="10" s="1"/>
  <c r="F1349" i="10" a="1"/>
  <c r="F1349" i="10" s="1"/>
  <c r="F1348" i="10" a="1"/>
  <c r="F1348" i="10" s="1"/>
  <c r="F1347" i="10" a="1"/>
  <c r="F1347" i="10" s="1"/>
  <c r="F1346" i="10" a="1"/>
  <c r="F1346" i="10" s="1"/>
  <c r="F1345" i="10" a="1"/>
  <c r="F1345" i="10" s="1"/>
  <c r="F1344" i="10" a="1"/>
  <c r="F1344" i="10" s="1"/>
  <c r="F1343" i="10" a="1"/>
  <c r="F1343" i="10" s="1"/>
  <c r="F1342" i="10" a="1"/>
  <c r="F1342" i="10" s="1"/>
  <c r="F1341" i="10" a="1"/>
  <c r="F1341" i="10" s="1"/>
  <c r="F1340" i="10" a="1"/>
  <c r="F1340" i="10" s="1"/>
  <c r="F1339" i="10" a="1"/>
  <c r="F1339" i="10" s="1"/>
  <c r="F1338" i="10" a="1"/>
  <c r="F1338" i="10" s="1"/>
  <c r="F1337" i="10" a="1"/>
  <c r="F1337" i="10" s="1"/>
  <c r="F1336" i="10" a="1"/>
  <c r="F1336" i="10" s="1"/>
  <c r="F1335" i="10" a="1"/>
  <c r="F1335" i="10" s="1"/>
  <c r="F1334" i="10" a="1"/>
  <c r="F1334" i="10" s="1"/>
  <c r="F1333" i="10" a="1"/>
  <c r="F1333" i="10" s="1"/>
  <c r="F1332" i="10" a="1"/>
  <c r="F1332" i="10" s="1"/>
  <c r="F1331" i="10" a="1"/>
  <c r="F1331" i="10" s="1"/>
  <c r="F1330" i="10" a="1"/>
  <c r="F1330" i="10" s="1"/>
  <c r="F1329" i="10" a="1"/>
  <c r="F1329" i="10" s="1"/>
  <c r="F1328" i="10" a="1"/>
  <c r="F1328" i="10" s="1"/>
  <c r="F1327" i="10" a="1"/>
  <c r="F1327" i="10" s="1"/>
  <c r="F1326" i="10" a="1"/>
  <c r="F1326" i="10" s="1"/>
  <c r="F1325" i="10" a="1"/>
  <c r="F1325" i="10" s="1"/>
  <c r="F1324" i="10" a="1"/>
  <c r="F1324" i="10" s="1"/>
  <c r="F1323" i="10" a="1"/>
  <c r="F1323" i="10" s="1"/>
  <c r="F1322" i="10" a="1"/>
  <c r="F1322" i="10" s="1"/>
  <c r="F1321" i="10" a="1"/>
  <c r="F1321" i="10" s="1"/>
  <c r="F1320" i="10" a="1"/>
  <c r="F1320" i="10" s="1"/>
  <c r="F1319" i="10" a="1"/>
  <c r="F1319" i="10" s="1"/>
  <c r="F1318" i="10" a="1"/>
  <c r="F1318" i="10" s="1"/>
  <c r="F1317" i="10" a="1"/>
  <c r="F1317" i="10" s="1"/>
  <c r="F1316" i="10" a="1"/>
  <c r="F1316" i="10" s="1"/>
  <c r="F1315" i="10" a="1"/>
  <c r="F1315" i="10" s="1"/>
  <c r="F1314" i="10" a="1"/>
  <c r="F1314" i="10" s="1"/>
  <c r="F1313" i="10" a="1"/>
  <c r="F1313" i="10" s="1"/>
  <c r="F1312" i="10" a="1"/>
  <c r="F1312" i="10" s="1"/>
  <c r="F1311" i="10" a="1"/>
  <c r="F1311" i="10" s="1"/>
  <c r="F1310" i="10" a="1"/>
  <c r="F1310" i="10" s="1"/>
  <c r="F1309" i="10" a="1"/>
  <c r="F1309" i="10" s="1"/>
  <c r="F1308" i="10" a="1"/>
  <c r="F1308" i="10" s="1"/>
  <c r="F1307" i="10" a="1"/>
  <c r="F1307" i="10" s="1"/>
  <c r="F1306" i="10" a="1"/>
  <c r="F1306" i="10" s="1"/>
  <c r="F1305" i="10" a="1"/>
  <c r="F1305" i="10" s="1"/>
  <c r="F1304" i="10" a="1"/>
  <c r="F1304" i="10" s="1"/>
  <c r="F1303" i="10" a="1"/>
  <c r="F1303" i="10" s="1"/>
  <c r="F1302" i="10" a="1"/>
  <c r="F1302" i="10" s="1"/>
  <c r="F1301" i="10" a="1"/>
  <c r="F1301" i="10" s="1"/>
  <c r="F1300" i="10" a="1"/>
  <c r="F1300" i="10" s="1"/>
  <c r="F1299" i="10" a="1"/>
  <c r="F1299" i="10" s="1"/>
  <c r="F1298" i="10" a="1"/>
  <c r="F1298" i="10" s="1"/>
  <c r="F1297" i="10" a="1"/>
  <c r="F1297" i="10" s="1"/>
  <c r="F1296" i="10" a="1"/>
  <c r="F1296" i="10" s="1"/>
  <c r="F1295" i="10" a="1"/>
  <c r="F1295" i="10" s="1"/>
  <c r="F1294" i="10" a="1"/>
  <c r="F1294" i="10" s="1"/>
  <c r="F1293" i="10" a="1"/>
  <c r="F1293" i="10" s="1"/>
  <c r="F1292" i="10" a="1"/>
  <c r="F1292" i="10" s="1"/>
  <c r="F1291" i="10" a="1"/>
  <c r="F1291" i="10" s="1"/>
  <c r="F1290" i="10" a="1"/>
  <c r="F1290" i="10" s="1"/>
  <c r="F1289" i="10" a="1"/>
  <c r="F1289" i="10" s="1"/>
  <c r="F1288" i="10" a="1"/>
  <c r="F1288" i="10" s="1"/>
  <c r="F1287" i="10" a="1"/>
  <c r="F1287" i="10" s="1"/>
  <c r="F1286" i="10" a="1"/>
  <c r="F1286" i="10" s="1"/>
  <c r="F1285" i="10" a="1"/>
  <c r="F1285" i="10" s="1"/>
  <c r="F1284" i="10" a="1"/>
  <c r="F1284" i="10" s="1"/>
  <c r="F1283" i="10" a="1"/>
  <c r="F1283" i="10" s="1"/>
  <c r="F1282" i="10" a="1"/>
  <c r="F1282" i="10" s="1"/>
  <c r="F1281" i="10" a="1"/>
  <c r="F1281" i="10" s="1"/>
  <c r="F1280" i="10" a="1"/>
  <c r="F1280" i="10" s="1"/>
  <c r="F1279" i="10" a="1"/>
  <c r="F1279" i="10" s="1"/>
  <c r="F1278" i="10" a="1"/>
  <c r="F1278" i="10" s="1"/>
  <c r="F1277" i="10" a="1"/>
  <c r="F1277" i="10" s="1"/>
  <c r="F1276" i="10" a="1"/>
  <c r="F1276" i="10" s="1"/>
  <c r="F1275" i="10" a="1"/>
  <c r="F1275" i="10" s="1"/>
  <c r="F1274" i="10" a="1"/>
  <c r="F1274" i="10" s="1"/>
  <c r="F1273" i="10" a="1"/>
  <c r="F1273" i="10" s="1"/>
  <c r="F1272" i="10" a="1"/>
  <c r="F1272" i="10" s="1"/>
  <c r="F1271" i="10" a="1"/>
  <c r="F1271" i="10" s="1"/>
  <c r="F1270" i="10" a="1"/>
  <c r="F1270" i="10" s="1"/>
  <c r="F1269" i="10" a="1"/>
  <c r="F1269" i="10" s="1"/>
  <c r="F1268" i="10" a="1"/>
  <c r="F1268" i="10" s="1"/>
  <c r="F1267" i="10" a="1"/>
  <c r="F1267" i="10" s="1"/>
  <c r="F1266" i="10" a="1"/>
  <c r="F1266" i="10" s="1"/>
  <c r="F1265" i="10" a="1"/>
  <c r="F1265" i="10" s="1"/>
  <c r="F1264" i="10" a="1"/>
  <c r="F1264" i="10" s="1"/>
  <c r="F1263" i="10" a="1"/>
  <c r="F1263" i="10" s="1"/>
  <c r="F1262" i="10" a="1"/>
  <c r="F1262" i="10" s="1"/>
  <c r="F1261" i="10" a="1"/>
  <c r="F1261" i="10" s="1"/>
  <c r="F1260" i="10" a="1"/>
  <c r="F1260" i="10" s="1"/>
  <c r="F1259" i="10" a="1"/>
  <c r="F1259" i="10" s="1"/>
  <c r="F1258" i="10" a="1"/>
  <c r="F1258" i="10" s="1"/>
  <c r="F1257" i="10" a="1"/>
  <c r="F1257" i="10" s="1"/>
  <c r="F1256" i="10" a="1"/>
  <c r="F1256" i="10" s="1"/>
  <c r="F1255" i="10" a="1"/>
  <c r="F1255" i="10" s="1"/>
  <c r="F1254" i="10" a="1"/>
  <c r="F1254" i="10" s="1"/>
  <c r="F1253" i="10" a="1"/>
  <c r="F1253" i="10" s="1"/>
  <c r="F1252" i="10" a="1"/>
  <c r="F1252" i="10" s="1"/>
  <c r="F1251" i="10" a="1"/>
  <c r="F1251" i="10" s="1"/>
  <c r="F1250" i="10" a="1"/>
  <c r="F1250" i="10" s="1"/>
  <c r="F1249" i="10" a="1"/>
  <c r="F1249" i="10" s="1"/>
  <c r="F1248" i="10" a="1"/>
  <c r="F1248" i="10" s="1"/>
  <c r="F1247" i="10" a="1"/>
  <c r="F1247" i="10" s="1"/>
  <c r="F1246" i="10" a="1"/>
  <c r="F1246" i="10" s="1"/>
  <c r="F1245" i="10" a="1"/>
  <c r="F1245" i="10" s="1"/>
  <c r="F1244" i="10" a="1"/>
  <c r="F1244" i="10" s="1"/>
  <c r="F1243" i="10" a="1"/>
  <c r="F1243" i="10" s="1"/>
  <c r="F1242" i="10" a="1"/>
  <c r="F1242" i="10" s="1"/>
  <c r="F1241" i="10" a="1"/>
  <c r="F1241" i="10" s="1"/>
  <c r="F1240" i="10" a="1"/>
  <c r="F1240" i="10" s="1"/>
  <c r="F1239" i="10" a="1"/>
  <c r="F1239" i="10" s="1"/>
  <c r="F1238" i="10" a="1"/>
  <c r="F1238" i="10" s="1"/>
  <c r="F1237" i="10" a="1"/>
  <c r="F1237" i="10" s="1"/>
  <c r="F1236" i="10" a="1"/>
  <c r="F1236" i="10" s="1"/>
  <c r="F1235" i="10" a="1"/>
  <c r="F1235" i="10" s="1"/>
  <c r="F1234" i="10" a="1"/>
  <c r="F1234" i="10" s="1"/>
  <c r="F1233" i="10" a="1"/>
  <c r="F1233" i="10" s="1"/>
  <c r="F1232" i="10" a="1"/>
  <c r="F1232" i="10" s="1"/>
  <c r="F1231" i="10" a="1"/>
  <c r="F1231" i="10" s="1"/>
  <c r="F1230" i="10" a="1"/>
  <c r="F1230" i="10" s="1"/>
  <c r="F1229" i="10" a="1"/>
  <c r="F1229" i="10" s="1"/>
  <c r="F1228" i="10" a="1"/>
  <c r="F1228" i="10" s="1"/>
  <c r="F1227" i="10" a="1"/>
  <c r="F1227" i="10" s="1"/>
  <c r="F1226" i="10" a="1"/>
  <c r="F1226" i="10" s="1"/>
  <c r="F1225" i="10" a="1"/>
  <c r="F1225" i="10" s="1"/>
  <c r="F1224" i="10" a="1"/>
  <c r="F1224" i="10" s="1"/>
  <c r="F1223" i="10" a="1"/>
  <c r="F1223" i="10" s="1"/>
  <c r="F1222" i="10" a="1"/>
  <c r="F1222" i="10" s="1"/>
  <c r="F1221" i="10" a="1"/>
  <c r="F1221" i="10" s="1"/>
  <c r="F1220" i="10" a="1"/>
  <c r="F1220" i="10" s="1"/>
  <c r="F1219" i="10" a="1"/>
  <c r="F1219" i="10" s="1"/>
  <c r="F1218" i="10" a="1"/>
  <c r="F1218" i="10" s="1"/>
  <c r="F1217" i="10" a="1"/>
  <c r="F1217" i="10" s="1"/>
  <c r="F1216" i="10" a="1"/>
  <c r="F1216" i="10" s="1"/>
  <c r="F1215" i="10" a="1"/>
  <c r="F1215" i="10" s="1"/>
  <c r="F1214" i="10" a="1"/>
  <c r="F1214" i="10" s="1"/>
  <c r="F1213" i="10" a="1"/>
  <c r="F1213" i="10" s="1"/>
  <c r="F1212" i="10" a="1"/>
  <c r="F1212" i="10" s="1"/>
  <c r="F1211" i="10" a="1"/>
  <c r="F1211" i="10" s="1"/>
  <c r="F1210" i="10" a="1"/>
  <c r="F1210" i="10" s="1"/>
  <c r="F1209" i="10" a="1"/>
  <c r="F1209" i="10" s="1"/>
  <c r="F1208" i="10" a="1"/>
  <c r="F1208" i="10" s="1"/>
  <c r="F1207" i="10" a="1"/>
  <c r="F1207" i="10" s="1"/>
  <c r="F1206" i="10" a="1"/>
  <c r="F1206" i="10" s="1"/>
  <c r="F1205" i="10" a="1"/>
  <c r="F1205" i="10" s="1"/>
  <c r="F1204" i="10" a="1"/>
  <c r="F1204" i="10" s="1"/>
  <c r="F1203" i="10" a="1"/>
  <c r="F1203" i="10" s="1"/>
  <c r="F1202" i="10" a="1"/>
  <c r="F1202" i="10" s="1"/>
  <c r="F1201" i="10" a="1"/>
  <c r="F1201" i="10" s="1"/>
  <c r="F1200" i="10" a="1"/>
  <c r="F1200" i="10" s="1"/>
  <c r="F1199" i="10" a="1"/>
  <c r="F1199" i="10" s="1"/>
  <c r="F1198" i="10" a="1"/>
  <c r="F1198" i="10" s="1"/>
  <c r="F1197" i="10" a="1"/>
  <c r="F1197" i="10" s="1"/>
  <c r="F1196" i="10" a="1"/>
  <c r="F1196" i="10" s="1"/>
  <c r="F1195" i="10" a="1"/>
  <c r="F1195" i="10" s="1"/>
  <c r="F1194" i="10" a="1"/>
  <c r="F1194" i="10" s="1"/>
  <c r="F1193" i="10" a="1"/>
  <c r="F1193" i="10" s="1"/>
  <c r="F1192" i="10" a="1"/>
  <c r="F1192" i="10" s="1"/>
  <c r="F1191" i="10" a="1"/>
  <c r="F1191" i="10" s="1"/>
  <c r="F1190" i="10" a="1"/>
  <c r="F1190" i="10" s="1"/>
  <c r="F1189" i="10" a="1"/>
  <c r="F1189" i="10" s="1"/>
  <c r="F1188" i="10" a="1"/>
  <c r="F1188" i="10" s="1"/>
  <c r="F1187" i="10" a="1"/>
  <c r="F1187" i="10" s="1"/>
  <c r="F1186" i="10" a="1"/>
  <c r="F1186" i="10" s="1"/>
  <c r="F1185" i="10" a="1"/>
  <c r="F1185" i="10" s="1"/>
  <c r="F1184" i="10" a="1"/>
  <c r="F1184" i="10" s="1"/>
  <c r="F1183" i="10" a="1"/>
  <c r="F1183" i="10" s="1"/>
  <c r="F1182" i="10" a="1"/>
  <c r="F1182" i="10" s="1"/>
  <c r="F1181" i="10" a="1"/>
  <c r="F1181" i="10" s="1"/>
  <c r="F1180" i="10" a="1"/>
  <c r="F1180" i="10" s="1"/>
  <c r="F1179" i="10" a="1"/>
  <c r="F1179" i="10" s="1"/>
  <c r="F1178" i="10" a="1"/>
  <c r="F1178" i="10" s="1"/>
  <c r="F1177" i="10" a="1"/>
  <c r="F1177" i="10" s="1"/>
  <c r="F1176" i="10" a="1"/>
  <c r="F1176" i="10" s="1"/>
  <c r="F1175" i="10" a="1"/>
  <c r="F1175" i="10" s="1"/>
  <c r="F1174" i="10" a="1"/>
  <c r="F1174" i="10" s="1"/>
  <c r="F1173" i="10" a="1"/>
  <c r="F1173" i="10" s="1"/>
  <c r="F1172" i="10" a="1"/>
  <c r="F1172" i="10" s="1"/>
  <c r="F1171" i="10" a="1"/>
  <c r="F1171" i="10" s="1"/>
  <c r="F1170" i="10" a="1"/>
  <c r="F1170" i="10" s="1"/>
  <c r="F1169" i="10" a="1"/>
  <c r="F1169" i="10" s="1"/>
  <c r="F1168" i="10" a="1"/>
  <c r="F1168" i="10" s="1"/>
  <c r="F1167" i="10" a="1"/>
  <c r="F1167" i="10" s="1"/>
  <c r="F1166" i="10" a="1"/>
  <c r="F1166" i="10" s="1"/>
  <c r="F1165" i="10" a="1"/>
  <c r="F1165" i="10" s="1"/>
  <c r="F1164" i="10" a="1"/>
  <c r="F1164" i="10" s="1"/>
  <c r="F1163" i="10" a="1"/>
  <c r="F1163" i="10" s="1"/>
  <c r="F1162" i="10" a="1"/>
  <c r="F1162" i="10" s="1"/>
  <c r="F1161" i="10" a="1"/>
  <c r="F1161" i="10" s="1"/>
  <c r="F1160" i="10" a="1"/>
  <c r="F1160" i="10" s="1"/>
  <c r="F1159" i="10" a="1"/>
  <c r="F1159" i="10" s="1"/>
  <c r="F1158" i="10" a="1"/>
  <c r="F1158" i="10" s="1"/>
  <c r="F1157" i="10" a="1"/>
  <c r="F1157" i="10" s="1"/>
  <c r="F1156" i="10" a="1"/>
  <c r="F1156" i="10" s="1"/>
  <c r="F1155" i="10" a="1"/>
  <c r="F1155" i="10" s="1"/>
  <c r="F1154" i="10" a="1"/>
  <c r="F1154" i="10" s="1"/>
  <c r="F1153" i="10" a="1"/>
  <c r="F1153" i="10" s="1"/>
  <c r="F1152" i="10" a="1"/>
  <c r="F1152" i="10" s="1"/>
  <c r="F1151" i="10" a="1"/>
  <c r="F1151" i="10" s="1"/>
  <c r="F1150" i="10" a="1"/>
  <c r="F1150" i="10" s="1"/>
  <c r="F1149" i="10" a="1"/>
  <c r="F1149" i="10" s="1"/>
  <c r="F1148" i="10" a="1"/>
  <c r="F1148" i="10" s="1"/>
  <c r="F1147" i="10" a="1"/>
  <c r="F1147" i="10" s="1"/>
  <c r="F1146" i="10" a="1"/>
  <c r="F1146" i="10" s="1"/>
  <c r="F1145" i="10" a="1"/>
  <c r="F1145" i="10" s="1"/>
  <c r="F1144" i="10" a="1"/>
  <c r="F1144" i="10" s="1"/>
  <c r="F1143" i="10" a="1"/>
  <c r="F1143" i="10" s="1"/>
  <c r="F1142" i="10" a="1"/>
  <c r="F1142" i="10" s="1"/>
  <c r="F1141" i="10" a="1"/>
  <c r="F1141" i="10" s="1"/>
  <c r="F1140" i="10" a="1"/>
  <c r="F1140" i="10" s="1"/>
  <c r="F1139" i="10" a="1"/>
  <c r="F1139" i="10" s="1"/>
  <c r="F1138" i="10" a="1"/>
  <c r="F1138" i="10" s="1"/>
  <c r="F1137" i="10" a="1"/>
  <c r="F1137" i="10" s="1"/>
  <c r="F1136" i="10" a="1"/>
  <c r="F1136" i="10" s="1"/>
  <c r="F1135" i="10" a="1"/>
  <c r="F1135" i="10" s="1"/>
  <c r="F1134" i="10" a="1"/>
  <c r="F1134" i="10" s="1"/>
  <c r="F1133" i="10" a="1"/>
  <c r="F1133" i="10" s="1"/>
  <c r="F1132" i="10" a="1"/>
  <c r="F1132" i="10" s="1"/>
  <c r="F1131" i="10" a="1"/>
  <c r="F1131" i="10" s="1"/>
  <c r="F1130" i="10" a="1"/>
  <c r="F1130" i="10" s="1"/>
  <c r="F1129" i="10" a="1"/>
  <c r="F1129" i="10" s="1"/>
  <c r="F1128" i="10" a="1"/>
  <c r="F1128" i="10" s="1"/>
  <c r="F1127" i="10" a="1"/>
  <c r="F1127" i="10" s="1"/>
  <c r="F1126" i="10" a="1"/>
  <c r="F1126" i="10" s="1"/>
  <c r="F1125" i="10" a="1"/>
  <c r="F1125" i="10" s="1"/>
  <c r="F1124" i="10" a="1"/>
  <c r="F1124" i="10" s="1"/>
  <c r="F1123" i="10" a="1"/>
  <c r="F1123" i="10" s="1"/>
  <c r="F1122" i="10" a="1"/>
  <c r="F1122" i="10" s="1"/>
  <c r="F1121" i="10" a="1"/>
  <c r="F1121" i="10" s="1"/>
  <c r="F1120" i="10" a="1"/>
  <c r="F1120" i="10" s="1"/>
  <c r="F1119" i="10" a="1"/>
  <c r="F1119" i="10" s="1"/>
  <c r="F1118" i="10" a="1"/>
  <c r="F1118" i="10" s="1"/>
  <c r="F1117" i="10" a="1"/>
  <c r="F1117" i="10" s="1"/>
  <c r="F1116" i="10" a="1"/>
  <c r="F1116" i="10" s="1"/>
  <c r="F1115" i="10" a="1"/>
  <c r="F1115" i="10" s="1"/>
  <c r="F1114" i="10" a="1"/>
  <c r="F1114" i="10" s="1"/>
  <c r="F1113" i="10" a="1"/>
  <c r="F1113" i="10" s="1"/>
  <c r="F1112" i="10" a="1"/>
  <c r="F1112" i="10" s="1"/>
  <c r="F1111" i="10" a="1"/>
  <c r="F1111" i="10" s="1"/>
  <c r="F1110" i="10" a="1"/>
  <c r="F1110" i="10" s="1"/>
  <c r="F1109" i="10" a="1"/>
  <c r="F1109" i="10" s="1"/>
  <c r="F1108" i="10" a="1"/>
  <c r="F1108" i="10" s="1"/>
  <c r="F1107" i="10" a="1"/>
  <c r="F1107" i="10" s="1"/>
  <c r="F1106" i="10" a="1"/>
  <c r="F1106" i="10" s="1"/>
  <c r="F1105" i="10" a="1"/>
  <c r="F1105" i="10" s="1"/>
  <c r="F1104" i="10" a="1"/>
  <c r="F1104" i="10" s="1"/>
  <c r="F1103" i="10" a="1"/>
  <c r="F1103" i="10" s="1"/>
  <c r="F1102" i="10" a="1"/>
  <c r="F1102" i="10" s="1"/>
  <c r="F1101" i="10" a="1"/>
  <c r="F1101" i="10" s="1"/>
  <c r="F1100" i="10" a="1"/>
  <c r="F1100" i="10" s="1"/>
  <c r="F1099" i="10" a="1"/>
  <c r="F1099" i="10" s="1"/>
  <c r="F1098" i="10" a="1"/>
  <c r="F1098" i="10" s="1"/>
  <c r="F1097" i="10" a="1"/>
  <c r="F1097" i="10" s="1"/>
  <c r="F1096" i="10" a="1"/>
  <c r="F1096" i="10" s="1"/>
  <c r="F1095" i="10" a="1"/>
  <c r="F1095" i="10" s="1"/>
  <c r="F1094" i="10" a="1"/>
  <c r="F1094" i="10" s="1"/>
  <c r="F1093" i="10" a="1"/>
  <c r="F1093" i="10" s="1"/>
  <c r="F1092" i="10" a="1"/>
  <c r="F1092" i="10" s="1"/>
  <c r="F1091" i="10" a="1"/>
  <c r="F1091" i="10" s="1"/>
  <c r="F1090" i="10" a="1"/>
  <c r="F1090" i="10" s="1"/>
  <c r="F1089" i="10" a="1"/>
  <c r="F1089" i="10" s="1"/>
  <c r="F1088" i="10" a="1"/>
  <c r="F1088" i="10" s="1"/>
  <c r="F1087" i="10" a="1"/>
  <c r="F1087" i="10" s="1"/>
  <c r="F1086" i="10" a="1"/>
  <c r="F1086" i="10" s="1"/>
  <c r="F1085" i="10" a="1"/>
  <c r="F1085" i="10" s="1"/>
  <c r="F1084" i="10" a="1"/>
  <c r="F1084" i="10" s="1"/>
  <c r="F1083" i="10" a="1"/>
  <c r="F1083" i="10" s="1"/>
  <c r="F1082" i="10" a="1"/>
  <c r="F1082" i="10" s="1"/>
  <c r="F1081" i="10" a="1"/>
  <c r="F1081" i="10" s="1"/>
  <c r="F1080" i="10" a="1"/>
  <c r="F1080" i="10" s="1"/>
  <c r="F1079" i="10" a="1"/>
  <c r="F1079" i="10" s="1"/>
  <c r="F1078" i="10" a="1"/>
  <c r="F1078" i="10" s="1"/>
  <c r="F1077" i="10" a="1"/>
  <c r="F1077" i="10" s="1"/>
  <c r="F1076" i="10" a="1"/>
  <c r="F1076" i="10" s="1"/>
  <c r="F1075" i="10" a="1"/>
  <c r="F1075" i="10" s="1"/>
  <c r="F1074" i="10" a="1"/>
  <c r="F1074" i="10" s="1"/>
  <c r="F1073" i="10" a="1"/>
  <c r="F1073" i="10" s="1"/>
  <c r="F1072" i="10" a="1"/>
  <c r="F1072" i="10" s="1"/>
  <c r="F1071" i="10" a="1"/>
  <c r="F1071" i="10" s="1"/>
  <c r="F1070" i="10" a="1"/>
  <c r="F1070" i="10" s="1"/>
  <c r="F1069" i="10" a="1"/>
  <c r="F1069" i="10" s="1"/>
  <c r="F1068" i="10" a="1"/>
  <c r="F1068" i="10" s="1"/>
  <c r="F1067" i="10" a="1"/>
  <c r="F1067" i="10" s="1"/>
  <c r="F1066" i="10" a="1"/>
  <c r="F1066" i="10" s="1"/>
  <c r="F1065" i="10" a="1"/>
  <c r="F1065" i="10" s="1"/>
  <c r="F1064" i="10" a="1"/>
  <c r="F1064" i="10" s="1"/>
  <c r="F1063" i="10" a="1"/>
  <c r="F1063" i="10" s="1"/>
  <c r="F1062" i="10" a="1"/>
  <c r="F1062" i="10" s="1"/>
  <c r="F1061" i="10" a="1"/>
  <c r="F1061" i="10" s="1"/>
  <c r="F1060" i="10" a="1"/>
  <c r="F1060" i="10" s="1"/>
  <c r="F1059" i="10" a="1"/>
  <c r="F1059" i="10" s="1"/>
  <c r="F1058" i="10" a="1"/>
  <c r="F1058" i="10" s="1"/>
  <c r="F1057" i="10" a="1"/>
  <c r="F1057" i="10" s="1"/>
  <c r="F1056" i="10" a="1"/>
  <c r="F1056" i="10" s="1"/>
  <c r="F1055" i="10" a="1"/>
  <c r="F1055" i="10" s="1"/>
  <c r="F1054" i="10" a="1"/>
  <c r="F1054" i="10" s="1"/>
  <c r="F1053" i="10" a="1"/>
  <c r="F1053" i="10" s="1"/>
  <c r="F1052" i="10" a="1"/>
  <c r="F1052" i="10" s="1"/>
  <c r="F1051" i="10" a="1"/>
  <c r="F1051" i="10" s="1"/>
  <c r="F1050" i="10" a="1"/>
  <c r="F1050" i="10" s="1"/>
  <c r="F1049" i="10" a="1"/>
  <c r="F1049" i="10" s="1"/>
  <c r="F1048" i="10" a="1"/>
  <c r="F1048" i="10" s="1"/>
  <c r="F1047" i="10" a="1"/>
  <c r="F1047" i="10" s="1"/>
  <c r="F1046" i="10" a="1"/>
  <c r="F1046" i="10" s="1"/>
  <c r="F1045" i="10" a="1"/>
  <c r="F1045" i="10" s="1"/>
  <c r="F1044" i="10" a="1"/>
  <c r="F1044" i="10" s="1"/>
  <c r="F1043" i="10" a="1"/>
  <c r="F1043" i="10" s="1"/>
  <c r="F1042" i="10" a="1"/>
  <c r="F1042" i="10" s="1"/>
  <c r="F1041" i="10" a="1"/>
  <c r="F1041" i="10" s="1"/>
  <c r="F1040" i="10" a="1"/>
  <c r="F1040" i="10" s="1"/>
  <c r="F1039" i="10" a="1"/>
  <c r="F1039" i="10" s="1"/>
  <c r="F1038" i="10" a="1"/>
  <c r="F1038" i="10" s="1"/>
  <c r="F1037" i="10" a="1"/>
  <c r="F1037" i="10" s="1"/>
  <c r="F1036" i="10" a="1"/>
  <c r="F1036" i="10" s="1"/>
  <c r="F1035" i="10" a="1"/>
  <c r="F1035" i="10" s="1"/>
  <c r="F1034" i="10" a="1"/>
  <c r="F1034" i="10" s="1"/>
  <c r="F1033" i="10" a="1"/>
  <c r="F1033" i="10" s="1"/>
  <c r="F1032" i="10" a="1"/>
  <c r="F1032" i="10" s="1"/>
  <c r="F1031" i="10" a="1"/>
  <c r="F1031" i="10" s="1"/>
  <c r="F1030" i="10" a="1"/>
  <c r="F1030" i="10" s="1"/>
  <c r="F1029" i="10" a="1"/>
  <c r="F1029" i="10" s="1"/>
  <c r="F1028" i="10" a="1"/>
  <c r="F1028" i="10" s="1"/>
  <c r="F1027" i="10" a="1"/>
  <c r="F1027" i="10" s="1"/>
  <c r="F1026" i="10" a="1"/>
  <c r="F1026" i="10" s="1"/>
  <c r="F1025" i="10" a="1"/>
  <c r="F1025" i="10" s="1"/>
  <c r="F1024" i="10" a="1"/>
  <c r="F1024" i="10" s="1"/>
  <c r="F1023" i="10" a="1"/>
  <c r="F1023" i="10" s="1"/>
  <c r="F1022" i="10" a="1"/>
  <c r="F1022" i="10" s="1"/>
  <c r="F1021" i="10" a="1"/>
  <c r="F1021" i="10" s="1"/>
  <c r="F1020" i="10" a="1"/>
  <c r="F1020" i="10" s="1"/>
  <c r="F1019" i="10" a="1"/>
  <c r="F1019" i="10" s="1"/>
  <c r="F1018" i="10" a="1"/>
  <c r="F1018" i="10" s="1"/>
  <c r="F1017" i="10" a="1"/>
  <c r="F1017" i="10" s="1"/>
  <c r="F1016" i="10" a="1"/>
  <c r="F1016" i="10" s="1"/>
  <c r="F1015" i="10" a="1"/>
  <c r="F1015" i="10" s="1"/>
  <c r="F1014" i="10" a="1"/>
  <c r="F1014" i="10" s="1"/>
  <c r="F1013" i="10" a="1"/>
  <c r="F1013" i="10" s="1"/>
  <c r="F1012" i="10" a="1"/>
  <c r="F1012" i="10" s="1"/>
  <c r="F1011" i="10" a="1"/>
  <c r="F1011" i="10" s="1"/>
  <c r="F1010" i="10" a="1"/>
  <c r="F1010" i="10" s="1"/>
  <c r="F1009" i="10" a="1"/>
  <c r="F1009" i="10" s="1"/>
  <c r="F1008" i="10" a="1"/>
  <c r="F1008" i="10" s="1"/>
  <c r="F1007" i="10" a="1"/>
  <c r="F1007" i="10" s="1"/>
  <c r="F1006" i="10" a="1"/>
  <c r="F1006" i="10" s="1"/>
  <c r="F1005" i="10" a="1"/>
  <c r="F1005" i="10" s="1"/>
  <c r="F1004" i="10" a="1"/>
  <c r="F1004" i="10" s="1"/>
  <c r="F1003" i="10" a="1"/>
  <c r="F1003" i="10" s="1"/>
  <c r="F1002" i="10" a="1"/>
  <c r="F1002" i="10" s="1"/>
  <c r="F1001" i="10" a="1"/>
  <c r="F1001" i="10" s="1"/>
  <c r="F1000" i="10" a="1"/>
  <c r="F1000" i="10" s="1"/>
  <c r="F999" i="10" a="1"/>
  <c r="F999" i="10" s="1"/>
  <c r="F998" i="10" a="1"/>
  <c r="F998" i="10" s="1"/>
  <c r="F997" i="10" a="1"/>
  <c r="F997" i="10" s="1"/>
  <c r="F996" i="10" a="1"/>
  <c r="F996" i="10" s="1"/>
  <c r="F995" i="10" a="1"/>
  <c r="F995" i="10" s="1"/>
  <c r="F994" i="10" a="1"/>
  <c r="F994" i="10" s="1"/>
  <c r="F993" i="10" a="1"/>
  <c r="F993" i="10" s="1"/>
  <c r="F992" i="10" a="1"/>
  <c r="F992" i="10" s="1"/>
  <c r="F991" i="10" a="1"/>
  <c r="F991" i="10" s="1"/>
  <c r="F990" i="10" a="1"/>
  <c r="F990" i="10" s="1"/>
  <c r="F989" i="10" a="1"/>
  <c r="F989" i="10" s="1"/>
  <c r="F988" i="10" a="1"/>
  <c r="F988" i="10" s="1"/>
  <c r="F987" i="10" a="1"/>
  <c r="F987" i="10" s="1"/>
  <c r="F986" i="10" a="1"/>
  <c r="F986" i="10" s="1"/>
  <c r="F985" i="10" a="1"/>
  <c r="F985" i="10" s="1"/>
  <c r="F984" i="10" a="1"/>
  <c r="F984" i="10" s="1"/>
  <c r="F983" i="10" a="1"/>
  <c r="F983" i="10" s="1"/>
  <c r="F982" i="10" a="1"/>
  <c r="F982" i="10" s="1"/>
  <c r="F981" i="10" a="1"/>
  <c r="F981" i="10" s="1"/>
  <c r="F980" i="10" a="1"/>
  <c r="F980" i="10" s="1"/>
  <c r="F979" i="10" a="1"/>
  <c r="F979" i="10" s="1"/>
  <c r="F978" i="10" a="1"/>
  <c r="F978" i="10" s="1"/>
  <c r="F977" i="10" a="1"/>
  <c r="F977" i="10" s="1"/>
  <c r="F976" i="10" a="1"/>
  <c r="F976" i="10" s="1"/>
  <c r="F975" i="10" a="1"/>
  <c r="F975" i="10" s="1"/>
  <c r="F974" i="10" a="1"/>
  <c r="F974" i="10" s="1"/>
  <c r="F973" i="10" a="1"/>
  <c r="F973" i="10" s="1"/>
  <c r="F972" i="10" a="1"/>
  <c r="F972" i="10" s="1"/>
  <c r="F971" i="10" a="1"/>
  <c r="F971" i="10" s="1"/>
  <c r="F970" i="10" a="1"/>
  <c r="F970" i="10" s="1"/>
  <c r="F969" i="10" a="1"/>
  <c r="F969" i="10" s="1"/>
  <c r="F968" i="10" a="1"/>
  <c r="F968" i="10" s="1"/>
  <c r="F967" i="10" a="1"/>
  <c r="F967" i="10" s="1"/>
  <c r="F966" i="10" a="1"/>
  <c r="F966" i="10" s="1"/>
  <c r="F965" i="10" a="1"/>
  <c r="F965" i="10" s="1"/>
  <c r="F964" i="10" a="1"/>
  <c r="F964" i="10" s="1"/>
  <c r="F963" i="10" a="1"/>
  <c r="F963" i="10" s="1"/>
  <c r="F962" i="10" a="1"/>
  <c r="F962" i="10" s="1"/>
  <c r="F961" i="10" a="1"/>
  <c r="F961" i="10" s="1"/>
  <c r="F960" i="10" a="1"/>
  <c r="F960" i="10" s="1"/>
  <c r="F959" i="10" a="1"/>
  <c r="F959" i="10" s="1"/>
  <c r="F958" i="10" a="1"/>
  <c r="F958" i="10" s="1"/>
  <c r="F957" i="10" a="1"/>
  <c r="F957" i="10" s="1"/>
  <c r="F956" i="10" a="1"/>
  <c r="F956" i="10" s="1"/>
  <c r="F955" i="10" a="1"/>
  <c r="F955" i="10" s="1"/>
  <c r="F954" i="10" a="1"/>
  <c r="F954" i="10" s="1"/>
  <c r="F953" i="10" a="1"/>
  <c r="F953" i="10" s="1"/>
  <c r="F952" i="10" a="1"/>
  <c r="F952" i="10" s="1"/>
  <c r="F951" i="10" a="1"/>
  <c r="F951" i="10" s="1"/>
  <c r="F950" i="10" a="1"/>
  <c r="F950" i="10" s="1"/>
  <c r="F949" i="10" a="1"/>
  <c r="F949" i="10" s="1"/>
  <c r="F948" i="10" a="1"/>
  <c r="F948" i="10" s="1"/>
  <c r="F947" i="10" a="1"/>
  <c r="F947" i="10" s="1"/>
  <c r="F946" i="10" a="1"/>
  <c r="F946" i="10" s="1"/>
  <c r="F945" i="10" a="1"/>
  <c r="F945" i="10" s="1"/>
  <c r="F944" i="10" a="1"/>
  <c r="F944" i="10" s="1"/>
  <c r="F943" i="10"/>
  <c r="F943" i="10" a="1"/>
  <c r="F942" i="10" a="1"/>
  <c r="F942" i="10" s="1"/>
  <c r="F941" i="10" a="1"/>
  <c r="F941" i="10" s="1"/>
  <c r="F940" i="10" a="1"/>
  <c r="F940" i="10" s="1"/>
  <c r="F939" i="10" a="1"/>
  <c r="F939" i="10" s="1"/>
  <c r="F938" i="10" a="1"/>
  <c r="F938" i="10" s="1"/>
  <c r="F937" i="10" a="1"/>
  <c r="F937" i="10" s="1"/>
  <c r="F936" i="10" a="1"/>
  <c r="F936" i="10" s="1"/>
  <c r="F935" i="10" a="1"/>
  <c r="F935" i="10" s="1"/>
  <c r="F934" i="10" a="1"/>
  <c r="F934" i="10" s="1"/>
  <c r="F933" i="10" a="1"/>
  <c r="F933" i="10" s="1"/>
  <c r="F932" i="10" a="1"/>
  <c r="F932" i="10" s="1"/>
  <c r="F931" i="10" a="1"/>
  <c r="F931" i="10" s="1"/>
  <c r="F930" i="10" a="1"/>
  <c r="F930" i="10" s="1"/>
  <c r="F929" i="10" a="1"/>
  <c r="F929" i="10" s="1"/>
  <c r="F928" i="10" a="1"/>
  <c r="F928" i="10" s="1"/>
  <c r="F927" i="10" a="1"/>
  <c r="F927" i="10" s="1"/>
  <c r="F926" i="10" a="1"/>
  <c r="F926" i="10" s="1"/>
  <c r="F925" i="10" a="1"/>
  <c r="F925" i="10" s="1"/>
  <c r="F924" i="10" a="1"/>
  <c r="F924" i="10" s="1"/>
  <c r="F923" i="10" a="1"/>
  <c r="F923" i="10" s="1"/>
  <c r="F922" i="10" a="1"/>
  <c r="F922" i="10" s="1"/>
  <c r="F921" i="10" a="1"/>
  <c r="F921" i="10" s="1"/>
  <c r="F920" i="10" a="1"/>
  <c r="F920" i="10" s="1"/>
  <c r="F919" i="10" a="1"/>
  <c r="F919" i="10" s="1"/>
  <c r="F918" i="10" a="1"/>
  <c r="F918" i="10" s="1"/>
  <c r="F917" i="10" a="1"/>
  <c r="F917" i="10" s="1"/>
  <c r="F916" i="10" a="1"/>
  <c r="F916" i="10" s="1"/>
  <c r="F915" i="10" a="1"/>
  <c r="F915" i="10" s="1"/>
  <c r="F914" i="10" a="1"/>
  <c r="F914" i="10" s="1"/>
  <c r="F913" i="10" a="1"/>
  <c r="F913" i="10" s="1"/>
  <c r="F912" i="10" a="1"/>
  <c r="F912" i="10" s="1"/>
  <c r="F911" i="10" a="1"/>
  <c r="F911" i="10" s="1"/>
  <c r="F910" i="10" a="1"/>
  <c r="F910" i="10" s="1"/>
  <c r="F909" i="10" a="1"/>
  <c r="F909" i="10" s="1"/>
  <c r="F908" i="10" a="1"/>
  <c r="F908" i="10" s="1"/>
  <c r="F907" i="10" a="1"/>
  <c r="F907" i="10" s="1"/>
  <c r="F906" i="10" a="1"/>
  <c r="F906" i="10" s="1"/>
  <c r="F905" i="10" a="1"/>
  <c r="F905" i="10" s="1"/>
  <c r="F904" i="10" a="1"/>
  <c r="F904" i="10" s="1"/>
  <c r="F903" i="10" a="1"/>
  <c r="F903" i="10" s="1"/>
  <c r="F902" i="10" a="1"/>
  <c r="F902" i="10" s="1"/>
  <c r="F901" i="10" a="1"/>
  <c r="F901" i="10" s="1"/>
  <c r="F900" i="10" a="1"/>
  <c r="F900" i="10" s="1"/>
  <c r="F899" i="10" a="1"/>
  <c r="F899" i="10" s="1"/>
  <c r="F898" i="10" a="1"/>
  <c r="F898" i="10" s="1"/>
  <c r="F897" i="10" a="1"/>
  <c r="F897" i="10" s="1"/>
  <c r="F896" i="10" a="1"/>
  <c r="F896" i="10" s="1"/>
  <c r="F895" i="10" a="1"/>
  <c r="F895" i="10" s="1"/>
  <c r="F894" i="10" a="1"/>
  <c r="F894" i="10" s="1"/>
  <c r="F893" i="10" a="1"/>
  <c r="F893" i="10" s="1"/>
  <c r="F892" i="10" a="1"/>
  <c r="F892" i="10" s="1"/>
  <c r="F891" i="10" a="1"/>
  <c r="F891" i="10" s="1"/>
  <c r="F890" i="10" a="1"/>
  <c r="F890" i="10" s="1"/>
  <c r="F889" i="10" a="1"/>
  <c r="F889" i="10" s="1"/>
  <c r="F888" i="10" a="1"/>
  <c r="F888" i="10" s="1"/>
  <c r="F887" i="10" a="1"/>
  <c r="F887" i="10" s="1"/>
  <c r="F886" i="10" a="1"/>
  <c r="F886" i="10" s="1"/>
  <c r="F885" i="10" a="1"/>
  <c r="F885" i="10" s="1"/>
  <c r="F884" i="10" a="1"/>
  <c r="F884" i="10" s="1"/>
  <c r="F883" i="10" a="1"/>
  <c r="F883" i="10" s="1"/>
  <c r="F882" i="10" a="1"/>
  <c r="F882" i="10" s="1"/>
  <c r="F881" i="10" a="1"/>
  <c r="F881" i="10" s="1"/>
  <c r="F880" i="10" a="1"/>
  <c r="F880" i="10" s="1"/>
  <c r="F879" i="10" a="1"/>
  <c r="F879" i="10" s="1"/>
  <c r="F878" i="10" a="1"/>
  <c r="F878" i="10" s="1"/>
  <c r="F877" i="10" a="1"/>
  <c r="F877" i="10" s="1"/>
  <c r="F876" i="10" a="1"/>
  <c r="F876" i="10" s="1"/>
  <c r="F875" i="10" a="1"/>
  <c r="F875" i="10" s="1"/>
  <c r="F874" i="10" a="1"/>
  <c r="F874" i="10" s="1"/>
  <c r="F873" i="10" a="1"/>
  <c r="F873" i="10" s="1"/>
  <c r="F872" i="10" a="1"/>
  <c r="F872" i="10" s="1"/>
  <c r="F871" i="10" a="1"/>
  <c r="F871" i="10" s="1"/>
  <c r="F870" i="10" a="1"/>
  <c r="F870" i="10" s="1"/>
  <c r="F869" i="10" a="1"/>
  <c r="F869" i="10" s="1"/>
  <c r="F868" i="10" a="1"/>
  <c r="F868" i="10" s="1"/>
  <c r="F867" i="10" a="1"/>
  <c r="F867" i="10" s="1"/>
  <c r="F866" i="10" a="1"/>
  <c r="F866" i="10" s="1"/>
  <c r="F865" i="10" a="1"/>
  <c r="F865" i="10" s="1"/>
  <c r="F864" i="10" a="1"/>
  <c r="F864" i="10" s="1"/>
  <c r="F863" i="10" a="1"/>
  <c r="F863" i="10" s="1"/>
  <c r="F862" i="10" a="1"/>
  <c r="F862" i="10" s="1"/>
  <c r="F861" i="10" a="1"/>
  <c r="F861" i="10" s="1"/>
  <c r="F860" i="10" a="1"/>
  <c r="F860" i="10" s="1"/>
  <c r="F859" i="10" a="1"/>
  <c r="F859" i="10" s="1"/>
  <c r="F858" i="10" a="1"/>
  <c r="F858" i="10" s="1"/>
  <c r="F857" i="10" a="1"/>
  <c r="F857" i="10" s="1"/>
  <c r="F856" i="10" a="1"/>
  <c r="F856" i="10" s="1"/>
  <c r="F855" i="10" a="1"/>
  <c r="F855" i="10" s="1"/>
  <c r="F854" i="10" a="1"/>
  <c r="F854" i="10" s="1"/>
  <c r="F853" i="10" a="1"/>
  <c r="F853" i="10" s="1"/>
  <c r="F852" i="10" a="1"/>
  <c r="F852" i="10" s="1"/>
  <c r="F851" i="10" a="1"/>
  <c r="F851" i="10" s="1"/>
  <c r="F850" i="10" a="1"/>
  <c r="F850" i="10" s="1"/>
  <c r="F849" i="10" a="1"/>
  <c r="F849" i="10" s="1"/>
  <c r="F848" i="10" a="1"/>
  <c r="F848" i="10" s="1"/>
  <c r="F847" i="10" a="1"/>
  <c r="F847" i="10" s="1"/>
  <c r="F846" i="10" a="1"/>
  <c r="F846" i="10" s="1"/>
  <c r="F845" i="10" a="1"/>
  <c r="F845" i="10" s="1"/>
  <c r="F844" i="10" a="1"/>
  <c r="F844" i="10" s="1"/>
  <c r="F843" i="10" a="1"/>
  <c r="F843" i="10" s="1"/>
  <c r="F842" i="10" a="1"/>
  <c r="F842" i="10" s="1"/>
  <c r="F841" i="10" a="1"/>
  <c r="F841" i="10" s="1"/>
  <c r="F840" i="10" a="1"/>
  <c r="F840" i="10" s="1"/>
  <c r="F839" i="10" a="1"/>
  <c r="F839" i="10" s="1"/>
  <c r="F838" i="10" a="1"/>
  <c r="F838" i="10" s="1"/>
  <c r="F837" i="10" a="1"/>
  <c r="F837" i="10" s="1"/>
  <c r="F836" i="10" a="1"/>
  <c r="F836" i="10" s="1"/>
  <c r="F835" i="10" a="1"/>
  <c r="F835" i="10" s="1"/>
  <c r="F834" i="10" a="1"/>
  <c r="F834" i="10" s="1"/>
  <c r="F833" i="10" a="1"/>
  <c r="F833" i="10" s="1"/>
  <c r="F832" i="10" a="1"/>
  <c r="F832" i="10" s="1"/>
  <c r="F831" i="10" a="1"/>
  <c r="F831" i="10" s="1"/>
  <c r="F830" i="10" a="1"/>
  <c r="F830" i="10" s="1"/>
  <c r="F829" i="10" a="1"/>
  <c r="F829" i="10" s="1"/>
  <c r="F828" i="10" a="1"/>
  <c r="F828" i="10" s="1"/>
  <c r="F827" i="10" a="1"/>
  <c r="F827" i="10" s="1"/>
  <c r="F826" i="10" a="1"/>
  <c r="F826" i="10" s="1"/>
  <c r="F825" i="10" a="1"/>
  <c r="F825" i="10" s="1"/>
  <c r="F824" i="10" a="1"/>
  <c r="F824" i="10" s="1"/>
  <c r="F823" i="10" a="1"/>
  <c r="F823" i="10" s="1"/>
  <c r="F822" i="10" a="1"/>
  <c r="F822" i="10" s="1"/>
  <c r="F821" i="10" a="1"/>
  <c r="F821" i="10" s="1"/>
  <c r="F820" i="10" a="1"/>
  <c r="F820" i="10" s="1"/>
  <c r="F819" i="10" a="1"/>
  <c r="F819" i="10" s="1"/>
  <c r="F818" i="10" a="1"/>
  <c r="F818" i="10" s="1"/>
  <c r="F817" i="10" a="1"/>
  <c r="F817" i="10" s="1"/>
  <c r="F816" i="10" a="1"/>
  <c r="F816" i="10" s="1"/>
  <c r="F815" i="10" a="1"/>
  <c r="F815" i="10" s="1"/>
  <c r="F814" i="10" a="1"/>
  <c r="F814" i="10" s="1"/>
  <c r="F813" i="10" a="1"/>
  <c r="F813" i="10" s="1"/>
  <c r="F812" i="10" a="1"/>
  <c r="F812" i="10" s="1"/>
  <c r="F811" i="10" a="1"/>
  <c r="F811" i="10" s="1"/>
  <c r="F810" i="10" a="1"/>
  <c r="F810" i="10" s="1"/>
  <c r="F809" i="10" a="1"/>
  <c r="F809" i="10" s="1"/>
  <c r="F808" i="10" a="1"/>
  <c r="F808" i="10" s="1"/>
  <c r="F807" i="10" a="1"/>
  <c r="F807" i="10" s="1"/>
  <c r="F806" i="10" a="1"/>
  <c r="F806" i="10" s="1"/>
  <c r="F805" i="10" a="1"/>
  <c r="F805" i="10" s="1"/>
  <c r="F804" i="10" a="1"/>
  <c r="F804" i="10" s="1"/>
  <c r="F803" i="10" a="1"/>
  <c r="F803" i="10" s="1"/>
  <c r="F802" i="10" a="1"/>
  <c r="F802" i="10" s="1"/>
  <c r="F801" i="10" a="1"/>
  <c r="F801" i="10" s="1"/>
  <c r="F800" i="10" a="1"/>
  <c r="F800" i="10" s="1"/>
  <c r="F799" i="10" a="1"/>
  <c r="F799" i="10" s="1"/>
  <c r="F798" i="10" a="1"/>
  <c r="F798" i="10" s="1"/>
  <c r="F797" i="10" a="1"/>
  <c r="F797" i="10" s="1"/>
  <c r="F796" i="10" a="1"/>
  <c r="F796" i="10" s="1"/>
  <c r="F795" i="10" a="1"/>
  <c r="F795" i="10" s="1"/>
  <c r="F794" i="10" a="1"/>
  <c r="F794" i="10" s="1"/>
  <c r="F793" i="10" a="1"/>
  <c r="F793" i="10" s="1"/>
  <c r="F792" i="10" a="1"/>
  <c r="F792" i="10" s="1"/>
  <c r="F791" i="10" a="1"/>
  <c r="F791" i="10" s="1"/>
  <c r="F790" i="10" a="1"/>
  <c r="F790" i="10" s="1"/>
  <c r="F789" i="10" a="1"/>
  <c r="F789" i="10" s="1"/>
  <c r="F788" i="10" a="1"/>
  <c r="F788" i="10" s="1"/>
  <c r="F787" i="10" a="1"/>
  <c r="F787" i="10" s="1"/>
  <c r="F786" i="10" a="1"/>
  <c r="F786" i="10" s="1"/>
  <c r="F785" i="10" a="1"/>
  <c r="F785" i="10" s="1"/>
  <c r="F784" i="10" a="1"/>
  <c r="F784" i="10" s="1"/>
  <c r="F783" i="10" a="1"/>
  <c r="F783" i="10" s="1"/>
  <c r="F782" i="10" a="1"/>
  <c r="F782" i="10" s="1"/>
  <c r="F781" i="10" a="1"/>
  <c r="F781" i="10" s="1"/>
  <c r="F780" i="10" a="1"/>
  <c r="F780" i="10" s="1"/>
  <c r="F779" i="10" a="1"/>
  <c r="F779" i="10" s="1"/>
  <c r="F778" i="10" a="1"/>
  <c r="F778" i="10" s="1"/>
  <c r="F777" i="10" a="1"/>
  <c r="F777" i="10" s="1"/>
  <c r="F776" i="10" a="1"/>
  <c r="F776" i="10" s="1"/>
  <c r="F775" i="10" a="1"/>
  <c r="F775" i="10" s="1"/>
  <c r="F774" i="10" a="1"/>
  <c r="F774" i="10" s="1"/>
  <c r="F773" i="10" a="1"/>
  <c r="F773" i="10" s="1"/>
  <c r="F772" i="10" a="1"/>
  <c r="F772" i="10" s="1"/>
  <c r="F771" i="10" a="1"/>
  <c r="F771" i="10" s="1"/>
  <c r="F770" i="10" a="1"/>
  <c r="F770" i="10" s="1"/>
  <c r="F769" i="10" a="1"/>
  <c r="F769" i="10" s="1"/>
  <c r="F768" i="10" a="1"/>
  <c r="F768" i="10" s="1"/>
  <c r="F767" i="10" a="1"/>
  <c r="F767" i="10" s="1"/>
  <c r="F766" i="10" a="1"/>
  <c r="F766" i="10" s="1"/>
  <c r="F765" i="10" a="1"/>
  <c r="F765" i="10" s="1"/>
  <c r="F764" i="10" a="1"/>
  <c r="F764" i="10" s="1"/>
  <c r="F763" i="10" a="1"/>
  <c r="F763" i="10" s="1"/>
  <c r="F762" i="10" a="1"/>
  <c r="F762" i="10" s="1"/>
  <c r="F761" i="10" a="1"/>
  <c r="F761" i="10" s="1"/>
  <c r="F760" i="10" a="1"/>
  <c r="F760" i="10" s="1"/>
  <c r="F759" i="10" a="1"/>
  <c r="F759" i="10" s="1"/>
  <c r="F758" i="10" a="1"/>
  <c r="F758" i="10" s="1"/>
  <c r="F757" i="10" a="1"/>
  <c r="F757" i="10" s="1"/>
  <c r="F756" i="10" a="1"/>
  <c r="F756" i="10" s="1"/>
  <c r="F755" i="10" a="1"/>
  <c r="F755" i="10" s="1"/>
  <c r="F754" i="10" a="1"/>
  <c r="F754" i="10" s="1"/>
  <c r="F753" i="10" a="1"/>
  <c r="F753" i="10" s="1"/>
  <c r="F752" i="10" a="1"/>
  <c r="F752" i="10" s="1"/>
  <c r="F751" i="10" a="1"/>
  <c r="F751" i="10" s="1"/>
  <c r="F750" i="10" a="1"/>
  <c r="F750" i="10" s="1"/>
  <c r="F749" i="10" a="1"/>
  <c r="F749" i="10" s="1"/>
  <c r="F748" i="10" a="1"/>
  <c r="F748" i="10" s="1"/>
  <c r="F747" i="10" a="1"/>
  <c r="F747" i="10" s="1"/>
  <c r="F746" i="10" a="1"/>
  <c r="F746" i="10" s="1"/>
  <c r="F745" i="10" a="1"/>
  <c r="F745" i="10" s="1"/>
  <c r="F744" i="10" a="1"/>
  <c r="F744" i="10" s="1"/>
  <c r="F743" i="10" a="1"/>
  <c r="F743" i="10" s="1"/>
  <c r="F742" i="10" a="1"/>
  <c r="F742" i="10" s="1"/>
  <c r="F741" i="10" a="1"/>
  <c r="F741" i="10" s="1"/>
  <c r="F740" i="10" a="1"/>
  <c r="F740" i="10" s="1"/>
  <c r="F739" i="10" a="1"/>
  <c r="F739" i="10" s="1"/>
  <c r="F738" i="10" a="1"/>
  <c r="F738" i="10" s="1"/>
  <c r="F737" i="10" a="1"/>
  <c r="F737" i="10" s="1"/>
  <c r="F736" i="10" a="1"/>
  <c r="F736" i="10" s="1"/>
  <c r="F735" i="10" a="1"/>
  <c r="F735" i="10" s="1"/>
  <c r="F734" i="10" a="1"/>
  <c r="F734" i="10" s="1"/>
  <c r="F733" i="10" a="1"/>
  <c r="F733" i="10" s="1"/>
  <c r="F732" i="10" a="1"/>
  <c r="F732" i="10" s="1"/>
  <c r="F731" i="10" a="1"/>
  <c r="F731" i="10" s="1"/>
  <c r="F730" i="10" a="1"/>
  <c r="F730" i="10" s="1"/>
  <c r="F729" i="10" a="1"/>
  <c r="F729" i="10" s="1"/>
  <c r="F728" i="10" a="1"/>
  <c r="F728" i="10" s="1"/>
  <c r="F727" i="10" a="1"/>
  <c r="F727" i="10" s="1"/>
  <c r="F726" i="10" a="1"/>
  <c r="F726" i="10" s="1"/>
  <c r="F725" i="10" a="1"/>
  <c r="F725" i="10" s="1"/>
  <c r="F724" i="10" a="1"/>
  <c r="F724" i="10" s="1"/>
  <c r="F723" i="10" a="1"/>
  <c r="F723" i="10" s="1"/>
  <c r="F722" i="10" a="1"/>
  <c r="F722" i="10" s="1"/>
  <c r="F721" i="10" a="1"/>
  <c r="F721" i="10" s="1"/>
  <c r="F720" i="10" a="1"/>
  <c r="F720" i="10" s="1"/>
  <c r="F719" i="10" a="1"/>
  <c r="F719" i="10" s="1"/>
  <c r="F718" i="10" a="1"/>
  <c r="F718" i="10" s="1"/>
  <c r="F717" i="10" a="1"/>
  <c r="F717" i="10" s="1"/>
  <c r="F716" i="10" a="1"/>
  <c r="F716" i="10" s="1"/>
  <c r="F715" i="10" a="1"/>
  <c r="F715" i="10" s="1"/>
  <c r="F714" i="10" a="1"/>
  <c r="F714" i="10" s="1"/>
  <c r="F713" i="10" a="1"/>
  <c r="F713" i="10" s="1"/>
  <c r="F712" i="10" a="1"/>
  <c r="F712" i="10" s="1"/>
  <c r="F711" i="10" a="1"/>
  <c r="F711" i="10" s="1"/>
  <c r="F710" i="10" a="1"/>
  <c r="F710" i="10" s="1"/>
  <c r="F709" i="10" a="1"/>
  <c r="F709" i="10" s="1"/>
  <c r="F708" i="10" a="1"/>
  <c r="F708" i="10" s="1"/>
  <c r="F707" i="10" a="1"/>
  <c r="F707" i="10" s="1"/>
  <c r="F706" i="10" a="1"/>
  <c r="F706" i="10" s="1"/>
  <c r="F705" i="10" a="1"/>
  <c r="F705" i="10" s="1"/>
  <c r="F704" i="10" a="1"/>
  <c r="F704" i="10" s="1"/>
  <c r="F703" i="10" a="1"/>
  <c r="F703" i="10" s="1"/>
  <c r="F702" i="10" a="1"/>
  <c r="F702" i="10" s="1"/>
  <c r="F701" i="10" a="1"/>
  <c r="F701" i="10" s="1"/>
  <c r="F700" i="10" a="1"/>
  <c r="F700" i="10" s="1"/>
  <c r="F699" i="10" a="1"/>
  <c r="F699" i="10" s="1"/>
  <c r="F698" i="10" a="1"/>
  <c r="F698" i="10" s="1"/>
  <c r="F697" i="10" a="1"/>
  <c r="F697" i="10" s="1"/>
  <c r="F696" i="10" a="1"/>
  <c r="F696" i="10" s="1"/>
  <c r="F695" i="10" a="1"/>
  <c r="F695" i="10" s="1"/>
  <c r="F694" i="10" a="1"/>
  <c r="F694" i="10" s="1"/>
  <c r="F693" i="10" a="1"/>
  <c r="F693" i="10" s="1"/>
  <c r="F692" i="10" a="1"/>
  <c r="F692" i="10" s="1"/>
  <c r="F691" i="10" a="1"/>
  <c r="F691" i="10" s="1"/>
  <c r="F690" i="10" a="1"/>
  <c r="F690" i="10" s="1"/>
  <c r="F689" i="10" a="1"/>
  <c r="F689" i="10" s="1"/>
  <c r="F688" i="10" a="1"/>
  <c r="F688" i="10" s="1"/>
  <c r="F687" i="10" a="1"/>
  <c r="F687" i="10" s="1"/>
  <c r="F686" i="10" a="1"/>
  <c r="F686" i="10" s="1"/>
  <c r="F685" i="10" a="1"/>
  <c r="F685" i="10" s="1"/>
  <c r="F684" i="10" a="1"/>
  <c r="F684" i="10" s="1"/>
  <c r="F683" i="10" a="1"/>
  <c r="F683" i="10" s="1"/>
  <c r="F682" i="10" a="1"/>
  <c r="F682" i="10" s="1"/>
  <c r="F681" i="10" a="1"/>
  <c r="F681" i="10" s="1"/>
  <c r="F680" i="10" a="1"/>
  <c r="F680" i="10" s="1"/>
  <c r="F679" i="10" a="1"/>
  <c r="F679" i="10" s="1"/>
  <c r="F678" i="10" a="1"/>
  <c r="F678" i="10" s="1"/>
  <c r="F677" i="10" a="1"/>
  <c r="F677" i="10" s="1"/>
  <c r="F676" i="10" a="1"/>
  <c r="F676" i="10" s="1"/>
  <c r="F675" i="10" a="1"/>
  <c r="F675" i="10" s="1"/>
  <c r="F674" i="10" a="1"/>
  <c r="F674" i="10" s="1"/>
  <c r="F673" i="10" a="1"/>
  <c r="F673" i="10" s="1"/>
  <c r="F672" i="10" a="1"/>
  <c r="F672" i="10" s="1"/>
  <c r="F671" i="10" a="1"/>
  <c r="F671" i="10" s="1"/>
  <c r="F670" i="10"/>
  <c r="F670" i="10" a="1"/>
  <c r="F669" i="10" a="1"/>
  <c r="F669" i="10" s="1"/>
  <c r="F668" i="10" a="1"/>
  <c r="F668" i="10" s="1"/>
  <c r="F667" i="10" a="1"/>
  <c r="F667" i="10" s="1"/>
  <c r="F666" i="10" a="1"/>
  <c r="F666" i="10" s="1"/>
  <c r="F665" i="10" a="1"/>
  <c r="F665" i="10" s="1"/>
  <c r="F664" i="10" a="1"/>
  <c r="F664" i="10" s="1"/>
  <c r="F663" i="10" a="1"/>
  <c r="F663" i="10" s="1"/>
  <c r="F662" i="10" a="1"/>
  <c r="F662" i="10" s="1"/>
  <c r="F661" i="10" a="1"/>
  <c r="F661" i="10" s="1"/>
  <c r="F660" i="10" a="1"/>
  <c r="F660" i="10" s="1"/>
  <c r="F659" i="10" a="1"/>
  <c r="F659" i="10" s="1"/>
  <c r="F658" i="10" a="1"/>
  <c r="F658" i="10" s="1"/>
  <c r="F657" i="10" a="1"/>
  <c r="F657" i="10" s="1"/>
  <c r="F656" i="10" a="1"/>
  <c r="F656" i="10" s="1"/>
  <c r="F655" i="10" a="1"/>
  <c r="F655" i="10" s="1"/>
  <c r="F654" i="10" a="1"/>
  <c r="F654" i="10" s="1"/>
  <c r="F653" i="10" a="1"/>
  <c r="F653" i="10" s="1"/>
  <c r="F652" i="10" a="1"/>
  <c r="F652" i="10" s="1"/>
  <c r="F651" i="10" a="1"/>
  <c r="F651" i="10" s="1"/>
  <c r="F650" i="10" a="1"/>
  <c r="F650" i="10" s="1"/>
  <c r="F649" i="10" a="1"/>
  <c r="F649" i="10" s="1"/>
  <c r="F648" i="10" a="1"/>
  <c r="F648" i="10" s="1"/>
  <c r="F647" i="10" a="1"/>
  <c r="F647" i="10" s="1"/>
  <c r="F646" i="10" a="1"/>
  <c r="F646" i="10" s="1"/>
  <c r="F645" i="10" a="1"/>
  <c r="F645" i="10" s="1"/>
  <c r="F644" i="10" a="1"/>
  <c r="F644" i="10" s="1"/>
  <c r="F643" i="10" a="1"/>
  <c r="F643" i="10" s="1"/>
  <c r="F642" i="10" a="1"/>
  <c r="F642" i="10" s="1"/>
  <c r="F641" i="10" a="1"/>
  <c r="F641" i="10" s="1"/>
  <c r="F640" i="10" a="1"/>
  <c r="F640" i="10" s="1"/>
  <c r="F639" i="10" a="1"/>
  <c r="F639" i="10" s="1"/>
  <c r="F638" i="10" a="1"/>
  <c r="F638" i="10" s="1"/>
  <c r="F637" i="10" a="1"/>
  <c r="F637" i="10" s="1"/>
  <c r="F636" i="10" a="1"/>
  <c r="F636" i="10" s="1"/>
  <c r="F635" i="10" a="1"/>
  <c r="F635" i="10" s="1"/>
  <c r="F634" i="10" a="1"/>
  <c r="F634" i="10" s="1"/>
  <c r="F633" i="10" a="1"/>
  <c r="F633" i="10" s="1"/>
  <c r="F632" i="10" a="1"/>
  <c r="F632" i="10" s="1"/>
  <c r="F631" i="10" a="1"/>
  <c r="F631" i="10" s="1"/>
  <c r="F630" i="10" a="1"/>
  <c r="F630" i="10" s="1"/>
  <c r="F629" i="10" a="1"/>
  <c r="F629" i="10" s="1"/>
  <c r="F628" i="10" a="1"/>
  <c r="F628" i="10" s="1"/>
  <c r="F627" i="10" a="1"/>
  <c r="F627" i="10" s="1"/>
  <c r="F626" i="10" a="1"/>
  <c r="F626" i="10" s="1"/>
  <c r="F625" i="10" a="1"/>
  <c r="F625" i="10" s="1"/>
  <c r="F624" i="10" a="1"/>
  <c r="F624" i="10" s="1"/>
  <c r="F623" i="10" a="1"/>
  <c r="F623" i="10" s="1"/>
  <c r="F622" i="10"/>
  <c r="F622" i="10" a="1"/>
  <c r="F621" i="10" a="1"/>
  <c r="F621" i="10" s="1"/>
  <c r="F620" i="10" a="1"/>
  <c r="F620" i="10" s="1"/>
  <c r="F619" i="10" a="1"/>
  <c r="F619" i="10" s="1"/>
  <c r="F618" i="10" a="1"/>
  <c r="F618" i="10" s="1"/>
  <c r="F617" i="10" a="1"/>
  <c r="F617" i="10" s="1"/>
  <c r="F616" i="10" a="1"/>
  <c r="F616" i="10" s="1"/>
  <c r="F615" i="10" a="1"/>
  <c r="F615" i="10" s="1"/>
  <c r="F614" i="10" a="1"/>
  <c r="F614" i="10" s="1"/>
  <c r="F613" i="10" a="1"/>
  <c r="F613" i="10" s="1"/>
  <c r="F612" i="10" a="1"/>
  <c r="F612" i="10" s="1"/>
  <c r="F611" i="10" a="1"/>
  <c r="F611" i="10" s="1"/>
  <c r="F610" i="10" a="1"/>
  <c r="F610" i="10" s="1"/>
  <c r="F609" i="10" a="1"/>
  <c r="F609" i="10" s="1"/>
  <c r="F608" i="10" a="1"/>
  <c r="F608" i="10" s="1"/>
  <c r="F607" i="10" a="1"/>
  <c r="F607" i="10" s="1"/>
  <c r="F606" i="10" a="1"/>
  <c r="F606" i="10" s="1"/>
  <c r="F605" i="10" a="1"/>
  <c r="F605" i="10" s="1"/>
  <c r="F604" i="10" a="1"/>
  <c r="F604" i="10" s="1"/>
  <c r="F603" i="10" a="1"/>
  <c r="F603" i="10" s="1"/>
  <c r="F602" i="10" a="1"/>
  <c r="F602" i="10" s="1"/>
  <c r="F601" i="10" a="1"/>
  <c r="F601" i="10" s="1"/>
  <c r="F600" i="10" a="1"/>
  <c r="F600" i="10" s="1"/>
  <c r="F599" i="10" a="1"/>
  <c r="F599" i="10" s="1"/>
  <c r="F598" i="10" a="1"/>
  <c r="F598" i="10" s="1"/>
  <c r="F597" i="10" a="1"/>
  <c r="F597" i="10" s="1"/>
  <c r="F596" i="10" a="1"/>
  <c r="F596" i="10" s="1"/>
  <c r="F595" i="10" a="1"/>
  <c r="F595" i="10" s="1"/>
  <c r="F594" i="10" a="1"/>
  <c r="F594" i="10" s="1"/>
  <c r="F593" i="10" a="1"/>
  <c r="F593" i="10" s="1"/>
  <c r="F592" i="10" a="1"/>
  <c r="F592" i="10" s="1"/>
  <c r="F591" i="10" a="1"/>
  <c r="F591" i="10" s="1"/>
  <c r="F590" i="10" a="1"/>
  <c r="F590" i="10" s="1"/>
  <c r="F589" i="10" a="1"/>
  <c r="F589" i="10" s="1"/>
  <c r="F588" i="10" a="1"/>
  <c r="F588" i="10" s="1"/>
  <c r="F587" i="10" a="1"/>
  <c r="F587" i="10" s="1"/>
  <c r="F586" i="10" a="1"/>
  <c r="F586" i="10" s="1"/>
  <c r="F585" i="10" a="1"/>
  <c r="F585" i="10" s="1"/>
  <c r="F584" i="10" a="1"/>
  <c r="F584" i="10" s="1"/>
  <c r="F583" i="10" a="1"/>
  <c r="F583" i="10" s="1"/>
  <c r="F582" i="10" a="1"/>
  <c r="F582" i="10" s="1"/>
  <c r="F581" i="10" a="1"/>
  <c r="F581" i="10" s="1"/>
  <c r="F580" i="10" a="1"/>
  <c r="F580" i="10" s="1"/>
  <c r="F579" i="10" a="1"/>
  <c r="F579" i="10" s="1"/>
  <c r="F578" i="10" a="1"/>
  <c r="F578" i="10" s="1"/>
  <c r="F577" i="10" a="1"/>
  <c r="F577" i="10" s="1"/>
  <c r="F576" i="10" a="1"/>
  <c r="F576" i="10" s="1"/>
  <c r="F575" i="10" a="1"/>
  <c r="F575" i="10" s="1"/>
  <c r="F574" i="10" a="1"/>
  <c r="F574" i="10" s="1"/>
  <c r="F573" i="10" a="1"/>
  <c r="F573" i="10" s="1"/>
  <c r="F572" i="10" a="1"/>
  <c r="F572" i="10" s="1"/>
  <c r="F571" i="10" a="1"/>
  <c r="F571" i="10" s="1"/>
  <c r="F570" i="10" a="1"/>
  <c r="F570" i="10" s="1"/>
  <c r="F569" i="10" a="1"/>
  <c r="F569" i="10" s="1"/>
  <c r="F568" i="10" a="1"/>
  <c r="F568" i="10" s="1"/>
  <c r="F567" i="10" a="1"/>
  <c r="F567" i="10" s="1"/>
  <c r="F566" i="10" a="1"/>
  <c r="F566" i="10" s="1"/>
  <c r="F565" i="10" a="1"/>
  <c r="F565" i="10" s="1"/>
  <c r="F564" i="10" a="1"/>
  <c r="F564" i="10" s="1"/>
  <c r="F563" i="10" a="1"/>
  <c r="F563" i="10" s="1"/>
  <c r="F562" i="10" a="1"/>
  <c r="F562" i="10" s="1"/>
  <c r="F561" i="10" a="1"/>
  <c r="F561" i="10" s="1"/>
  <c r="F560" i="10" a="1"/>
  <c r="F560" i="10" s="1"/>
  <c r="F559" i="10" a="1"/>
  <c r="F559" i="10" s="1"/>
  <c r="F558" i="10" a="1"/>
  <c r="F558" i="10" s="1"/>
  <c r="F557" i="10" a="1"/>
  <c r="F557" i="10" s="1"/>
  <c r="F556" i="10" a="1"/>
  <c r="F556" i="10" s="1"/>
  <c r="F555" i="10" a="1"/>
  <c r="F555" i="10" s="1"/>
  <c r="F554" i="10" a="1"/>
  <c r="F554" i="10" s="1"/>
  <c r="F553" i="10" a="1"/>
  <c r="F553" i="10" s="1"/>
  <c r="F552" i="10" a="1"/>
  <c r="F552" i="10" s="1"/>
  <c r="F551" i="10" a="1"/>
  <c r="F551" i="10" s="1"/>
  <c r="F550" i="10" a="1"/>
  <c r="F550" i="10" s="1"/>
  <c r="F549" i="10" a="1"/>
  <c r="F549" i="10" s="1"/>
  <c r="F548" i="10" a="1"/>
  <c r="F548" i="10" s="1"/>
  <c r="F547" i="10" a="1"/>
  <c r="F547" i="10" s="1"/>
  <c r="F546" i="10" a="1"/>
  <c r="F546" i="10" s="1"/>
  <c r="F545" i="10" a="1"/>
  <c r="F545" i="10" s="1"/>
  <c r="F544" i="10" a="1"/>
  <c r="F544" i="10" s="1"/>
  <c r="F543" i="10" a="1"/>
  <c r="F543" i="10" s="1"/>
  <c r="F542" i="10" a="1"/>
  <c r="F542" i="10" s="1"/>
  <c r="F541" i="10" a="1"/>
  <c r="F541" i="10" s="1"/>
  <c r="F540" i="10" a="1"/>
  <c r="F540" i="10" s="1"/>
  <c r="F539" i="10" a="1"/>
  <c r="F539" i="10" s="1"/>
  <c r="F538" i="10" a="1"/>
  <c r="F538" i="10" s="1"/>
  <c r="F537" i="10" a="1"/>
  <c r="F537" i="10" s="1"/>
  <c r="F536" i="10" a="1"/>
  <c r="F536" i="10" s="1"/>
  <c r="F535" i="10" a="1"/>
  <c r="F535" i="10" s="1"/>
  <c r="F534" i="10" a="1"/>
  <c r="F534" i="10" s="1"/>
  <c r="F533" i="10" a="1"/>
  <c r="F533" i="10" s="1"/>
  <c r="F532" i="10" a="1"/>
  <c r="F532" i="10" s="1"/>
  <c r="F531" i="10" a="1"/>
  <c r="F531" i="10" s="1"/>
  <c r="F530" i="10" a="1"/>
  <c r="F530" i="10" s="1"/>
  <c r="F529" i="10" a="1"/>
  <c r="F529" i="10" s="1"/>
  <c r="F528" i="10" a="1"/>
  <c r="F528" i="10" s="1"/>
  <c r="F527" i="10" a="1"/>
  <c r="F527" i="10" s="1"/>
  <c r="F526" i="10" a="1"/>
  <c r="F526" i="10" s="1"/>
  <c r="F525" i="10" a="1"/>
  <c r="F525" i="10" s="1"/>
  <c r="F524" i="10" a="1"/>
  <c r="F524" i="10" s="1"/>
  <c r="F523" i="10" a="1"/>
  <c r="F523" i="10" s="1"/>
  <c r="F522" i="10" a="1"/>
  <c r="F522" i="10" s="1"/>
  <c r="F521" i="10" a="1"/>
  <c r="F521" i="10" s="1"/>
  <c r="F520" i="10" a="1"/>
  <c r="F520" i="10" s="1"/>
  <c r="F519" i="10" a="1"/>
  <c r="F519" i="10" s="1"/>
  <c r="F518" i="10" a="1"/>
  <c r="F518" i="10" s="1"/>
  <c r="F517" i="10" a="1"/>
  <c r="F517" i="10" s="1"/>
  <c r="F516" i="10" a="1"/>
  <c r="F516" i="10" s="1"/>
  <c r="F515" i="10" a="1"/>
  <c r="F515" i="10" s="1"/>
  <c r="F514" i="10" a="1"/>
  <c r="F514" i="10" s="1"/>
  <c r="F513" i="10" a="1"/>
  <c r="F513" i="10" s="1"/>
  <c r="F512" i="10" a="1"/>
  <c r="F512" i="10" s="1"/>
  <c r="F511" i="10" a="1"/>
  <c r="F511" i="10" s="1"/>
  <c r="F510" i="10" a="1"/>
  <c r="F510" i="10" s="1"/>
  <c r="F509" i="10" a="1"/>
  <c r="F509" i="10" s="1"/>
  <c r="F508" i="10" a="1"/>
  <c r="F508" i="10" s="1"/>
  <c r="F507" i="10" a="1"/>
  <c r="F507" i="10" s="1"/>
  <c r="F506" i="10" a="1"/>
  <c r="F506" i="10" s="1"/>
  <c r="F505" i="10" a="1"/>
  <c r="F505" i="10" s="1"/>
  <c r="F504" i="10" a="1"/>
  <c r="F504" i="10" s="1"/>
  <c r="F503" i="10" a="1"/>
  <c r="F503" i="10" s="1"/>
  <c r="F502" i="10" a="1"/>
  <c r="F502" i="10" s="1"/>
  <c r="F501" i="10" a="1"/>
  <c r="F501" i="10" s="1"/>
  <c r="F500" i="10" a="1"/>
  <c r="F500" i="10" s="1"/>
  <c r="F499" i="10" a="1"/>
  <c r="F499" i="10" s="1"/>
  <c r="F498" i="10" a="1"/>
  <c r="F498" i="10" s="1"/>
  <c r="F497" i="10" a="1"/>
  <c r="F497" i="10" s="1"/>
  <c r="F496" i="10" a="1"/>
  <c r="F496" i="10" s="1"/>
  <c r="F495" i="10" a="1"/>
  <c r="F495" i="10" s="1"/>
  <c r="F494" i="10"/>
  <c r="F494" i="10" a="1"/>
  <c r="F493" i="10" a="1"/>
  <c r="F493" i="10" s="1"/>
  <c r="F492" i="10" a="1"/>
  <c r="F492" i="10" s="1"/>
  <c r="F491" i="10" a="1"/>
  <c r="F491" i="10" s="1"/>
  <c r="F490" i="10" a="1"/>
  <c r="F490" i="10" s="1"/>
  <c r="F489" i="10" a="1"/>
  <c r="F489" i="10" s="1"/>
  <c r="F488" i="10" a="1"/>
  <c r="F488" i="10" s="1"/>
  <c r="F487" i="10" a="1"/>
  <c r="F487" i="10" s="1"/>
  <c r="F486" i="10" a="1"/>
  <c r="F486" i="10" s="1"/>
  <c r="F485" i="10" a="1"/>
  <c r="F485" i="10" s="1"/>
  <c r="F484" i="10" a="1"/>
  <c r="F484" i="10" s="1"/>
  <c r="F483" i="10" a="1"/>
  <c r="F483" i="10" s="1"/>
  <c r="F482" i="10" a="1"/>
  <c r="F482" i="10" s="1"/>
  <c r="F481" i="10" a="1"/>
  <c r="F481" i="10" s="1"/>
  <c r="F480" i="10" a="1"/>
  <c r="F480" i="10" s="1"/>
  <c r="F479" i="10" a="1"/>
  <c r="F479" i="10" s="1"/>
  <c r="F478" i="10" a="1"/>
  <c r="F478" i="10" s="1"/>
  <c r="F477" i="10" a="1"/>
  <c r="F477" i="10" s="1"/>
  <c r="F476" i="10" a="1"/>
  <c r="F476" i="10" s="1"/>
  <c r="F475" i="10" a="1"/>
  <c r="F475" i="10" s="1"/>
  <c r="F474" i="10" a="1"/>
  <c r="F474" i="10" s="1"/>
  <c r="F473" i="10" a="1"/>
  <c r="F473" i="10" s="1"/>
  <c r="F472" i="10" a="1"/>
  <c r="F472" i="10" s="1"/>
  <c r="F471" i="10" a="1"/>
  <c r="F471" i="10" s="1"/>
  <c r="F470" i="10" a="1"/>
  <c r="F470" i="10" s="1"/>
  <c r="F469" i="10" a="1"/>
  <c r="F469" i="10" s="1"/>
  <c r="F468" i="10" a="1"/>
  <c r="F468" i="10" s="1"/>
  <c r="F467" i="10" a="1"/>
  <c r="F467" i="10" s="1"/>
  <c r="F466" i="10" a="1"/>
  <c r="F466" i="10" s="1"/>
  <c r="F465" i="10" a="1"/>
  <c r="F465" i="10" s="1"/>
  <c r="F464" i="10" a="1"/>
  <c r="F464" i="10" s="1"/>
  <c r="F463" i="10" a="1"/>
  <c r="F463" i="10" s="1"/>
  <c r="F462" i="10" a="1"/>
  <c r="F462" i="10" s="1"/>
  <c r="F461" i="10" a="1"/>
  <c r="F461" i="10" s="1"/>
  <c r="F460" i="10" a="1"/>
  <c r="F460" i="10" s="1"/>
  <c r="F459" i="10" a="1"/>
  <c r="F459" i="10" s="1"/>
  <c r="F458" i="10" a="1"/>
  <c r="F458" i="10" s="1"/>
  <c r="F457" i="10" a="1"/>
  <c r="F457" i="10" s="1"/>
  <c r="F456" i="10" a="1"/>
  <c r="F456" i="10" s="1"/>
  <c r="F455" i="10" a="1"/>
  <c r="F455" i="10" s="1"/>
  <c r="F454" i="10" a="1"/>
  <c r="F454" i="10" s="1"/>
  <c r="F453" i="10" a="1"/>
  <c r="F453" i="10" s="1"/>
  <c r="F452" i="10" a="1"/>
  <c r="F452" i="10" s="1"/>
  <c r="F451" i="10" a="1"/>
  <c r="F451" i="10" s="1"/>
  <c r="F450" i="10" a="1"/>
  <c r="F450" i="10" s="1"/>
  <c r="F449" i="10" a="1"/>
  <c r="F449" i="10" s="1"/>
  <c r="F448" i="10" a="1"/>
  <c r="F448" i="10" s="1"/>
  <c r="F447" i="10" a="1"/>
  <c r="F447" i="10" s="1"/>
  <c r="F446" i="10" a="1"/>
  <c r="F446" i="10" s="1"/>
  <c r="F445" i="10" a="1"/>
  <c r="F445" i="10" s="1"/>
  <c r="F444" i="10" a="1"/>
  <c r="F444" i="10" s="1"/>
  <c r="F443" i="10" a="1"/>
  <c r="F443" i="10" s="1"/>
  <c r="F442" i="10" a="1"/>
  <c r="F442" i="10" s="1"/>
  <c r="F441" i="10" a="1"/>
  <c r="F441" i="10" s="1"/>
  <c r="F440" i="10" a="1"/>
  <c r="F440" i="10" s="1"/>
  <c r="F439" i="10" a="1"/>
  <c r="F439" i="10" s="1"/>
  <c r="F438" i="10" a="1"/>
  <c r="F438" i="10" s="1"/>
  <c r="F437" i="10" a="1"/>
  <c r="F437" i="10" s="1"/>
  <c r="F436" i="10" a="1"/>
  <c r="F436" i="10" s="1"/>
  <c r="F435" i="10" a="1"/>
  <c r="F435" i="10" s="1"/>
  <c r="F434" i="10" a="1"/>
  <c r="F434" i="10" s="1"/>
  <c r="F433" i="10" a="1"/>
  <c r="F433" i="10" s="1"/>
  <c r="F432" i="10" a="1"/>
  <c r="F432" i="10" s="1"/>
  <c r="F431" i="10" a="1"/>
  <c r="F431" i="10" s="1"/>
  <c r="F430" i="10" a="1"/>
  <c r="F430" i="10" s="1"/>
  <c r="F429" i="10" a="1"/>
  <c r="F429" i="10" s="1"/>
  <c r="F428" i="10" a="1"/>
  <c r="F428" i="10" s="1"/>
  <c r="F427" i="10" a="1"/>
  <c r="F427" i="10" s="1"/>
  <c r="F426" i="10" a="1"/>
  <c r="F426" i="10" s="1"/>
  <c r="F425" i="10" a="1"/>
  <c r="F425" i="10" s="1"/>
  <c r="F424" i="10" a="1"/>
  <c r="F424" i="10" s="1"/>
  <c r="F423" i="10" a="1"/>
  <c r="F423" i="10" s="1"/>
  <c r="F422" i="10" a="1"/>
  <c r="F422" i="10" s="1"/>
  <c r="F421" i="10" a="1"/>
  <c r="F421" i="10" s="1"/>
  <c r="F420" i="10" a="1"/>
  <c r="F420" i="10" s="1"/>
  <c r="F419" i="10" a="1"/>
  <c r="F419" i="10" s="1"/>
  <c r="F418" i="10" a="1"/>
  <c r="F418" i="10" s="1"/>
  <c r="F417" i="10" a="1"/>
  <c r="F417" i="10" s="1"/>
  <c r="F416" i="10" a="1"/>
  <c r="F416" i="10" s="1"/>
  <c r="F415" i="10" a="1"/>
  <c r="F415" i="10" s="1"/>
  <c r="F414" i="10" a="1"/>
  <c r="F414" i="10" s="1"/>
  <c r="F413" i="10" a="1"/>
  <c r="F413" i="10" s="1"/>
  <c r="F412" i="10" a="1"/>
  <c r="F412" i="10" s="1"/>
  <c r="F411" i="10" a="1"/>
  <c r="F411" i="10" s="1"/>
  <c r="F410" i="10" a="1"/>
  <c r="F410" i="10" s="1"/>
  <c r="F409" i="10" a="1"/>
  <c r="F409" i="10" s="1"/>
  <c r="F408" i="10" a="1"/>
  <c r="F408" i="10" s="1"/>
  <c r="F407" i="10" a="1"/>
  <c r="F407" i="10" s="1"/>
  <c r="F406" i="10" a="1"/>
  <c r="F406" i="10" s="1"/>
  <c r="F405" i="10" a="1"/>
  <c r="F405" i="10" s="1"/>
  <c r="F404" i="10" a="1"/>
  <c r="F404" i="10" s="1"/>
  <c r="F403" i="10" a="1"/>
  <c r="F403" i="10" s="1"/>
  <c r="F402" i="10" a="1"/>
  <c r="F402" i="10" s="1"/>
  <c r="F401" i="10" a="1"/>
  <c r="F401" i="10" s="1"/>
  <c r="F400" i="10" a="1"/>
  <c r="F400" i="10" s="1"/>
  <c r="F399" i="10" a="1"/>
  <c r="F399" i="10" s="1"/>
  <c r="F398" i="10" a="1"/>
  <c r="F398" i="10" s="1"/>
  <c r="F397" i="10" a="1"/>
  <c r="F397" i="10" s="1"/>
  <c r="F396" i="10" a="1"/>
  <c r="F396" i="10" s="1"/>
  <c r="F395" i="10" a="1"/>
  <c r="F395" i="10" s="1"/>
  <c r="F394" i="10" a="1"/>
  <c r="F394" i="10" s="1"/>
  <c r="F393" i="10" a="1"/>
  <c r="F393" i="10" s="1"/>
  <c r="F392" i="10" a="1"/>
  <c r="F392" i="10" s="1"/>
  <c r="F391" i="10" a="1"/>
  <c r="F391" i="10" s="1"/>
  <c r="F390" i="10" a="1"/>
  <c r="F390" i="10" s="1"/>
  <c r="F389" i="10" a="1"/>
  <c r="F389" i="10" s="1"/>
  <c r="F388" i="10" a="1"/>
  <c r="F388" i="10" s="1"/>
  <c r="F387" i="10" a="1"/>
  <c r="F387" i="10" s="1"/>
  <c r="F386" i="10" a="1"/>
  <c r="F386" i="10" s="1"/>
  <c r="F385" i="10" a="1"/>
  <c r="F385" i="10" s="1"/>
  <c r="F384" i="10" a="1"/>
  <c r="F384" i="10" s="1"/>
  <c r="F383" i="10" a="1"/>
  <c r="F383" i="10" s="1"/>
  <c r="F382" i="10" a="1"/>
  <c r="F382" i="10" s="1"/>
  <c r="F381" i="10" a="1"/>
  <c r="F381" i="10" s="1"/>
  <c r="F380" i="10" a="1"/>
  <c r="F380" i="10" s="1"/>
  <c r="F379" i="10" a="1"/>
  <c r="F379" i="10" s="1"/>
  <c r="F378" i="10" a="1"/>
  <c r="F378" i="10" s="1"/>
  <c r="F377" i="10" a="1"/>
  <c r="F377" i="10" s="1"/>
  <c r="F376" i="10" a="1"/>
  <c r="F376" i="10" s="1"/>
  <c r="F375" i="10" a="1"/>
  <c r="F375" i="10" s="1"/>
  <c r="F374" i="10" a="1"/>
  <c r="F374" i="10" s="1"/>
  <c r="F373" i="10" a="1"/>
  <c r="F373" i="10" s="1"/>
  <c r="F372" i="10" a="1"/>
  <c r="F372" i="10" s="1"/>
  <c r="F371" i="10" a="1"/>
  <c r="F371" i="10" s="1"/>
  <c r="F370" i="10" a="1"/>
  <c r="F370" i="10" s="1"/>
  <c r="F369" i="10" a="1"/>
  <c r="F369" i="10" s="1"/>
  <c r="F368" i="10" a="1"/>
  <c r="F368" i="10" s="1"/>
  <c r="F367" i="10" a="1"/>
  <c r="F367" i="10" s="1"/>
  <c r="F366" i="10"/>
  <c r="F366" i="10" a="1"/>
  <c r="F365" i="10" a="1"/>
  <c r="F365" i="10" s="1"/>
  <c r="F364" i="10" a="1"/>
  <c r="F364" i="10" s="1"/>
  <c r="F363" i="10" a="1"/>
  <c r="F363" i="10" s="1"/>
  <c r="F362" i="10" a="1"/>
  <c r="F362" i="10" s="1"/>
  <c r="F361" i="10" a="1"/>
  <c r="F361" i="10" s="1"/>
  <c r="F360" i="10" a="1"/>
  <c r="F360" i="10" s="1"/>
  <c r="F359" i="10" a="1"/>
  <c r="F359" i="10" s="1"/>
  <c r="F358" i="10" a="1"/>
  <c r="F358" i="10" s="1"/>
  <c r="F357" i="10" a="1"/>
  <c r="F357" i="10" s="1"/>
  <c r="F356" i="10" a="1"/>
  <c r="F356" i="10" s="1"/>
  <c r="F355" i="10" a="1"/>
  <c r="F355" i="10" s="1"/>
  <c r="F354" i="10" a="1"/>
  <c r="F354" i="10" s="1"/>
  <c r="F353" i="10" a="1"/>
  <c r="F353" i="10" s="1"/>
  <c r="F352" i="10" a="1"/>
  <c r="F352" i="10" s="1"/>
  <c r="F351" i="10" a="1"/>
  <c r="F351" i="10" s="1"/>
  <c r="F350" i="10" a="1"/>
  <c r="F350" i="10" s="1"/>
  <c r="F349" i="10" a="1"/>
  <c r="F349" i="10" s="1"/>
  <c r="F348" i="10" a="1"/>
  <c r="F348" i="10" s="1"/>
  <c r="F347" i="10" a="1"/>
  <c r="F347" i="10" s="1"/>
  <c r="F346" i="10" a="1"/>
  <c r="F346" i="10" s="1"/>
  <c r="F345" i="10" a="1"/>
  <c r="F345" i="10" s="1"/>
  <c r="F344" i="10" a="1"/>
  <c r="F344" i="10" s="1"/>
  <c r="F343" i="10" a="1"/>
  <c r="F343" i="10" s="1"/>
  <c r="F342" i="10" a="1"/>
  <c r="F342" i="10" s="1"/>
  <c r="F341" i="10" a="1"/>
  <c r="F341" i="10" s="1"/>
  <c r="F340" i="10" a="1"/>
  <c r="F340" i="10" s="1"/>
  <c r="F339" i="10" a="1"/>
  <c r="F339" i="10" s="1"/>
  <c r="F338" i="10" a="1"/>
  <c r="F338" i="10" s="1"/>
  <c r="F337" i="10" a="1"/>
  <c r="F337" i="10" s="1"/>
  <c r="F336" i="10" a="1"/>
  <c r="F336" i="10" s="1"/>
  <c r="F335" i="10" a="1"/>
  <c r="F335" i="10" s="1"/>
  <c r="F334" i="10" a="1"/>
  <c r="F334" i="10" s="1"/>
  <c r="F333" i="10" a="1"/>
  <c r="F333" i="10" s="1"/>
  <c r="F332" i="10" a="1"/>
  <c r="F332" i="10" s="1"/>
  <c r="F331" i="10" a="1"/>
  <c r="F331" i="10" s="1"/>
  <c r="F330" i="10" a="1"/>
  <c r="F330" i="10" s="1"/>
  <c r="F329" i="10" a="1"/>
  <c r="F329" i="10" s="1"/>
  <c r="F328" i="10" a="1"/>
  <c r="F328" i="10" s="1"/>
  <c r="F327" i="10" a="1"/>
  <c r="F327" i="10" s="1"/>
  <c r="F326" i="10" a="1"/>
  <c r="F326" i="10" s="1"/>
  <c r="F325" i="10" a="1"/>
  <c r="F325" i="10" s="1"/>
  <c r="F324" i="10" a="1"/>
  <c r="F324" i="10" s="1"/>
  <c r="F323" i="10" a="1"/>
  <c r="F323" i="10" s="1"/>
  <c r="F322" i="10" a="1"/>
  <c r="F322" i="10" s="1"/>
  <c r="F321" i="10" a="1"/>
  <c r="F321" i="10" s="1"/>
  <c r="F320" i="10" a="1"/>
  <c r="F320" i="10" s="1"/>
  <c r="F319" i="10" a="1"/>
  <c r="F319" i="10" s="1"/>
  <c r="F318" i="10" a="1"/>
  <c r="F318" i="10" s="1"/>
  <c r="F317" i="10" a="1"/>
  <c r="F317" i="10" s="1"/>
  <c r="F316" i="10" a="1"/>
  <c r="F316" i="10" s="1"/>
  <c r="F315" i="10" a="1"/>
  <c r="F315" i="10" s="1"/>
  <c r="F314" i="10" a="1"/>
  <c r="F314" i="10" s="1"/>
  <c r="F313" i="10" a="1"/>
  <c r="F313" i="10" s="1"/>
  <c r="F312" i="10" a="1"/>
  <c r="F312" i="10" s="1"/>
  <c r="F311" i="10" a="1"/>
  <c r="F311" i="10" s="1"/>
  <c r="F310" i="10" a="1"/>
  <c r="F310" i="10" s="1"/>
  <c r="F309" i="10" a="1"/>
  <c r="F309" i="10" s="1"/>
  <c r="F308" i="10" a="1"/>
  <c r="F308" i="10" s="1"/>
  <c r="F307" i="10" a="1"/>
  <c r="F307" i="10" s="1"/>
  <c r="F306" i="10" a="1"/>
  <c r="F306" i="10" s="1"/>
  <c r="F305" i="10" a="1"/>
  <c r="F305" i="10" s="1"/>
  <c r="F304" i="10" a="1"/>
  <c r="F304" i="10" s="1"/>
  <c r="F303" i="10" a="1"/>
  <c r="F303" i="10" s="1"/>
  <c r="F302" i="10" a="1"/>
  <c r="F302" i="10" s="1"/>
  <c r="F301" i="10" a="1"/>
  <c r="F301" i="10" s="1"/>
  <c r="F300" i="10" a="1"/>
  <c r="F300" i="10" s="1"/>
  <c r="F299" i="10" a="1"/>
  <c r="F299" i="10" s="1"/>
  <c r="F298" i="10" a="1"/>
  <c r="F298" i="10" s="1"/>
  <c r="F297" i="10" a="1"/>
  <c r="F297" i="10" s="1"/>
  <c r="F296" i="10" a="1"/>
  <c r="F296" i="10" s="1"/>
  <c r="F295" i="10" a="1"/>
  <c r="F295" i="10" s="1"/>
  <c r="F294" i="10" a="1"/>
  <c r="F294" i="10" s="1"/>
  <c r="F293" i="10" a="1"/>
  <c r="F293" i="10" s="1"/>
  <c r="F292" i="10" a="1"/>
  <c r="F292" i="10" s="1"/>
  <c r="F291" i="10" a="1"/>
  <c r="F291" i="10" s="1"/>
  <c r="F290" i="10" a="1"/>
  <c r="F290" i="10" s="1"/>
  <c r="F289" i="10" a="1"/>
  <c r="F289" i="10" s="1"/>
  <c r="F288" i="10" a="1"/>
  <c r="F288" i="10" s="1"/>
  <c r="F287" i="10" a="1"/>
  <c r="F287" i="10" s="1"/>
  <c r="F286" i="10" a="1"/>
  <c r="F286" i="10" s="1"/>
  <c r="F285" i="10" a="1"/>
  <c r="F285" i="10" s="1"/>
  <c r="F284" i="10" a="1"/>
  <c r="F284" i="10" s="1"/>
  <c r="F283" i="10" a="1"/>
  <c r="F283" i="10" s="1"/>
  <c r="F282" i="10" a="1"/>
  <c r="F282" i="10" s="1"/>
  <c r="F281" i="10" a="1"/>
  <c r="F281" i="10" s="1"/>
  <c r="F280" i="10" a="1"/>
  <c r="F280" i="10" s="1"/>
  <c r="F279" i="10" a="1"/>
  <c r="F279" i="10" s="1"/>
  <c r="F278" i="10" a="1"/>
  <c r="F278" i="10" s="1"/>
  <c r="F277" i="10" a="1"/>
  <c r="F277" i="10" s="1"/>
  <c r="F276" i="10" a="1"/>
  <c r="F276" i="10" s="1"/>
  <c r="F275" i="10" a="1"/>
  <c r="F275" i="10" s="1"/>
  <c r="F274" i="10" a="1"/>
  <c r="F274" i="10" s="1"/>
  <c r="F273" i="10" a="1"/>
  <c r="F273" i="10" s="1"/>
  <c r="F272" i="10" a="1"/>
  <c r="F272" i="10" s="1"/>
  <c r="F271" i="10" a="1"/>
  <c r="F271" i="10" s="1"/>
  <c r="F270" i="10" a="1"/>
  <c r="F270" i="10" s="1"/>
  <c r="F269" i="10" a="1"/>
  <c r="F269" i="10" s="1"/>
  <c r="F268" i="10" a="1"/>
  <c r="F268" i="10" s="1"/>
  <c r="F267" i="10" a="1"/>
  <c r="F267" i="10" s="1"/>
  <c r="F266" i="10" a="1"/>
  <c r="F266" i="10" s="1"/>
  <c r="F265" i="10" a="1"/>
  <c r="F265" i="10" s="1"/>
  <c r="F264" i="10" a="1"/>
  <c r="F264" i="10" s="1"/>
  <c r="F263" i="10" a="1"/>
  <c r="F263" i="10" s="1"/>
  <c r="F262" i="10"/>
  <c r="F262" i="10" a="1"/>
  <c r="F261" i="10" a="1"/>
  <c r="F261" i="10" s="1"/>
  <c r="F260" i="10" a="1"/>
  <c r="F260" i="10" s="1"/>
  <c r="F259" i="10" a="1"/>
  <c r="F259" i="10" s="1"/>
  <c r="F258" i="10" a="1"/>
  <c r="F258" i="10" s="1"/>
  <c r="F257" i="10" a="1"/>
  <c r="F257" i="10" s="1"/>
  <c r="F256" i="10" a="1"/>
  <c r="F256" i="10" s="1"/>
  <c r="F255" i="10" a="1"/>
  <c r="F255" i="10" s="1"/>
  <c r="F254" i="10" a="1"/>
  <c r="F254" i="10" s="1"/>
  <c r="F253" i="10" a="1"/>
  <c r="F253" i="10" s="1"/>
  <c r="F252" i="10" a="1"/>
  <c r="F252" i="10" s="1"/>
  <c r="F251" i="10" a="1"/>
  <c r="F251" i="10" s="1"/>
  <c r="F250" i="10" a="1"/>
  <c r="F250" i="10" s="1"/>
  <c r="F249" i="10" a="1"/>
  <c r="F249" i="10" s="1"/>
  <c r="F248" i="10" a="1"/>
  <c r="F248" i="10" s="1"/>
  <c r="F247" i="10" a="1"/>
  <c r="F247" i="10" s="1"/>
  <c r="F246" i="10" a="1"/>
  <c r="F246" i="10" s="1"/>
  <c r="F245" i="10" a="1"/>
  <c r="F245" i="10" s="1"/>
  <c r="F244" i="10" a="1"/>
  <c r="F244" i="10" s="1"/>
  <c r="F243" i="10" a="1"/>
  <c r="F243" i="10" s="1"/>
  <c r="F242" i="10" a="1"/>
  <c r="F242" i="10" s="1"/>
  <c r="F241" i="10" a="1"/>
  <c r="F241" i="10" s="1"/>
  <c r="F240" i="10" a="1"/>
  <c r="F240" i="10" s="1"/>
  <c r="F239" i="10" a="1"/>
  <c r="F239" i="10" s="1"/>
  <c r="F238" i="10" a="1"/>
  <c r="F238" i="10" s="1"/>
  <c r="F237" i="10" a="1"/>
  <c r="F237" i="10" s="1"/>
  <c r="F236" i="10" a="1"/>
  <c r="F236" i="10" s="1"/>
  <c r="F235" i="10" a="1"/>
  <c r="F235" i="10" s="1"/>
  <c r="F234" i="10" a="1"/>
  <c r="F234" i="10" s="1"/>
  <c r="F233" i="10" a="1"/>
  <c r="F233" i="10" s="1"/>
  <c r="F232" i="10" a="1"/>
  <c r="F232" i="10" s="1"/>
  <c r="F231" i="10" a="1"/>
  <c r="F231" i="10" s="1"/>
  <c r="F230" i="10" a="1"/>
  <c r="F230" i="10" s="1"/>
  <c r="F229" i="10" a="1"/>
  <c r="F229" i="10" s="1"/>
  <c r="F228" i="10" a="1"/>
  <c r="F228" i="10" s="1"/>
  <c r="F227" i="10" a="1"/>
  <c r="F227" i="10" s="1"/>
  <c r="F226" i="10" a="1"/>
  <c r="F226" i="10" s="1"/>
  <c r="F225" i="10" a="1"/>
  <c r="F225" i="10" s="1"/>
  <c r="F224" i="10" a="1"/>
  <c r="F224" i="10" s="1"/>
  <c r="F223" i="10" a="1"/>
  <c r="F223" i="10" s="1"/>
  <c r="F222" i="10"/>
  <c r="F222" i="10" a="1"/>
  <c r="F221" i="10" a="1"/>
  <c r="F221" i="10" s="1"/>
  <c r="F220" i="10" a="1"/>
  <c r="F220" i="10" s="1"/>
  <c r="F219" i="10" a="1"/>
  <c r="F219" i="10" s="1"/>
  <c r="F218" i="10" a="1"/>
  <c r="F218" i="10" s="1"/>
  <c r="F217" i="10" a="1"/>
  <c r="F217" i="10" s="1"/>
  <c r="F216" i="10" a="1"/>
  <c r="F216" i="10" s="1"/>
  <c r="F215" i="10" a="1"/>
  <c r="F215" i="10" s="1"/>
  <c r="F214" i="10" a="1"/>
  <c r="F214" i="10" s="1"/>
  <c r="F213" i="10" a="1"/>
  <c r="F213" i="10" s="1"/>
  <c r="F212" i="10" a="1"/>
  <c r="F212" i="10" s="1"/>
  <c r="F211" i="10" a="1"/>
  <c r="F211" i="10" s="1"/>
  <c r="F210" i="10" a="1"/>
  <c r="F210" i="10" s="1"/>
  <c r="F209" i="10" a="1"/>
  <c r="F209" i="10" s="1"/>
  <c r="F208" i="10" a="1"/>
  <c r="F208" i="10" s="1"/>
  <c r="F207" i="10" a="1"/>
  <c r="F207" i="10" s="1"/>
  <c r="F206" i="10" a="1"/>
  <c r="F206" i="10" s="1"/>
  <c r="F205" i="10" a="1"/>
  <c r="F205" i="10" s="1"/>
  <c r="F204" i="10" a="1"/>
  <c r="F204" i="10" s="1"/>
  <c r="F203" i="10" a="1"/>
  <c r="F203" i="10" s="1"/>
  <c r="F202" i="10" a="1"/>
  <c r="F202" i="10" s="1"/>
  <c r="F201" i="10" a="1"/>
  <c r="F201" i="10" s="1"/>
  <c r="F200" i="10" a="1"/>
  <c r="F200" i="10" s="1"/>
  <c r="F199" i="10" a="1"/>
  <c r="F199" i="10" s="1"/>
  <c r="F198" i="10" a="1"/>
  <c r="F198" i="10" s="1"/>
  <c r="F197" i="10" a="1"/>
  <c r="F197" i="10" s="1"/>
  <c r="F196" i="10" a="1"/>
  <c r="F196" i="10" s="1"/>
  <c r="F195" i="10" a="1"/>
  <c r="F195" i="10" s="1"/>
  <c r="F194" i="10" a="1"/>
  <c r="F194" i="10" s="1"/>
  <c r="F193" i="10" a="1"/>
  <c r="F193" i="10" s="1"/>
  <c r="F192" i="10" a="1"/>
  <c r="F192" i="10" s="1"/>
  <c r="F191" i="10" a="1"/>
  <c r="F191" i="10" s="1"/>
  <c r="F190" i="10" a="1"/>
  <c r="F190" i="10" s="1"/>
  <c r="F189" i="10" a="1"/>
  <c r="F189" i="10" s="1"/>
  <c r="F188" i="10" a="1"/>
  <c r="F188" i="10" s="1"/>
  <c r="F187" i="10" a="1"/>
  <c r="F187" i="10" s="1"/>
  <c r="F186" i="10" a="1"/>
  <c r="F186" i="10" s="1"/>
  <c r="F185" i="10" a="1"/>
  <c r="F185" i="10" s="1"/>
  <c r="F184" i="10" a="1"/>
  <c r="F184" i="10" s="1"/>
  <c r="F183" i="10" a="1"/>
  <c r="F183" i="10" s="1"/>
  <c r="F182" i="10" a="1"/>
  <c r="F182" i="10" s="1"/>
  <c r="F181" i="10" a="1"/>
  <c r="F181" i="10" s="1"/>
  <c r="F180" i="10" a="1"/>
  <c r="F180" i="10" s="1"/>
  <c r="F179" i="10" a="1"/>
  <c r="F179" i="10" s="1"/>
  <c r="F178" i="10" a="1"/>
  <c r="F178" i="10" s="1"/>
  <c r="F177" i="10" a="1"/>
  <c r="F177" i="10" s="1"/>
  <c r="F176" i="10" a="1"/>
  <c r="F176" i="10" s="1"/>
  <c r="F175" i="10" a="1"/>
  <c r="F175" i="10" s="1"/>
  <c r="F174" i="10" a="1"/>
  <c r="F174" i="10" s="1"/>
  <c r="F173" i="10" a="1"/>
  <c r="F173" i="10" s="1"/>
  <c r="F172" i="10" a="1"/>
  <c r="F172" i="10" s="1"/>
  <c r="F171" i="10" a="1"/>
  <c r="F171" i="10" s="1"/>
  <c r="F170" i="10" a="1"/>
  <c r="F170" i="10" s="1"/>
  <c r="F169" i="10" a="1"/>
  <c r="F169" i="10" s="1"/>
  <c r="F168" i="10" a="1"/>
  <c r="F168" i="10" s="1"/>
  <c r="F167" i="10" a="1"/>
  <c r="F167" i="10" s="1"/>
  <c r="F166" i="10" a="1"/>
  <c r="F166" i="10" s="1"/>
  <c r="F165" i="10" a="1"/>
  <c r="F165" i="10" s="1"/>
  <c r="F164" i="10" a="1"/>
  <c r="F164" i="10" s="1"/>
  <c r="F163" i="10" a="1"/>
  <c r="F163" i="10" s="1"/>
  <c r="F162" i="10" a="1"/>
  <c r="F162" i="10" s="1"/>
  <c r="F161" i="10" a="1"/>
  <c r="F161" i="10" s="1"/>
  <c r="F160" i="10" a="1"/>
  <c r="F160" i="10" s="1"/>
  <c r="F159" i="10" a="1"/>
  <c r="F159" i="10" s="1"/>
  <c r="F158" i="10"/>
  <c r="F158" i="10" a="1"/>
  <c r="F157" i="10" a="1"/>
  <c r="F157" i="10" s="1"/>
  <c r="F156" i="10" a="1"/>
  <c r="F156" i="10" s="1"/>
  <c r="F155" i="10" a="1"/>
  <c r="F155" i="10" s="1"/>
  <c r="F154" i="10" a="1"/>
  <c r="F154" i="10" s="1"/>
  <c r="F153" i="10" a="1"/>
  <c r="F153" i="10" s="1"/>
  <c r="F152" i="10" a="1"/>
  <c r="F152" i="10" s="1"/>
  <c r="F151" i="10" a="1"/>
  <c r="F151" i="10" s="1"/>
  <c r="F150" i="10" a="1"/>
  <c r="F150" i="10" s="1"/>
  <c r="F149" i="10" a="1"/>
  <c r="F149" i="10" s="1"/>
  <c r="F148" i="10" a="1"/>
  <c r="F148" i="10" s="1"/>
  <c r="F147" i="10" a="1"/>
  <c r="F147" i="10" s="1"/>
  <c r="F146" i="10" a="1"/>
  <c r="F146" i="10" s="1"/>
  <c r="F145" i="10" a="1"/>
  <c r="F145" i="10" s="1"/>
  <c r="F144" i="10" a="1"/>
  <c r="F144" i="10" s="1"/>
  <c r="F143" i="10" a="1"/>
  <c r="F143" i="10" s="1"/>
  <c r="F142" i="10" a="1"/>
  <c r="F142" i="10" s="1"/>
  <c r="F141" i="10" a="1"/>
  <c r="F141" i="10" s="1"/>
  <c r="F140" i="10" a="1"/>
  <c r="F140" i="10" s="1"/>
  <c r="F139" i="10" a="1"/>
  <c r="F139" i="10" s="1"/>
  <c r="F138" i="10" a="1"/>
  <c r="F138" i="10" s="1"/>
  <c r="F137" i="10" a="1"/>
  <c r="F137" i="10" s="1"/>
  <c r="F136" i="10" a="1"/>
  <c r="F136" i="10" s="1"/>
  <c r="F135" i="10" a="1"/>
  <c r="F135" i="10" s="1"/>
  <c r="F134" i="10" a="1"/>
  <c r="F134" i="10" s="1"/>
  <c r="F133" i="10" a="1"/>
  <c r="F133" i="10" s="1"/>
  <c r="F132" i="10" a="1"/>
  <c r="F132" i="10" s="1"/>
  <c r="F131" i="10" a="1"/>
  <c r="F131" i="10" s="1"/>
  <c r="F130" i="10" a="1"/>
  <c r="F130" i="10" s="1"/>
  <c r="F129" i="10" a="1"/>
  <c r="F129" i="10" s="1"/>
  <c r="F128" i="10" a="1"/>
  <c r="F128" i="10" s="1"/>
  <c r="F127" i="10" a="1"/>
  <c r="F127" i="10" s="1"/>
  <c r="F126" i="10"/>
  <c r="F126" i="10" a="1"/>
  <c r="F125" i="10" a="1"/>
  <c r="F125" i="10" s="1"/>
  <c r="F124" i="10" a="1"/>
  <c r="F124" i="10" s="1"/>
  <c r="F123" i="10" a="1"/>
  <c r="F123" i="10" s="1"/>
  <c r="F122" i="10" a="1"/>
  <c r="F122" i="10" s="1"/>
  <c r="F121" i="10" a="1"/>
  <c r="F121" i="10" s="1"/>
  <c r="F120" i="10" a="1"/>
  <c r="F120" i="10" s="1"/>
  <c r="F119" i="10" a="1"/>
  <c r="F119" i="10" s="1"/>
  <c r="F118" i="10" a="1"/>
  <c r="F118" i="10" s="1"/>
  <c r="F117" i="10" a="1"/>
  <c r="F117" i="10" s="1"/>
  <c r="F116" i="10" a="1"/>
  <c r="F116" i="10" s="1"/>
  <c r="F115" i="10" a="1"/>
  <c r="F115" i="10" s="1"/>
  <c r="F114" i="10" a="1"/>
  <c r="F114" i="10" s="1"/>
  <c r="F113" i="10" a="1"/>
  <c r="F113" i="10" s="1"/>
  <c r="F112" i="10" a="1"/>
  <c r="F112" i="10" s="1"/>
  <c r="F111" i="10" a="1"/>
  <c r="F111" i="10" s="1"/>
  <c r="F110" i="10" a="1"/>
  <c r="F110" i="10" s="1"/>
  <c r="F109" i="10" a="1"/>
  <c r="F109" i="10" s="1"/>
  <c r="F108" i="10" a="1"/>
  <c r="F108" i="10" s="1"/>
  <c r="F107" i="10" a="1"/>
  <c r="F107" i="10" s="1"/>
  <c r="F106" i="10" a="1"/>
  <c r="F106" i="10" s="1"/>
  <c r="F105" i="10" a="1"/>
  <c r="F105" i="10" s="1"/>
  <c r="F104" i="10" a="1"/>
  <c r="F104" i="10" s="1"/>
  <c r="F103" i="10" a="1"/>
  <c r="F103" i="10" s="1"/>
  <c r="F102" i="10"/>
  <c r="F102" i="10" a="1"/>
  <c r="F101" i="10" a="1"/>
  <c r="F101" i="10" s="1"/>
  <c r="F100" i="10" a="1"/>
  <c r="F100" i="10" s="1"/>
  <c r="F99" i="10" a="1"/>
  <c r="F99" i="10" s="1"/>
  <c r="F98" i="10" a="1"/>
  <c r="F98" i="10" s="1"/>
  <c r="F97" i="10" a="1"/>
  <c r="F97" i="10" s="1"/>
  <c r="F96" i="10" a="1"/>
  <c r="F96" i="10" s="1"/>
  <c r="F95" i="10" a="1"/>
  <c r="F95" i="10" s="1"/>
  <c r="F94" i="10" a="1"/>
  <c r="F94" i="10" s="1"/>
  <c r="F93" i="10" a="1"/>
  <c r="F93" i="10" s="1"/>
  <c r="F92" i="10" a="1"/>
  <c r="F92" i="10" s="1"/>
  <c r="F91" i="10" a="1"/>
  <c r="F91" i="10" s="1"/>
  <c r="F90" i="10" a="1"/>
  <c r="F90" i="10" s="1"/>
  <c r="F89" i="10" a="1"/>
  <c r="F89" i="10" s="1"/>
  <c r="F88" i="10" a="1"/>
  <c r="F88" i="10" s="1"/>
  <c r="F87" i="10" a="1"/>
  <c r="F87" i="10" s="1"/>
  <c r="F86" i="10" a="1"/>
  <c r="F86" i="10" s="1"/>
  <c r="F85" i="10" a="1"/>
  <c r="F85" i="10" s="1"/>
  <c r="F84" i="10" a="1"/>
  <c r="F84" i="10" s="1"/>
  <c r="F83" i="10" a="1"/>
  <c r="F83" i="10" s="1"/>
  <c r="F82" i="10" a="1"/>
  <c r="F82" i="10" s="1"/>
  <c r="F81" i="10" a="1"/>
  <c r="F81" i="10" s="1"/>
  <c r="F80" i="10" a="1"/>
  <c r="F80" i="10" s="1"/>
  <c r="F79" i="10" a="1"/>
  <c r="F79" i="10" s="1"/>
  <c r="F78" i="10" a="1"/>
  <c r="F78" i="10" s="1"/>
  <c r="F77" i="10" a="1"/>
  <c r="F77" i="10" s="1"/>
  <c r="F76" i="10" a="1"/>
  <c r="F76" i="10" s="1"/>
  <c r="F75" i="10" a="1"/>
  <c r="F75" i="10" s="1"/>
  <c r="F74" i="10" a="1"/>
  <c r="F74" i="10" s="1"/>
  <c r="F73" i="10" a="1"/>
  <c r="F73" i="10" s="1"/>
  <c r="F72" i="10" a="1"/>
  <c r="F72" i="10" s="1"/>
  <c r="F71" i="10" a="1"/>
  <c r="F71" i="10" s="1"/>
  <c r="F70" i="10" a="1"/>
  <c r="F70" i="10" s="1"/>
  <c r="F69" i="10" a="1"/>
  <c r="F69" i="10" s="1"/>
  <c r="F68" i="10" a="1"/>
  <c r="F68" i="10" s="1"/>
  <c r="F67" i="10" a="1"/>
  <c r="F67" i="10" s="1"/>
  <c r="F66" i="10" a="1"/>
  <c r="F66" i="10" s="1"/>
  <c r="F65" i="10" a="1"/>
  <c r="F65" i="10" s="1"/>
  <c r="F64" i="10" a="1"/>
  <c r="F64" i="10" s="1"/>
  <c r="F63" i="10" a="1"/>
  <c r="F63" i="10" s="1"/>
  <c r="F62" i="10" a="1"/>
  <c r="F62" i="10" s="1"/>
  <c r="F61" i="10" a="1"/>
  <c r="F61" i="10" s="1"/>
  <c r="F60" i="10" a="1"/>
  <c r="F60" i="10" s="1"/>
  <c r="F59" i="10" a="1"/>
  <c r="F59" i="10" s="1"/>
  <c r="F58" i="10" a="1"/>
  <c r="F58" i="10" s="1"/>
  <c r="F57" i="10" a="1"/>
  <c r="F57" i="10" s="1"/>
  <c r="F56" i="10" a="1"/>
  <c r="F56" i="10" s="1"/>
  <c r="F55" i="10" a="1"/>
  <c r="F55" i="10" s="1"/>
  <c r="F54" i="10" a="1"/>
  <c r="F54" i="10" s="1"/>
  <c r="F53" i="10" a="1"/>
  <c r="F53" i="10" s="1"/>
  <c r="F52" i="10" a="1"/>
  <c r="F52" i="10" s="1"/>
  <c r="F51" i="10" a="1"/>
  <c r="F51" i="10" s="1"/>
  <c r="F50" i="10" a="1"/>
  <c r="F50" i="10" s="1"/>
  <c r="F49" i="10" a="1"/>
  <c r="F49" i="10" s="1"/>
  <c r="F48" i="10" a="1"/>
  <c r="F48" i="10" s="1"/>
  <c r="F47" i="10" a="1"/>
  <c r="F47" i="10" s="1"/>
  <c r="F46" i="10" a="1"/>
  <c r="F46" i="10" s="1"/>
  <c r="F45" i="10" a="1"/>
  <c r="F45" i="10" s="1"/>
  <c r="F44" i="10" a="1"/>
  <c r="F44" i="10" s="1"/>
  <c r="F43" i="10" a="1"/>
  <c r="F43" i="10" s="1"/>
  <c r="F42" i="10" a="1"/>
  <c r="F42" i="10" s="1"/>
  <c r="F41" i="10" a="1"/>
  <c r="F41" i="10" s="1"/>
  <c r="F40" i="10" a="1"/>
  <c r="F40" i="10" s="1"/>
  <c r="F39" i="10" a="1"/>
  <c r="F39" i="10" s="1"/>
  <c r="F38" i="10" a="1"/>
  <c r="F38" i="10" s="1"/>
  <c r="F37" i="10" a="1"/>
  <c r="F37" i="10" s="1"/>
  <c r="F36" i="10" a="1"/>
  <c r="F36" i="10" s="1"/>
  <c r="F35" i="10" a="1"/>
  <c r="F35" i="10" s="1"/>
  <c r="F34" i="10" a="1"/>
  <c r="F34" i="10" s="1"/>
  <c r="F33" i="10" a="1"/>
  <c r="F33" i="10" s="1"/>
  <c r="F32" i="10" a="1"/>
  <c r="F32" i="10" s="1"/>
  <c r="F31" i="10" a="1"/>
  <c r="F31" i="10" s="1"/>
  <c r="F30" i="10" a="1"/>
  <c r="F30" i="10" s="1"/>
  <c r="F29" i="10" a="1"/>
  <c r="F29" i="10" s="1"/>
  <c r="F28" i="10" a="1"/>
  <c r="F28" i="10" s="1"/>
  <c r="F27" i="10" a="1"/>
  <c r="F27" i="10" s="1"/>
  <c r="F26" i="10" a="1"/>
  <c r="F26" i="10" s="1"/>
  <c r="F25" i="10" a="1"/>
  <c r="F25" i="10" s="1"/>
  <c r="F24" i="10" a="1"/>
  <c r="F24" i="10" s="1"/>
  <c r="F23" i="10" a="1"/>
  <c r="F23" i="10" s="1"/>
  <c r="F22" i="10" a="1"/>
  <c r="F22" i="10" s="1"/>
  <c r="F21" i="10" a="1"/>
  <c r="F21" i="10" s="1"/>
  <c r="F20" i="10" a="1"/>
  <c r="F20" i="10" s="1"/>
  <c r="F19" i="10" a="1"/>
  <c r="F19" i="10" s="1"/>
  <c r="F18" i="10" a="1"/>
  <c r="F18" i="10" s="1"/>
  <c r="F17" i="10" a="1"/>
  <c r="F17" i="10" s="1"/>
  <c r="F16" i="10" a="1"/>
  <c r="F16" i="10" s="1"/>
  <c r="F15" i="10" a="1"/>
  <c r="F15" i="10" s="1"/>
  <c r="E2" i="10" a="1"/>
  <c r="E2" i="10" s="1"/>
  <c r="F2" i="10" s="1" a="1"/>
  <c r="F2" i="10" s="1"/>
  <c r="B15" i="10" a="1"/>
  <c r="B15" i="10" s="1"/>
  <c r="B16" i="10" a="1"/>
  <c r="B16" i="10" s="1"/>
  <c r="B17" i="10" a="1"/>
  <c r="B17" i="10" s="1"/>
  <c r="B18" i="10" a="1"/>
  <c r="B18" i="10" s="1"/>
  <c r="B19" i="10" a="1"/>
  <c r="B19" i="10" s="1"/>
  <c r="B20" i="10" a="1"/>
  <c r="B20" i="10" s="1"/>
  <c r="B21" i="10" a="1"/>
  <c r="B21" i="10" s="1"/>
  <c r="B22" i="10" a="1"/>
  <c r="B22" i="10" s="1"/>
  <c r="B23" i="10" a="1"/>
  <c r="B23" i="10" s="1"/>
  <c r="B24" i="10" a="1"/>
  <c r="B24" i="10" s="1"/>
  <c r="B25" i="10" a="1"/>
  <c r="B25" i="10" s="1"/>
  <c r="B26" i="10" a="1"/>
  <c r="B26" i="10" s="1"/>
  <c r="B27" i="10" a="1"/>
  <c r="B27" i="10" s="1"/>
  <c r="B28" i="10" a="1"/>
  <c r="B28" i="10" s="1"/>
  <c r="B29" i="10" a="1"/>
  <c r="B29" i="10" s="1"/>
  <c r="B30" i="10" a="1"/>
  <c r="B30" i="10" s="1"/>
  <c r="B31" i="10" a="1"/>
  <c r="B31" i="10" s="1"/>
  <c r="B32" i="10" a="1"/>
  <c r="B32" i="10" s="1"/>
  <c r="B33" i="10" a="1"/>
  <c r="B33" i="10" s="1"/>
  <c r="B34" i="10" a="1"/>
  <c r="B34" i="10" s="1"/>
  <c r="B35" i="10" a="1"/>
  <c r="B35" i="10" s="1"/>
  <c r="B36" i="10" a="1"/>
  <c r="B36" i="10" s="1"/>
  <c r="B37" i="10" a="1"/>
  <c r="B37" i="10" s="1"/>
  <c r="B38" i="10" a="1"/>
  <c r="B38" i="10" s="1"/>
  <c r="B39" i="10" a="1"/>
  <c r="B39" i="10" s="1"/>
  <c r="B40" i="10" a="1"/>
  <c r="B40" i="10" s="1"/>
  <c r="B41" i="10" a="1"/>
  <c r="B41" i="10" s="1"/>
  <c r="B42" i="10" a="1"/>
  <c r="B42" i="10" s="1"/>
  <c r="B43" i="10" a="1"/>
  <c r="B43" i="10" s="1"/>
  <c r="B44" i="10" a="1"/>
  <c r="B44" i="10" s="1"/>
  <c r="B45" i="10" a="1"/>
  <c r="B45" i="10" s="1"/>
  <c r="B46" i="10" a="1"/>
  <c r="B46" i="10" s="1"/>
  <c r="B47" i="10" a="1"/>
  <c r="B47" i="10" s="1"/>
  <c r="B48" i="10" a="1"/>
  <c r="B48" i="10" s="1"/>
  <c r="B49" i="10" a="1"/>
  <c r="B49" i="10" s="1"/>
  <c r="B50" i="10" a="1"/>
  <c r="B50" i="10" s="1"/>
  <c r="B51" i="10" a="1"/>
  <c r="B51" i="10" s="1"/>
  <c r="B52" i="10" a="1"/>
  <c r="B52" i="10" s="1"/>
  <c r="B53" i="10" a="1"/>
  <c r="B53" i="10" s="1"/>
  <c r="B54" i="10" a="1"/>
  <c r="B54" i="10" s="1"/>
  <c r="B55" i="10" a="1"/>
  <c r="B55" i="10" s="1"/>
  <c r="B56" i="10" a="1"/>
  <c r="B56" i="10" s="1"/>
  <c r="B57" i="10" a="1"/>
  <c r="B57" i="10" s="1"/>
  <c r="B58" i="10" a="1"/>
  <c r="B58" i="10" s="1"/>
  <c r="B59" i="10" a="1"/>
  <c r="B59" i="10" s="1"/>
  <c r="B60" i="10" a="1"/>
  <c r="B60" i="10" s="1"/>
  <c r="B61" i="10" a="1"/>
  <c r="B61" i="10" s="1"/>
  <c r="B62" i="10" a="1"/>
  <c r="B62" i="10" s="1"/>
  <c r="B63" i="10" a="1"/>
  <c r="B63" i="10" s="1"/>
  <c r="B64" i="10" a="1"/>
  <c r="B64" i="10" s="1"/>
  <c r="B65" i="10" a="1"/>
  <c r="B65" i="10" s="1"/>
  <c r="B66" i="10" a="1"/>
  <c r="B66" i="10" s="1"/>
  <c r="B67" i="10" a="1"/>
  <c r="B67" i="10" s="1"/>
  <c r="B68" i="10" a="1"/>
  <c r="B68" i="10" s="1"/>
  <c r="B69" i="10" a="1"/>
  <c r="B69" i="10" s="1"/>
  <c r="B70" i="10" a="1"/>
  <c r="B70" i="10" s="1"/>
  <c r="B71" i="10" a="1"/>
  <c r="B71" i="10" s="1"/>
  <c r="B72" i="10" a="1"/>
  <c r="B72" i="10" s="1"/>
  <c r="B73" i="10" a="1"/>
  <c r="B73" i="10" s="1"/>
  <c r="B74" i="10" a="1"/>
  <c r="B74" i="10" s="1"/>
  <c r="B75" i="10" a="1"/>
  <c r="B75" i="10" s="1"/>
  <c r="B76" i="10" a="1"/>
  <c r="B76" i="10" s="1"/>
  <c r="B77" i="10" a="1"/>
  <c r="B77" i="10" s="1"/>
  <c r="B78" i="10" a="1"/>
  <c r="B78" i="10" s="1"/>
  <c r="B79" i="10" a="1"/>
  <c r="B79" i="10" s="1"/>
  <c r="B80" i="10" a="1"/>
  <c r="B80" i="10" s="1"/>
  <c r="B81" i="10" a="1"/>
  <c r="B81" i="10" s="1"/>
  <c r="B82" i="10" a="1"/>
  <c r="B82" i="10" s="1"/>
  <c r="B83" i="10" a="1"/>
  <c r="B83" i="10" s="1"/>
  <c r="B84" i="10" a="1"/>
  <c r="B84" i="10" s="1"/>
  <c r="B85" i="10" a="1"/>
  <c r="B85" i="10" s="1"/>
  <c r="B86" i="10" a="1"/>
  <c r="B86" i="10" s="1"/>
  <c r="B87" i="10" a="1"/>
  <c r="B87" i="10" s="1"/>
  <c r="B88" i="10" a="1"/>
  <c r="B88" i="10" s="1"/>
  <c r="B89" i="10" a="1"/>
  <c r="B89" i="10" s="1"/>
  <c r="B90" i="10" a="1"/>
  <c r="B90" i="10" s="1"/>
  <c r="B91" i="10" a="1"/>
  <c r="B91" i="10" s="1"/>
  <c r="B92" i="10" a="1"/>
  <c r="B92" i="10" s="1"/>
  <c r="B93" i="10" a="1"/>
  <c r="B93" i="10" s="1"/>
  <c r="B94" i="10" a="1"/>
  <c r="B94" i="10" s="1"/>
  <c r="B95" i="10" a="1"/>
  <c r="B95" i="10" s="1"/>
  <c r="B96" i="10" a="1"/>
  <c r="B96" i="10" s="1"/>
  <c r="B97" i="10" a="1"/>
  <c r="B97" i="10" s="1"/>
  <c r="B98" i="10" a="1"/>
  <c r="B98" i="10" s="1"/>
  <c r="B99" i="10" a="1"/>
  <c r="B99" i="10" s="1"/>
  <c r="B100" i="10" a="1"/>
  <c r="B100" i="10" s="1"/>
  <c r="B101" i="10" a="1"/>
  <c r="B101" i="10" s="1"/>
  <c r="B102" i="10" a="1"/>
  <c r="B102" i="10" s="1"/>
  <c r="B103" i="10" a="1"/>
  <c r="B103" i="10" s="1"/>
  <c r="B104" i="10" a="1"/>
  <c r="B104" i="10" s="1"/>
  <c r="B105" i="10" a="1"/>
  <c r="B105" i="10" s="1"/>
  <c r="B106" i="10" a="1"/>
  <c r="B106" i="10" s="1"/>
  <c r="B107" i="10" a="1"/>
  <c r="B107" i="10" s="1"/>
  <c r="B108" i="10" a="1"/>
  <c r="B108" i="10" s="1"/>
  <c r="B109" i="10" a="1"/>
  <c r="B109" i="10" s="1"/>
  <c r="B110" i="10" a="1"/>
  <c r="B110" i="10" s="1"/>
  <c r="B111" i="10" a="1"/>
  <c r="B111" i="10" s="1"/>
  <c r="B112" i="10" a="1"/>
  <c r="B112" i="10" s="1"/>
  <c r="B113" i="10" a="1"/>
  <c r="B113" i="10" s="1"/>
  <c r="B114" i="10" a="1"/>
  <c r="B114" i="10" s="1"/>
  <c r="B115" i="10" a="1"/>
  <c r="B115" i="10" s="1"/>
  <c r="B116" i="10" a="1"/>
  <c r="B116" i="10" s="1"/>
  <c r="B117" i="10" a="1"/>
  <c r="B117" i="10" s="1"/>
  <c r="B118" i="10" a="1"/>
  <c r="B118" i="10" s="1"/>
  <c r="B119" i="10" a="1"/>
  <c r="B119" i="10" s="1"/>
  <c r="B120" i="10" a="1"/>
  <c r="B120" i="10" s="1"/>
  <c r="B121" i="10" a="1"/>
  <c r="B121" i="10" s="1"/>
  <c r="B122" i="10" a="1"/>
  <c r="B122" i="10" s="1"/>
  <c r="B123" i="10" a="1"/>
  <c r="B123" i="10" s="1"/>
  <c r="B124" i="10" a="1"/>
  <c r="B124" i="10" s="1"/>
  <c r="B125" i="10" a="1"/>
  <c r="B125" i="10" s="1"/>
  <c r="B126" i="10" a="1"/>
  <c r="B126" i="10" s="1"/>
  <c r="B127" i="10" a="1"/>
  <c r="B127" i="10" s="1"/>
  <c r="B128" i="10" a="1"/>
  <c r="B128" i="10" s="1"/>
  <c r="B129" i="10" a="1"/>
  <c r="B129" i="10" s="1"/>
  <c r="B130" i="10" a="1"/>
  <c r="B130" i="10" s="1"/>
  <c r="B131" i="10" a="1"/>
  <c r="B131" i="10" s="1"/>
  <c r="B132" i="10" a="1"/>
  <c r="B132" i="10" s="1"/>
  <c r="B133" i="10" a="1"/>
  <c r="B133" i="10" s="1"/>
  <c r="B134" i="10" a="1"/>
  <c r="B134" i="10" s="1"/>
  <c r="B135" i="10" a="1"/>
  <c r="B135" i="10" s="1"/>
  <c r="B136" i="10" a="1"/>
  <c r="B136" i="10" s="1"/>
  <c r="B137" i="10" a="1"/>
  <c r="B137" i="10" s="1"/>
  <c r="B138" i="10" a="1"/>
  <c r="B138" i="10" s="1"/>
  <c r="B139" i="10" a="1"/>
  <c r="B139" i="10" s="1"/>
  <c r="B140" i="10" a="1"/>
  <c r="B140" i="10" s="1"/>
  <c r="B141" i="10" a="1"/>
  <c r="B141" i="10" s="1"/>
  <c r="B142" i="10" a="1"/>
  <c r="B142" i="10" s="1"/>
  <c r="B143" i="10" a="1"/>
  <c r="B143" i="10" s="1"/>
  <c r="B144" i="10" a="1"/>
  <c r="B144" i="10" s="1"/>
  <c r="B145" i="10" a="1"/>
  <c r="B145" i="10" s="1"/>
  <c r="B146" i="10" a="1"/>
  <c r="B146" i="10" s="1"/>
  <c r="B147" i="10" a="1"/>
  <c r="B147" i="10" s="1"/>
  <c r="B148" i="10" a="1"/>
  <c r="B148" i="10" s="1"/>
  <c r="B149" i="10" a="1"/>
  <c r="B149" i="10" s="1"/>
  <c r="B150" i="10" a="1"/>
  <c r="B150" i="10" s="1"/>
  <c r="B151" i="10" a="1"/>
  <c r="B151" i="10" s="1"/>
  <c r="B152" i="10" a="1"/>
  <c r="B152" i="10" s="1"/>
  <c r="B153" i="10" a="1"/>
  <c r="B153" i="10" s="1"/>
  <c r="B154" i="10" a="1"/>
  <c r="B154" i="10" s="1"/>
  <c r="B155" i="10" a="1"/>
  <c r="B155" i="10" s="1"/>
  <c r="B156" i="10" a="1"/>
  <c r="B156" i="10" s="1"/>
  <c r="B157" i="10" a="1"/>
  <c r="B157" i="10" s="1"/>
  <c r="B158" i="10" a="1"/>
  <c r="B158" i="10" s="1"/>
  <c r="B159" i="10" a="1"/>
  <c r="B159" i="10" s="1"/>
  <c r="B160" i="10" a="1"/>
  <c r="B160" i="10" s="1"/>
  <c r="B161" i="10" a="1"/>
  <c r="B161" i="10" s="1"/>
  <c r="B162" i="10" a="1"/>
  <c r="B162" i="10" s="1"/>
  <c r="B163" i="10" a="1"/>
  <c r="B163" i="10" s="1"/>
  <c r="B164" i="10" a="1"/>
  <c r="B164" i="10" s="1"/>
  <c r="B165" i="10" a="1"/>
  <c r="B165" i="10" s="1"/>
  <c r="B166" i="10" a="1"/>
  <c r="B166" i="10" s="1"/>
  <c r="B167" i="10" a="1"/>
  <c r="B167" i="10" s="1"/>
  <c r="B168" i="10" a="1"/>
  <c r="B168" i="10" s="1"/>
  <c r="B169" i="10" a="1"/>
  <c r="B169" i="10" s="1"/>
  <c r="B170" i="10" a="1"/>
  <c r="B170" i="10" s="1"/>
  <c r="B171" i="10" a="1"/>
  <c r="B171" i="10" s="1"/>
  <c r="B172" i="10" a="1"/>
  <c r="B172" i="10" s="1"/>
  <c r="B173" i="10" a="1"/>
  <c r="B173" i="10" s="1"/>
  <c r="B174" i="10" a="1"/>
  <c r="B174" i="10" s="1"/>
  <c r="B175" i="10" a="1"/>
  <c r="B175" i="10" s="1"/>
  <c r="B176" i="10" a="1"/>
  <c r="B176" i="10"/>
  <c r="B177" i="10" a="1"/>
  <c r="B177" i="10" s="1"/>
  <c r="B178" i="10" a="1"/>
  <c r="B178" i="10" s="1"/>
  <c r="B179" i="10" a="1"/>
  <c r="B179" i="10" s="1"/>
  <c r="B180" i="10" a="1"/>
  <c r="B180" i="10" s="1"/>
  <c r="B181" i="10" a="1"/>
  <c r="B181" i="10" s="1"/>
  <c r="B182" i="10" a="1"/>
  <c r="B182" i="10" s="1"/>
  <c r="B183" i="10" a="1"/>
  <c r="B183" i="10" s="1"/>
  <c r="B184" i="10" a="1"/>
  <c r="B184" i="10" s="1"/>
  <c r="B185" i="10" a="1"/>
  <c r="B185" i="10" s="1"/>
  <c r="B186" i="10" a="1"/>
  <c r="B186" i="10" s="1"/>
  <c r="B187" i="10" a="1"/>
  <c r="B187" i="10" s="1"/>
  <c r="B188" i="10" a="1"/>
  <c r="B188" i="10" s="1"/>
  <c r="B189" i="10" a="1"/>
  <c r="B189" i="10" s="1"/>
  <c r="B190" i="10" a="1"/>
  <c r="B190" i="10" s="1"/>
  <c r="B191" i="10" a="1"/>
  <c r="B191" i="10" s="1"/>
  <c r="B192" i="10" a="1"/>
  <c r="B192" i="10" s="1"/>
  <c r="B193" i="10" a="1"/>
  <c r="B193" i="10" s="1"/>
  <c r="B194" i="10" a="1"/>
  <c r="B194" i="10" s="1"/>
  <c r="B195" i="10" a="1"/>
  <c r="B195" i="10" s="1"/>
  <c r="B196" i="10" a="1"/>
  <c r="B196" i="10" s="1"/>
  <c r="B197" i="10" a="1"/>
  <c r="B197" i="10" s="1"/>
  <c r="B198" i="10" a="1"/>
  <c r="B198" i="10" s="1"/>
  <c r="B199" i="10" a="1"/>
  <c r="B199" i="10" s="1"/>
  <c r="B200" i="10" a="1"/>
  <c r="B200" i="10" s="1"/>
  <c r="B201" i="10" a="1"/>
  <c r="B201" i="10" s="1"/>
  <c r="B202" i="10" a="1"/>
  <c r="B202" i="10" s="1"/>
  <c r="B203" i="10" a="1"/>
  <c r="B203" i="10" s="1"/>
  <c r="B204" i="10" a="1"/>
  <c r="B204" i="10" s="1"/>
  <c r="B205" i="10" a="1"/>
  <c r="B205" i="10" s="1"/>
  <c r="B206" i="10" a="1"/>
  <c r="B206" i="10" s="1"/>
  <c r="B207" i="10" a="1"/>
  <c r="B207" i="10" s="1"/>
  <c r="B208" i="10" a="1"/>
  <c r="B208" i="10" s="1"/>
  <c r="B209" i="10" a="1"/>
  <c r="B209" i="10" s="1"/>
  <c r="B210" i="10" a="1"/>
  <c r="B210" i="10" s="1"/>
  <c r="B211" i="10" a="1"/>
  <c r="B211" i="10" s="1"/>
  <c r="B212" i="10" a="1"/>
  <c r="B212" i="10" s="1"/>
  <c r="B213" i="10" a="1"/>
  <c r="B213" i="10" s="1"/>
  <c r="B214" i="10" a="1"/>
  <c r="B214" i="10" s="1"/>
  <c r="B215" i="10" a="1"/>
  <c r="B215" i="10" s="1"/>
  <c r="B216" i="10" a="1"/>
  <c r="B216" i="10" s="1"/>
  <c r="B217" i="10" a="1"/>
  <c r="B217" i="10" s="1"/>
  <c r="B218" i="10" a="1"/>
  <c r="B218" i="10" s="1"/>
  <c r="B219" i="10" a="1"/>
  <c r="B219" i="10" s="1"/>
  <c r="B220" i="10" a="1"/>
  <c r="B220" i="10" s="1"/>
  <c r="B221" i="10" a="1"/>
  <c r="B221" i="10" s="1"/>
  <c r="B222" i="10" a="1"/>
  <c r="B222" i="10" s="1"/>
  <c r="B223" i="10" a="1"/>
  <c r="B223" i="10" s="1"/>
  <c r="B224" i="10" a="1"/>
  <c r="B224" i="10" s="1"/>
  <c r="B225" i="10" a="1"/>
  <c r="B225" i="10" s="1"/>
  <c r="B226" i="10" a="1"/>
  <c r="B226" i="10" s="1"/>
  <c r="B227" i="10" a="1"/>
  <c r="B227" i="10" s="1"/>
  <c r="B228" i="10" a="1"/>
  <c r="B228" i="10" s="1"/>
  <c r="B229" i="10" a="1"/>
  <c r="B229" i="10" s="1"/>
  <c r="B230" i="10" a="1"/>
  <c r="B230" i="10" s="1"/>
  <c r="B231" i="10" a="1"/>
  <c r="B231" i="10" s="1"/>
  <c r="B232" i="10" a="1"/>
  <c r="B232" i="10" s="1"/>
  <c r="B233" i="10" a="1"/>
  <c r="B233" i="10" s="1"/>
  <c r="B234" i="10" a="1"/>
  <c r="B234" i="10" s="1"/>
  <c r="B235" i="10" a="1"/>
  <c r="B235" i="10" s="1"/>
  <c r="B236" i="10" a="1"/>
  <c r="B236" i="10" s="1"/>
  <c r="B237" i="10" a="1"/>
  <c r="B237" i="10" s="1"/>
  <c r="B238" i="10" a="1"/>
  <c r="B238" i="10" s="1"/>
  <c r="B239" i="10" a="1"/>
  <c r="B239" i="10" s="1"/>
  <c r="B240" i="10" a="1"/>
  <c r="B240" i="10" s="1"/>
  <c r="B241" i="10" a="1"/>
  <c r="B241" i="10" s="1"/>
  <c r="B242" i="10" a="1"/>
  <c r="B242" i="10" s="1"/>
  <c r="B243" i="10" a="1"/>
  <c r="B243" i="10" s="1"/>
  <c r="B244" i="10" a="1"/>
  <c r="B244" i="10" s="1"/>
  <c r="B245" i="10" a="1"/>
  <c r="B245" i="10" s="1"/>
  <c r="B246" i="10" a="1"/>
  <c r="B246" i="10" s="1"/>
  <c r="B247" i="10" a="1"/>
  <c r="B247" i="10" s="1"/>
  <c r="B248" i="10" a="1"/>
  <c r="B248" i="10" s="1"/>
  <c r="B249" i="10" a="1"/>
  <c r="B249" i="10" s="1"/>
  <c r="B250" i="10" a="1"/>
  <c r="B250" i="10" s="1"/>
  <c r="B251" i="10" a="1"/>
  <c r="B251" i="10" s="1"/>
  <c r="B252" i="10" a="1"/>
  <c r="B252" i="10" s="1"/>
  <c r="B253" i="10" a="1"/>
  <c r="B253" i="10" s="1"/>
  <c r="B254" i="10" a="1"/>
  <c r="B254" i="10" s="1"/>
  <c r="B255" i="10" a="1"/>
  <c r="B255" i="10" s="1"/>
  <c r="B256" i="10" a="1"/>
  <c r="B256" i="10" s="1"/>
  <c r="B257" i="10" a="1"/>
  <c r="B257" i="10" s="1"/>
  <c r="B258" i="10" a="1"/>
  <c r="B258" i="10" s="1"/>
  <c r="B259" i="10" a="1"/>
  <c r="B259" i="10" s="1"/>
  <c r="B260" i="10" a="1"/>
  <c r="B260" i="10" s="1"/>
  <c r="B261" i="10" a="1"/>
  <c r="B261" i="10" s="1"/>
  <c r="B262" i="10" a="1"/>
  <c r="B262" i="10" s="1"/>
  <c r="B263" i="10" a="1"/>
  <c r="B263" i="10" s="1"/>
  <c r="B264" i="10" a="1"/>
  <c r="B264" i="10" s="1"/>
  <c r="B265" i="10" a="1"/>
  <c r="B265" i="10" s="1"/>
  <c r="B266" i="10" a="1"/>
  <c r="B266" i="10" s="1"/>
  <c r="B267" i="10" a="1"/>
  <c r="B267" i="10" s="1"/>
  <c r="B268" i="10" a="1"/>
  <c r="B268" i="10" s="1"/>
  <c r="B269" i="10" a="1"/>
  <c r="B269" i="10" s="1"/>
  <c r="B270" i="10" a="1"/>
  <c r="B270" i="10" s="1"/>
  <c r="B271" i="10" a="1"/>
  <c r="B271" i="10" s="1"/>
  <c r="B272" i="10" a="1"/>
  <c r="B272" i="10" s="1"/>
  <c r="B273" i="10" a="1"/>
  <c r="B273" i="10" s="1"/>
  <c r="B274" i="10" a="1"/>
  <c r="B274" i="10" s="1"/>
  <c r="B275" i="10" a="1"/>
  <c r="B275" i="10" s="1"/>
  <c r="B276" i="10" a="1"/>
  <c r="B276" i="10" s="1"/>
  <c r="B277" i="10" a="1"/>
  <c r="B277" i="10" s="1"/>
  <c r="B278" i="10" a="1"/>
  <c r="B278" i="10" s="1"/>
  <c r="B279" i="10" a="1"/>
  <c r="B279" i="10" s="1"/>
  <c r="B280" i="10" a="1"/>
  <c r="B280" i="10" s="1"/>
  <c r="B281" i="10" a="1"/>
  <c r="B281" i="10" s="1"/>
  <c r="B282" i="10" a="1"/>
  <c r="B282" i="10" s="1"/>
  <c r="B283" i="10" a="1"/>
  <c r="B283" i="10" s="1"/>
  <c r="B284" i="10" a="1"/>
  <c r="B284" i="10" s="1"/>
  <c r="B285" i="10" a="1"/>
  <c r="B285" i="10" s="1"/>
  <c r="B286" i="10" a="1"/>
  <c r="B286" i="10" s="1"/>
  <c r="B287" i="10" a="1"/>
  <c r="B287" i="10" s="1"/>
  <c r="B288" i="10" a="1"/>
  <c r="B288" i="10" s="1"/>
  <c r="B289" i="10" a="1"/>
  <c r="B289" i="10" s="1"/>
  <c r="B290" i="10" a="1"/>
  <c r="B290" i="10" s="1"/>
  <c r="B291" i="10" a="1"/>
  <c r="B291" i="10" s="1"/>
  <c r="B292" i="10" a="1"/>
  <c r="B292" i="10" s="1"/>
  <c r="B293" i="10" a="1"/>
  <c r="B293" i="10" s="1"/>
  <c r="B294" i="10" a="1"/>
  <c r="B294" i="10" s="1"/>
  <c r="B295" i="10" a="1"/>
  <c r="B295" i="10" s="1"/>
  <c r="B296" i="10" a="1"/>
  <c r="B296" i="10" s="1"/>
  <c r="B297" i="10" a="1"/>
  <c r="B297" i="10" s="1"/>
  <c r="B298" i="10" a="1"/>
  <c r="B298" i="10" s="1"/>
  <c r="B299" i="10" a="1"/>
  <c r="B299" i="10" s="1"/>
  <c r="B300" i="10" a="1"/>
  <c r="B300" i="10" s="1"/>
  <c r="B301" i="10" a="1"/>
  <c r="B301" i="10" s="1"/>
  <c r="B302" i="10" a="1"/>
  <c r="B302" i="10" s="1"/>
  <c r="B303" i="10" a="1"/>
  <c r="B303" i="10" s="1"/>
  <c r="B304" i="10" a="1"/>
  <c r="B304" i="10" s="1"/>
  <c r="B305" i="10" a="1"/>
  <c r="B305" i="10" s="1"/>
  <c r="B306" i="10" a="1"/>
  <c r="B306" i="10" s="1"/>
  <c r="B307" i="10" a="1"/>
  <c r="B307" i="10" s="1"/>
  <c r="B308" i="10" a="1"/>
  <c r="B308" i="10" s="1"/>
  <c r="B309" i="10" a="1"/>
  <c r="B309" i="10" s="1"/>
  <c r="B310" i="10" a="1"/>
  <c r="B310" i="10" s="1"/>
  <c r="B311" i="10" a="1"/>
  <c r="B311" i="10" s="1"/>
  <c r="B312" i="10" a="1"/>
  <c r="B312" i="10" s="1"/>
  <c r="B313" i="10" a="1"/>
  <c r="B313" i="10" s="1"/>
  <c r="B314" i="10" a="1"/>
  <c r="B314" i="10" s="1"/>
  <c r="B315" i="10" a="1"/>
  <c r="B315" i="10" s="1"/>
  <c r="B316" i="10" a="1"/>
  <c r="B316" i="10" s="1"/>
  <c r="B317" i="10" a="1"/>
  <c r="B317" i="10" s="1"/>
  <c r="B318" i="10" a="1"/>
  <c r="B318" i="10" s="1"/>
  <c r="B319" i="10" a="1"/>
  <c r="B319" i="10" s="1"/>
  <c r="B320" i="10" a="1"/>
  <c r="B320" i="10" s="1"/>
  <c r="B321" i="10" a="1"/>
  <c r="B321" i="10" s="1"/>
  <c r="B322" i="10" a="1"/>
  <c r="B322" i="10" s="1"/>
  <c r="B323" i="10" a="1"/>
  <c r="B323" i="10" s="1"/>
  <c r="B324" i="10" a="1"/>
  <c r="B324" i="10" s="1"/>
  <c r="B325" i="10" a="1"/>
  <c r="B325" i="10" s="1"/>
  <c r="B326" i="10" a="1"/>
  <c r="B326" i="10" s="1"/>
  <c r="B327" i="10" a="1"/>
  <c r="B327" i="10" s="1"/>
  <c r="B328" i="10" a="1"/>
  <c r="B328" i="10" s="1"/>
  <c r="B329" i="10" a="1"/>
  <c r="B329" i="10" s="1"/>
  <c r="B330" i="10" a="1"/>
  <c r="B330" i="10" s="1"/>
  <c r="B331" i="10" a="1"/>
  <c r="B331" i="10" s="1"/>
  <c r="B332" i="10" a="1"/>
  <c r="B332" i="10" s="1"/>
  <c r="B333" i="10" a="1"/>
  <c r="B333" i="10" s="1"/>
  <c r="B334" i="10" a="1"/>
  <c r="B334" i="10" s="1"/>
  <c r="B335" i="10" a="1"/>
  <c r="B335" i="10" s="1"/>
  <c r="B336" i="10" a="1"/>
  <c r="B336" i="10" s="1"/>
  <c r="B337" i="10" a="1"/>
  <c r="B337" i="10" s="1"/>
  <c r="B338" i="10" a="1"/>
  <c r="B338" i="10" s="1"/>
  <c r="B339" i="10" a="1"/>
  <c r="B339" i="10" s="1"/>
  <c r="B340" i="10" a="1"/>
  <c r="B340" i="10" s="1"/>
  <c r="B341" i="10" a="1"/>
  <c r="B341" i="10" s="1"/>
  <c r="B342" i="10" a="1"/>
  <c r="B342" i="10" s="1"/>
  <c r="B343" i="10" a="1"/>
  <c r="B343" i="10" s="1"/>
  <c r="B344" i="10" a="1"/>
  <c r="B344" i="10" s="1"/>
  <c r="B345" i="10" a="1"/>
  <c r="B345" i="10" s="1"/>
  <c r="B346" i="10" a="1"/>
  <c r="B346" i="10" s="1"/>
  <c r="B347" i="10" a="1"/>
  <c r="B347" i="10" s="1"/>
  <c r="B348" i="10" a="1"/>
  <c r="B348" i="10" s="1"/>
  <c r="B349" i="10" a="1"/>
  <c r="B349" i="10" s="1"/>
  <c r="B350" i="10" a="1"/>
  <c r="B350" i="10" s="1"/>
  <c r="B351" i="10" a="1"/>
  <c r="B351" i="10" s="1"/>
  <c r="B352" i="10" a="1"/>
  <c r="B352" i="10" s="1"/>
  <c r="B353" i="10" a="1"/>
  <c r="B353" i="10" s="1"/>
  <c r="B354" i="10" a="1"/>
  <c r="B354" i="10" s="1"/>
  <c r="B355" i="10" a="1"/>
  <c r="B355" i="10" s="1"/>
  <c r="B356" i="10" a="1"/>
  <c r="B356" i="10" s="1"/>
  <c r="B357" i="10" a="1"/>
  <c r="B357" i="10" s="1"/>
  <c r="B358" i="10" a="1"/>
  <c r="B358" i="10" s="1"/>
  <c r="B359" i="10" a="1"/>
  <c r="B359" i="10" s="1"/>
  <c r="B360" i="10" a="1"/>
  <c r="B360" i="10" s="1"/>
  <c r="B361" i="10" a="1"/>
  <c r="B361" i="10" s="1"/>
  <c r="B362" i="10" a="1"/>
  <c r="B362" i="10" s="1"/>
  <c r="B363" i="10" a="1"/>
  <c r="B363" i="10" s="1"/>
  <c r="B364" i="10" a="1"/>
  <c r="B364" i="10" s="1"/>
  <c r="B365" i="10" a="1"/>
  <c r="B365" i="10" s="1"/>
  <c r="B366" i="10" a="1"/>
  <c r="B366" i="10" s="1"/>
  <c r="B367" i="10" a="1"/>
  <c r="B367" i="10" s="1"/>
  <c r="B368" i="10" a="1"/>
  <c r="B368" i="10" s="1"/>
  <c r="B369" i="10" a="1"/>
  <c r="B369" i="10" s="1"/>
  <c r="B370" i="10" a="1"/>
  <c r="B370" i="10" s="1"/>
  <c r="B371" i="10" a="1"/>
  <c r="B371" i="10" s="1"/>
  <c r="B372" i="10" a="1"/>
  <c r="B372" i="10" s="1"/>
  <c r="B373" i="10" a="1"/>
  <c r="B373" i="10" s="1"/>
  <c r="B374" i="10" a="1"/>
  <c r="B374" i="10" s="1"/>
  <c r="B375" i="10" a="1"/>
  <c r="B375" i="10" s="1"/>
  <c r="B376" i="10" a="1"/>
  <c r="B376" i="10" s="1"/>
  <c r="B377" i="10" a="1"/>
  <c r="B377" i="10" s="1"/>
  <c r="B378" i="10" a="1"/>
  <c r="B378" i="10" s="1"/>
  <c r="B379" i="10" a="1"/>
  <c r="B379" i="10" s="1"/>
  <c r="B380" i="10" a="1"/>
  <c r="B380" i="10" s="1"/>
  <c r="B381" i="10" a="1"/>
  <c r="B381" i="10" s="1"/>
  <c r="B382" i="10" a="1"/>
  <c r="B382" i="10" s="1"/>
  <c r="B383" i="10" a="1"/>
  <c r="B383" i="10" s="1"/>
  <c r="B384" i="10" a="1"/>
  <c r="B384" i="10" s="1"/>
  <c r="B385" i="10" a="1"/>
  <c r="B385" i="10" s="1"/>
  <c r="B386" i="10" a="1"/>
  <c r="B386" i="10" s="1"/>
  <c r="B387" i="10" a="1"/>
  <c r="B387" i="10" s="1"/>
  <c r="B388" i="10" a="1"/>
  <c r="B388" i="10" s="1"/>
  <c r="B389" i="10" a="1"/>
  <c r="B389" i="10" s="1"/>
  <c r="B390" i="10" a="1"/>
  <c r="B390" i="10" s="1"/>
  <c r="B391" i="10" a="1"/>
  <c r="B391" i="10" s="1"/>
  <c r="B392" i="10" a="1"/>
  <c r="B392" i="10" s="1"/>
  <c r="B393" i="10" a="1"/>
  <c r="B393" i="10" s="1"/>
  <c r="B394" i="10" a="1"/>
  <c r="B394" i="10" s="1"/>
  <c r="B395" i="10" a="1"/>
  <c r="B395" i="10" s="1"/>
  <c r="B396" i="10" a="1"/>
  <c r="B396" i="10" s="1"/>
  <c r="B397" i="10" a="1"/>
  <c r="B397" i="10" s="1"/>
  <c r="B398" i="10" a="1"/>
  <c r="B398" i="10" s="1"/>
  <c r="B399" i="10" a="1"/>
  <c r="B399" i="10" s="1"/>
  <c r="B400" i="10" a="1"/>
  <c r="B400" i="10" s="1"/>
  <c r="B401" i="10" a="1"/>
  <c r="B401" i="10" s="1"/>
  <c r="B402" i="10" a="1"/>
  <c r="B402" i="10" s="1"/>
  <c r="B403" i="10" a="1"/>
  <c r="B403" i="10" s="1"/>
  <c r="B404" i="10" a="1"/>
  <c r="B404" i="10" s="1"/>
  <c r="B405" i="10" a="1"/>
  <c r="B405" i="10" s="1"/>
  <c r="B406" i="10" a="1"/>
  <c r="B406" i="10" s="1"/>
  <c r="B407" i="10" a="1"/>
  <c r="B407" i="10" s="1"/>
  <c r="B408" i="10" a="1"/>
  <c r="B408" i="10" s="1"/>
  <c r="B409" i="10" a="1"/>
  <c r="B409" i="10" s="1"/>
  <c r="B410" i="10" a="1"/>
  <c r="B410" i="10" s="1"/>
  <c r="B411" i="10" a="1"/>
  <c r="B411" i="10" s="1"/>
  <c r="B412" i="10" a="1"/>
  <c r="B412" i="10" s="1"/>
  <c r="B413" i="10" a="1"/>
  <c r="B413" i="10" s="1"/>
  <c r="B414" i="10" a="1"/>
  <c r="B414" i="10" s="1"/>
  <c r="B415" i="10" a="1"/>
  <c r="B415" i="10" s="1"/>
  <c r="B416" i="10" a="1"/>
  <c r="B416" i="10" s="1"/>
  <c r="B417" i="10" a="1"/>
  <c r="B417" i="10" s="1"/>
  <c r="B418" i="10" a="1"/>
  <c r="B418" i="10" s="1"/>
  <c r="B419" i="10" a="1"/>
  <c r="B419" i="10" s="1"/>
  <c r="B420" i="10" a="1"/>
  <c r="B420" i="10" s="1"/>
  <c r="B421" i="10" a="1"/>
  <c r="B421" i="10" s="1"/>
  <c r="B422" i="10" a="1"/>
  <c r="B422" i="10" s="1"/>
  <c r="B423" i="10" a="1"/>
  <c r="B423" i="10" s="1"/>
  <c r="B424" i="10" a="1"/>
  <c r="B424" i="10" s="1"/>
  <c r="B425" i="10" a="1"/>
  <c r="B425" i="10" s="1"/>
  <c r="B426" i="10" a="1"/>
  <c r="B426" i="10" s="1"/>
  <c r="B427" i="10" a="1"/>
  <c r="B427" i="10" s="1"/>
  <c r="B428" i="10" a="1"/>
  <c r="B428" i="10" s="1"/>
  <c r="B429" i="10" a="1"/>
  <c r="B429" i="10" s="1"/>
  <c r="B430" i="10" a="1"/>
  <c r="B430" i="10" s="1"/>
  <c r="B431" i="10" a="1"/>
  <c r="B431" i="10" s="1"/>
  <c r="B432" i="10" a="1"/>
  <c r="B432" i="10" s="1"/>
  <c r="B433" i="10" a="1"/>
  <c r="B433" i="10" s="1"/>
  <c r="B434" i="10" a="1"/>
  <c r="B434" i="10" s="1"/>
  <c r="B435" i="10" a="1"/>
  <c r="B435" i="10" s="1"/>
  <c r="B436" i="10" a="1"/>
  <c r="B436" i="10" s="1"/>
  <c r="B437" i="10" a="1"/>
  <c r="B437" i="10" s="1"/>
  <c r="B438" i="10" a="1"/>
  <c r="B438" i="10" s="1"/>
  <c r="B439" i="10" a="1"/>
  <c r="B439" i="10" s="1"/>
  <c r="B440" i="10" a="1"/>
  <c r="B440" i="10" s="1"/>
  <c r="B441" i="10" a="1"/>
  <c r="B441" i="10" s="1"/>
  <c r="B442" i="10" a="1"/>
  <c r="B442" i="10" s="1"/>
  <c r="B443" i="10" a="1"/>
  <c r="B443" i="10" s="1"/>
  <c r="B444" i="10" a="1"/>
  <c r="B444" i="10" s="1"/>
  <c r="B445" i="10" a="1"/>
  <c r="B445" i="10" s="1"/>
  <c r="B446" i="10" a="1"/>
  <c r="B446" i="10" s="1"/>
  <c r="B447" i="10" a="1"/>
  <c r="B447" i="10" s="1"/>
  <c r="B448" i="10" a="1"/>
  <c r="B448" i="10" s="1"/>
  <c r="B449" i="10" a="1"/>
  <c r="B449" i="10" s="1"/>
  <c r="B450" i="10" a="1"/>
  <c r="B450" i="10" s="1"/>
  <c r="B451" i="10" a="1"/>
  <c r="B451" i="10" s="1"/>
  <c r="B452" i="10" a="1"/>
  <c r="B452" i="10" s="1"/>
  <c r="B453" i="10" a="1"/>
  <c r="B453" i="10" s="1"/>
  <c r="B454" i="10" a="1"/>
  <c r="B454" i="10" s="1"/>
  <c r="B455" i="10" a="1"/>
  <c r="B455" i="10" s="1"/>
  <c r="B456" i="10" a="1"/>
  <c r="B456" i="10" s="1"/>
  <c r="B457" i="10" a="1"/>
  <c r="B457" i="10" s="1"/>
  <c r="B458" i="10" a="1"/>
  <c r="B458" i="10" s="1"/>
  <c r="B459" i="10" a="1"/>
  <c r="B459" i="10" s="1"/>
  <c r="B460" i="10" a="1"/>
  <c r="B460" i="10" s="1"/>
  <c r="B461" i="10" a="1"/>
  <c r="B461" i="10" s="1"/>
  <c r="B462" i="10" a="1"/>
  <c r="B462" i="10" s="1"/>
  <c r="B463" i="10" a="1"/>
  <c r="B463" i="10" s="1"/>
  <c r="B464" i="10" a="1"/>
  <c r="B464" i="10" s="1"/>
  <c r="B465" i="10" a="1"/>
  <c r="B465" i="10" s="1"/>
  <c r="B466" i="10" a="1"/>
  <c r="B466" i="10" s="1"/>
  <c r="B467" i="10" a="1"/>
  <c r="B467" i="10" s="1"/>
  <c r="B468" i="10" a="1"/>
  <c r="B468" i="10" s="1"/>
  <c r="B469" i="10" a="1"/>
  <c r="B469" i="10" s="1"/>
  <c r="B470" i="10" a="1"/>
  <c r="B470" i="10" s="1"/>
  <c r="B471" i="10" a="1"/>
  <c r="B471" i="10" s="1"/>
  <c r="B472" i="10" a="1"/>
  <c r="B472" i="10" s="1"/>
  <c r="B473" i="10" a="1"/>
  <c r="B473" i="10" s="1"/>
  <c r="B474" i="10" a="1"/>
  <c r="B474" i="10" s="1"/>
  <c r="B475" i="10" a="1"/>
  <c r="B475" i="10" s="1"/>
  <c r="B476" i="10" a="1"/>
  <c r="B476" i="10" s="1"/>
  <c r="B477" i="10" a="1"/>
  <c r="B477" i="10" s="1"/>
  <c r="B478" i="10" a="1"/>
  <c r="B478" i="10" s="1"/>
  <c r="B479" i="10" a="1"/>
  <c r="B479" i="10" s="1"/>
  <c r="B480" i="10" a="1"/>
  <c r="B480" i="10" s="1"/>
  <c r="B481" i="10" a="1"/>
  <c r="B481" i="10" s="1"/>
  <c r="B482" i="10" a="1"/>
  <c r="B482" i="10" s="1"/>
  <c r="B483" i="10" a="1"/>
  <c r="B483" i="10" s="1"/>
  <c r="B484" i="10" a="1"/>
  <c r="B484" i="10" s="1"/>
  <c r="B485" i="10" a="1"/>
  <c r="B485" i="10" s="1"/>
  <c r="B486" i="10" a="1"/>
  <c r="B486" i="10"/>
  <c r="B487" i="10" a="1"/>
  <c r="B487" i="10" s="1"/>
  <c r="B488" i="10" a="1"/>
  <c r="B488" i="10" s="1"/>
  <c r="B489" i="10" a="1"/>
  <c r="B489" i="10" s="1"/>
  <c r="B490" i="10" a="1"/>
  <c r="B490" i="10" s="1"/>
  <c r="B491" i="10" a="1"/>
  <c r="B491" i="10" s="1"/>
  <c r="B492" i="10" a="1"/>
  <c r="B492" i="10" s="1"/>
  <c r="B493" i="10" a="1"/>
  <c r="B493" i="10" s="1"/>
  <c r="B494" i="10" a="1"/>
  <c r="B494" i="10" s="1"/>
  <c r="B495" i="10" a="1"/>
  <c r="B495" i="10" s="1"/>
  <c r="B496" i="10" a="1"/>
  <c r="B496" i="10" s="1"/>
  <c r="B497" i="10" a="1"/>
  <c r="B497" i="10" s="1"/>
  <c r="B498" i="10" a="1"/>
  <c r="B498" i="10" s="1"/>
  <c r="B499" i="10" a="1"/>
  <c r="B499" i="10" s="1"/>
  <c r="B500" i="10" a="1"/>
  <c r="B500" i="10" s="1"/>
  <c r="B501" i="10" a="1"/>
  <c r="B501" i="10" s="1"/>
  <c r="B502" i="10" a="1"/>
  <c r="B502" i="10" s="1"/>
  <c r="B503" i="10" a="1"/>
  <c r="B503" i="10" s="1"/>
  <c r="B504" i="10" a="1"/>
  <c r="B504" i="10" s="1"/>
  <c r="B505" i="10" a="1"/>
  <c r="B505" i="10" s="1"/>
  <c r="B506" i="10" a="1"/>
  <c r="B506" i="10" s="1"/>
  <c r="B507" i="10" a="1"/>
  <c r="B507" i="10" s="1"/>
  <c r="B508" i="10" a="1"/>
  <c r="B508" i="10" s="1"/>
  <c r="B509" i="10" a="1"/>
  <c r="B509" i="10" s="1"/>
  <c r="B510" i="10" a="1"/>
  <c r="B510" i="10" s="1"/>
  <c r="B511" i="10" a="1"/>
  <c r="B511" i="10" s="1"/>
  <c r="B512" i="10" a="1"/>
  <c r="B512" i="10" s="1"/>
  <c r="B513" i="10" a="1"/>
  <c r="B513" i="10" s="1"/>
  <c r="B514" i="10" a="1"/>
  <c r="B514" i="10" s="1"/>
  <c r="B515" i="10" a="1"/>
  <c r="B515" i="10" s="1"/>
  <c r="B516" i="10" a="1"/>
  <c r="B516" i="10" s="1"/>
  <c r="B517" i="10" a="1"/>
  <c r="B517" i="10" s="1"/>
  <c r="B518" i="10" a="1"/>
  <c r="B518" i="10"/>
  <c r="B519" i="10" a="1"/>
  <c r="B519" i="10" s="1"/>
  <c r="B520" i="10" a="1"/>
  <c r="B520" i="10" s="1"/>
  <c r="B521" i="10" a="1"/>
  <c r="B521" i="10" s="1"/>
  <c r="B522" i="10" a="1"/>
  <c r="B522" i="10" s="1"/>
  <c r="B523" i="10" a="1"/>
  <c r="B523" i="10" s="1"/>
  <c r="B524" i="10" a="1"/>
  <c r="B524" i="10" s="1"/>
  <c r="B525" i="10" a="1"/>
  <c r="B525" i="10" s="1"/>
  <c r="B526" i="10" a="1"/>
  <c r="B526" i="10" s="1"/>
  <c r="B527" i="10" a="1"/>
  <c r="B527" i="10" s="1"/>
  <c r="B528" i="10" a="1"/>
  <c r="B528" i="10" s="1"/>
  <c r="B529" i="10" a="1"/>
  <c r="B529" i="10" s="1"/>
  <c r="B530" i="10" a="1"/>
  <c r="B530" i="10" s="1"/>
  <c r="B531" i="10" a="1"/>
  <c r="B531" i="10" s="1"/>
  <c r="B532" i="10" a="1"/>
  <c r="B532" i="10" s="1"/>
  <c r="B533" i="10" a="1"/>
  <c r="B533" i="10" s="1"/>
  <c r="B534" i="10" a="1"/>
  <c r="B534" i="10" s="1"/>
  <c r="B535" i="10" a="1"/>
  <c r="B535" i="10" s="1"/>
  <c r="B536" i="10" a="1"/>
  <c r="B536" i="10" s="1"/>
  <c r="B537" i="10" a="1"/>
  <c r="B537" i="10" s="1"/>
  <c r="B538" i="10" a="1"/>
  <c r="B538" i="10" s="1"/>
  <c r="B539" i="10" a="1"/>
  <c r="B539" i="10" s="1"/>
  <c r="B540" i="10" a="1"/>
  <c r="B540" i="10" s="1"/>
  <c r="B541" i="10" a="1"/>
  <c r="B541" i="10" s="1"/>
  <c r="B542" i="10" a="1"/>
  <c r="B542" i="10" s="1"/>
  <c r="B543" i="10" a="1"/>
  <c r="B543" i="10" s="1"/>
  <c r="B544" i="10" a="1"/>
  <c r="B544" i="10" s="1"/>
  <c r="B545" i="10" a="1"/>
  <c r="B545" i="10" s="1"/>
  <c r="B546" i="10" a="1"/>
  <c r="B546" i="10" s="1"/>
  <c r="B547" i="10" a="1"/>
  <c r="B547" i="10" s="1"/>
  <c r="B548" i="10" a="1"/>
  <c r="B548" i="10" s="1"/>
  <c r="B549" i="10" a="1"/>
  <c r="B549" i="10" s="1"/>
  <c r="B550" i="10" a="1"/>
  <c r="B550" i="10" s="1"/>
  <c r="B551" i="10" a="1"/>
  <c r="B551" i="10" s="1"/>
  <c r="B552" i="10" a="1"/>
  <c r="B552" i="10" s="1"/>
  <c r="B553" i="10" a="1"/>
  <c r="B553" i="10" s="1"/>
  <c r="B554" i="10" a="1"/>
  <c r="B554" i="10" s="1"/>
  <c r="B555" i="10" a="1"/>
  <c r="B555" i="10" s="1"/>
  <c r="B556" i="10" a="1"/>
  <c r="B556" i="10" s="1"/>
  <c r="B557" i="10" a="1"/>
  <c r="B557" i="10" s="1"/>
  <c r="B558" i="10" a="1"/>
  <c r="B558" i="10" s="1"/>
  <c r="B559" i="10" a="1"/>
  <c r="B559" i="10" s="1"/>
  <c r="B560" i="10" a="1"/>
  <c r="B560" i="10" s="1"/>
  <c r="B561" i="10" a="1"/>
  <c r="B561" i="10" s="1"/>
  <c r="B562" i="10" a="1"/>
  <c r="B562" i="10" s="1"/>
  <c r="B563" i="10" a="1"/>
  <c r="B563" i="10" s="1"/>
  <c r="B564" i="10" a="1"/>
  <c r="B564" i="10" s="1"/>
  <c r="B565" i="10" a="1"/>
  <c r="B565" i="10" s="1"/>
  <c r="B566" i="10" a="1"/>
  <c r="B566" i="10" s="1"/>
  <c r="B567" i="10" a="1"/>
  <c r="B567" i="10" s="1"/>
  <c r="B568" i="10" a="1"/>
  <c r="B568" i="10" s="1"/>
  <c r="B569" i="10" a="1"/>
  <c r="B569" i="10" s="1"/>
  <c r="B570" i="10" a="1"/>
  <c r="B570" i="10" s="1"/>
  <c r="B571" i="10" a="1"/>
  <c r="B571" i="10" s="1"/>
  <c r="B572" i="10" a="1"/>
  <c r="B572" i="10" s="1"/>
  <c r="B573" i="10" a="1"/>
  <c r="B573" i="10" s="1"/>
  <c r="B574" i="10" a="1"/>
  <c r="B574" i="10" s="1"/>
  <c r="B575" i="10" a="1"/>
  <c r="B575" i="10" s="1"/>
  <c r="B576" i="10" a="1"/>
  <c r="B576" i="10" s="1"/>
  <c r="B577" i="10" a="1"/>
  <c r="B577" i="10" s="1"/>
  <c r="B578" i="10" a="1"/>
  <c r="B578" i="10" s="1"/>
  <c r="B579" i="10" a="1"/>
  <c r="B579" i="10" s="1"/>
  <c r="B580" i="10" a="1"/>
  <c r="B580" i="10" s="1"/>
  <c r="B581" i="10" a="1"/>
  <c r="B581" i="10" s="1"/>
  <c r="B582" i="10" a="1"/>
  <c r="B582" i="10" s="1"/>
  <c r="B583" i="10" a="1"/>
  <c r="B583" i="10" s="1"/>
  <c r="B584" i="10" a="1"/>
  <c r="B584" i="10" s="1"/>
  <c r="B585" i="10" a="1"/>
  <c r="B585" i="10" s="1"/>
  <c r="B586" i="10" a="1"/>
  <c r="B586" i="10" s="1"/>
  <c r="B587" i="10" a="1"/>
  <c r="B587" i="10" s="1"/>
  <c r="B588" i="10" a="1"/>
  <c r="B588" i="10" s="1"/>
  <c r="B589" i="10" a="1"/>
  <c r="B589" i="10" s="1"/>
  <c r="B590" i="10" a="1"/>
  <c r="B590" i="10" s="1"/>
  <c r="B591" i="10" a="1"/>
  <c r="B591" i="10" s="1"/>
  <c r="B592" i="10" a="1"/>
  <c r="B592" i="10" s="1"/>
  <c r="B593" i="10" a="1"/>
  <c r="B593" i="10" s="1"/>
  <c r="B594" i="10" a="1"/>
  <c r="B594" i="10" s="1"/>
  <c r="B595" i="10" a="1"/>
  <c r="B595" i="10" s="1"/>
  <c r="B596" i="10" a="1"/>
  <c r="B596" i="10" s="1"/>
  <c r="B597" i="10" a="1"/>
  <c r="B597" i="10" s="1"/>
  <c r="B598" i="10" a="1"/>
  <c r="B598" i="10" s="1"/>
  <c r="B599" i="10" a="1"/>
  <c r="B599" i="10" s="1"/>
  <c r="B600" i="10" a="1"/>
  <c r="B600" i="10" s="1"/>
  <c r="B601" i="10" a="1"/>
  <c r="B601" i="10" s="1"/>
  <c r="B602" i="10" a="1"/>
  <c r="B602" i="10" s="1"/>
  <c r="B603" i="10" a="1"/>
  <c r="B603" i="10" s="1"/>
  <c r="B604" i="10" a="1"/>
  <c r="B604" i="10" s="1"/>
  <c r="B605" i="10" a="1"/>
  <c r="B605" i="10" s="1"/>
  <c r="B606" i="10" a="1"/>
  <c r="B606" i="10" s="1"/>
  <c r="B607" i="10" a="1"/>
  <c r="B607" i="10" s="1"/>
  <c r="B608" i="10" a="1"/>
  <c r="B608" i="10" s="1"/>
  <c r="B609" i="10" a="1"/>
  <c r="B609" i="10" s="1"/>
  <c r="B610" i="10" a="1"/>
  <c r="B610" i="10" s="1"/>
  <c r="B611" i="10" a="1"/>
  <c r="B611" i="10" s="1"/>
  <c r="B612" i="10" a="1"/>
  <c r="B612" i="10" s="1"/>
  <c r="B613" i="10" a="1"/>
  <c r="B613" i="10" s="1"/>
  <c r="B614" i="10" a="1"/>
  <c r="B614" i="10"/>
  <c r="B615" i="10" a="1"/>
  <c r="B615" i="10" s="1"/>
  <c r="B616" i="10" a="1"/>
  <c r="B616" i="10" s="1"/>
  <c r="B617" i="10" a="1"/>
  <c r="B617" i="10" s="1"/>
  <c r="B618" i="10" a="1"/>
  <c r="B618" i="10" s="1"/>
  <c r="B619" i="10" a="1"/>
  <c r="B619" i="10" s="1"/>
  <c r="B620" i="10" a="1"/>
  <c r="B620" i="10" s="1"/>
  <c r="B621" i="10" a="1"/>
  <c r="B621" i="10" s="1"/>
  <c r="B622" i="10" a="1"/>
  <c r="B622" i="10" s="1"/>
  <c r="B623" i="10" a="1"/>
  <c r="B623" i="10" s="1"/>
  <c r="B624" i="10" a="1"/>
  <c r="B624" i="10" s="1"/>
  <c r="B625" i="10" a="1"/>
  <c r="B625" i="10" s="1"/>
  <c r="B626" i="10" a="1"/>
  <c r="B626" i="10" s="1"/>
  <c r="B627" i="10" a="1"/>
  <c r="B627" i="10" s="1"/>
  <c r="B628" i="10" a="1"/>
  <c r="B628" i="10" s="1"/>
  <c r="B629" i="10" a="1"/>
  <c r="B629" i="10" s="1"/>
  <c r="B630" i="10" a="1"/>
  <c r="B630" i="10" s="1"/>
  <c r="B631" i="10" a="1"/>
  <c r="B631" i="10" s="1"/>
  <c r="B632" i="10" a="1"/>
  <c r="B632" i="10" s="1"/>
  <c r="B633" i="10" a="1"/>
  <c r="B633" i="10" s="1"/>
  <c r="B634" i="10" a="1"/>
  <c r="B634" i="10" s="1"/>
  <c r="B635" i="10" a="1"/>
  <c r="B635" i="10" s="1"/>
  <c r="B636" i="10" a="1"/>
  <c r="B636" i="10" s="1"/>
  <c r="B637" i="10" a="1"/>
  <c r="B637" i="10" s="1"/>
  <c r="B638" i="10" a="1"/>
  <c r="B638" i="10" s="1"/>
  <c r="B639" i="10" a="1"/>
  <c r="B639" i="10" s="1"/>
  <c r="B640" i="10" a="1"/>
  <c r="B640" i="10" s="1"/>
  <c r="B641" i="10" a="1"/>
  <c r="B641" i="10" s="1"/>
  <c r="B642" i="10" a="1"/>
  <c r="B642" i="10" s="1"/>
  <c r="B643" i="10" a="1"/>
  <c r="B643" i="10" s="1"/>
  <c r="B644" i="10" a="1"/>
  <c r="B644" i="10" s="1"/>
  <c r="B645" i="10" a="1"/>
  <c r="B645" i="10" s="1"/>
  <c r="B646" i="10" a="1"/>
  <c r="B646" i="10" s="1"/>
  <c r="B647" i="10" a="1"/>
  <c r="B647" i="10" s="1"/>
  <c r="B648" i="10" a="1"/>
  <c r="B648" i="10" s="1"/>
  <c r="B649" i="10" a="1"/>
  <c r="B649" i="10" s="1"/>
  <c r="B650" i="10" a="1"/>
  <c r="B650" i="10" s="1"/>
  <c r="B651" i="10" a="1"/>
  <c r="B651" i="10" s="1"/>
  <c r="B652" i="10" a="1"/>
  <c r="B652" i="10" s="1"/>
  <c r="B653" i="10" a="1"/>
  <c r="B653" i="10" s="1"/>
  <c r="B654" i="10" a="1"/>
  <c r="B654" i="10" s="1"/>
  <c r="B655" i="10" a="1"/>
  <c r="B655" i="10" s="1"/>
  <c r="B656" i="10" a="1"/>
  <c r="B656" i="10" s="1"/>
  <c r="B657" i="10" a="1"/>
  <c r="B657" i="10" s="1"/>
  <c r="B658" i="10" a="1"/>
  <c r="B658" i="10" s="1"/>
  <c r="B659" i="10" a="1"/>
  <c r="B659" i="10" s="1"/>
  <c r="B660" i="10" a="1"/>
  <c r="B660" i="10" s="1"/>
  <c r="B661" i="10" a="1"/>
  <c r="B661" i="10" s="1"/>
  <c r="B662" i="10" a="1"/>
  <c r="B662" i="10" s="1"/>
  <c r="B663" i="10" a="1"/>
  <c r="B663" i="10" s="1"/>
  <c r="B664" i="10" a="1"/>
  <c r="B664" i="10" s="1"/>
  <c r="B665" i="10" a="1"/>
  <c r="B665" i="10" s="1"/>
  <c r="B666" i="10" a="1"/>
  <c r="B666" i="10" s="1"/>
  <c r="B667" i="10" a="1"/>
  <c r="B667" i="10" s="1"/>
  <c r="B668" i="10" a="1"/>
  <c r="B668" i="10" s="1"/>
  <c r="B669" i="10" a="1"/>
  <c r="B669" i="10" s="1"/>
  <c r="B670" i="10" a="1"/>
  <c r="B670" i="10" s="1"/>
  <c r="B671" i="10" a="1"/>
  <c r="B671" i="10" s="1"/>
  <c r="B672" i="10" a="1"/>
  <c r="B672" i="10" s="1"/>
  <c r="B673" i="10" a="1"/>
  <c r="B673" i="10" s="1"/>
  <c r="B674" i="10" a="1"/>
  <c r="B674" i="10" s="1"/>
  <c r="B675" i="10" a="1"/>
  <c r="B675" i="10" s="1"/>
  <c r="B676" i="10" a="1"/>
  <c r="B676" i="10" s="1"/>
  <c r="B677" i="10" a="1"/>
  <c r="B677" i="10" s="1"/>
  <c r="B678" i="10" a="1"/>
  <c r="B678" i="10" s="1"/>
  <c r="B679" i="10" a="1"/>
  <c r="B679" i="10" s="1"/>
  <c r="B680" i="10" a="1"/>
  <c r="B680" i="10" s="1"/>
  <c r="B681" i="10" a="1"/>
  <c r="B681" i="10" s="1"/>
  <c r="B682" i="10" a="1"/>
  <c r="B682" i="10" s="1"/>
  <c r="B683" i="10" a="1"/>
  <c r="B683" i="10" s="1"/>
  <c r="B684" i="10" a="1"/>
  <c r="B684" i="10" s="1"/>
  <c r="B685" i="10" a="1"/>
  <c r="B685" i="10" s="1"/>
  <c r="B686" i="10" a="1"/>
  <c r="B686" i="10" s="1"/>
  <c r="B687" i="10" a="1"/>
  <c r="B687" i="10" s="1"/>
  <c r="B688" i="10" a="1"/>
  <c r="B688" i="10" s="1"/>
  <c r="B689" i="10" a="1"/>
  <c r="B689" i="10" s="1"/>
  <c r="B690" i="10" a="1"/>
  <c r="B690" i="10" s="1"/>
  <c r="B691" i="10" a="1"/>
  <c r="B691" i="10" s="1"/>
  <c r="B692" i="10" a="1"/>
  <c r="B692" i="10" s="1"/>
  <c r="B693" i="10" a="1"/>
  <c r="B693" i="10" s="1"/>
  <c r="B694" i="10" a="1"/>
  <c r="B694" i="10" s="1"/>
  <c r="B695" i="10" a="1"/>
  <c r="B695" i="10" s="1"/>
  <c r="B696" i="10" a="1"/>
  <c r="B696" i="10" s="1"/>
  <c r="B697" i="10" a="1"/>
  <c r="B697" i="10" s="1"/>
  <c r="B698" i="10" a="1"/>
  <c r="B698" i="10" s="1"/>
  <c r="B699" i="10" a="1"/>
  <c r="B699" i="10" s="1"/>
  <c r="B700" i="10" a="1"/>
  <c r="B700" i="10" s="1"/>
  <c r="B701" i="10" a="1"/>
  <c r="B701" i="10" s="1"/>
  <c r="B702" i="10" a="1"/>
  <c r="B702" i="10" s="1"/>
  <c r="B703" i="10" a="1"/>
  <c r="B703" i="10" s="1"/>
  <c r="B704" i="10" a="1"/>
  <c r="B704" i="10" s="1"/>
  <c r="B705" i="10" a="1"/>
  <c r="B705" i="10" s="1"/>
  <c r="B706" i="10" a="1"/>
  <c r="B706" i="10" s="1"/>
  <c r="B707" i="10" a="1"/>
  <c r="B707" i="10" s="1"/>
  <c r="B708" i="10" a="1"/>
  <c r="B708" i="10" s="1"/>
  <c r="B709" i="10" a="1"/>
  <c r="B709" i="10" s="1"/>
  <c r="B710" i="10" a="1"/>
  <c r="B710" i="10" s="1"/>
  <c r="B711" i="10" a="1"/>
  <c r="B711" i="10" s="1"/>
  <c r="B712" i="10" a="1"/>
  <c r="B712" i="10" s="1"/>
  <c r="B713" i="10" a="1"/>
  <c r="B713" i="10" s="1"/>
  <c r="B714" i="10" a="1"/>
  <c r="B714" i="10" s="1"/>
  <c r="B715" i="10" a="1"/>
  <c r="B715" i="10" s="1"/>
  <c r="B716" i="10" a="1"/>
  <c r="B716" i="10" s="1"/>
  <c r="B717" i="10" a="1"/>
  <c r="B717" i="10" s="1"/>
  <c r="B718" i="10" a="1"/>
  <c r="B718" i="10" s="1"/>
  <c r="B719" i="10" a="1"/>
  <c r="B719" i="10"/>
  <c r="B720" i="10" a="1"/>
  <c r="B720" i="10" s="1"/>
  <c r="B721" i="10" a="1"/>
  <c r="B721" i="10" s="1"/>
  <c r="B722" i="10" a="1"/>
  <c r="B722" i="10" s="1"/>
  <c r="B723" i="10" a="1"/>
  <c r="B723" i="10" s="1"/>
  <c r="B724" i="10" a="1"/>
  <c r="B724" i="10" s="1"/>
  <c r="B725" i="10" a="1"/>
  <c r="B725" i="10" s="1"/>
  <c r="B726" i="10" a="1"/>
  <c r="B726" i="10" s="1"/>
  <c r="B727" i="10" a="1"/>
  <c r="B727" i="10" s="1"/>
  <c r="B728" i="10" a="1"/>
  <c r="B728" i="10" s="1"/>
  <c r="B729" i="10" a="1"/>
  <c r="B729" i="10" s="1"/>
  <c r="B730" i="10" a="1"/>
  <c r="B730" i="10" s="1"/>
  <c r="B731" i="10" a="1"/>
  <c r="B731" i="10" s="1"/>
  <c r="B732" i="10" a="1"/>
  <c r="B732" i="10" s="1"/>
  <c r="B733" i="10" a="1"/>
  <c r="B733" i="10" s="1"/>
  <c r="B734" i="10" a="1"/>
  <c r="B734" i="10" s="1"/>
  <c r="B735" i="10" a="1"/>
  <c r="B735" i="10" s="1"/>
  <c r="B736" i="10" a="1"/>
  <c r="B736" i="10" s="1"/>
  <c r="B737" i="10" a="1"/>
  <c r="B737" i="10" s="1"/>
  <c r="B738" i="10" a="1"/>
  <c r="B738" i="10" s="1"/>
  <c r="B739" i="10" a="1"/>
  <c r="B739" i="10" s="1"/>
  <c r="B740" i="10" a="1"/>
  <c r="B740" i="10" s="1"/>
  <c r="B741" i="10" a="1"/>
  <c r="B741" i="10" s="1"/>
  <c r="B742" i="10" a="1"/>
  <c r="B742" i="10" s="1"/>
  <c r="B743" i="10" a="1"/>
  <c r="B743" i="10" s="1"/>
  <c r="B744" i="10" a="1"/>
  <c r="B744" i="10" s="1"/>
  <c r="B745" i="10" a="1"/>
  <c r="B745" i="10" s="1"/>
  <c r="B746" i="10" a="1"/>
  <c r="B746" i="10" s="1"/>
  <c r="B747" i="10" a="1"/>
  <c r="B747" i="10" s="1"/>
  <c r="B748" i="10" a="1"/>
  <c r="B748" i="10" s="1"/>
  <c r="B749" i="10" a="1"/>
  <c r="B749" i="10" s="1"/>
  <c r="B750" i="10" a="1"/>
  <c r="B750" i="10" s="1"/>
  <c r="B751" i="10" a="1"/>
  <c r="B751" i="10" s="1"/>
  <c r="B752" i="10" a="1"/>
  <c r="B752" i="10" s="1"/>
  <c r="B753" i="10" a="1"/>
  <c r="B753" i="10" s="1"/>
  <c r="B754" i="10" a="1"/>
  <c r="B754" i="10" s="1"/>
  <c r="B755" i="10" a="1"/>
  <c r="B755" i="10" s="1"/>
  <c r="B756" i="10" a="1"/>
  <c r="B756" i="10" s="1"/>
  <c r="B757" i="10" a="1"/>
  <c r="B757" i="10" s="1"/>
  <c r="B758" i="10" a="1"/>
  <c r="B758" i="10" s="1"/>
  <c r="B759" i="10" a="1"/>
  <c r="B759" i="10" s="1"/>
  <c r="B760" i="10" a="1"/>
  <c r="B760" i="10" s="1"/>
  <c r="B761" i="10" a="1"/>
  <c r="B761" i="10" s="1"/>
  <c r="B762" i="10" a="1"/>
  <c r="B762" i="10" s="1"/>
  <c r="B763" i="10" a="1"/>
  <c r="B763" i="10" s="1"/>
  <c r="B764" i="10" a="1"/>
  <c r="B764" i="10" s="1"/>
  <c r="B765" i="10" a="1"/>
  <c r="B765" i="10" s="1"/>
  <c r="B766" i="10" a="1"/>
  <c r="B766" i="10" s="1"/>
  <c r="B767" i="10" a="1"/>
  <c r="B767" i="10" s="1"/>
  <c r="B768" i="10" a="1"/>
  <c r="B768" i="10" s="1"/>
  <c r="B769" i="10" a="1"/>
  <c r="B769" i="10" s="1"/>
  <c r="B770" i="10" a="1"/>
  <c r="B770" i="10" s="1"/>
  <c r="B771" i="10" a="1"/>
  <c r="B771" i="10" s="1"/>
  <c r="B772" i="10" a="1"/>
  <c r="B772" i="10" s="1"/>
  <c r="B773" i="10" a="1"/>
  <c r="B773" i="10" s="1"/>
  <c r="B774" i="10" a="1"/>
  <c r="B774" i="10" s="1"/>
  <c r="B775" i="10" a="1"/>
  <c r="B775" i="10" s="1"/>
  <c r="B776" i="10" a="1"/>
  <c r="B776" i="10" s="1"/>
  <c r="B777" i="10" a="1"/>
  <c r="B777" i="10" s="1"/>
  <c r="B778" i="10" a="1"/>
  <c r="B778" i="10" s="1"/>
  <c r="B779" i="10" a="1"/>
  <c r="B779" i="10" s="1"/>
  <c r="B780" i="10" a="1"/>
  <c r="B780" i="10" s="1"/>
  <c r="B781" i="10" a="1"/>
  <c r="B781" i="10" s="1"/>
  <c r="B782" i="10" a="1"/>
  <c r="B782" i="10" s="1"/>
  <c r="B783" i="10" a="1"/>
  <c r="B783" i="10" s="1"/>
  <c r="B784" i="10" a="1"/>
  <c r="B784" i="10" s="1"/>
  <c r="B785" i="10" a="1"/>
  <c r="B785" i="10" s="1"/>
  <c r="B786" i="10" a="1"/>
  <c r="B786" i="10" s="1"/>
  <c r="B787" i="10" a="1"/>
  <c r="B787" i="10" s="1"/>
  <c r="B788" i="10" a="1"/>
  <c r="B788" i="10" s="1"/>
  <c r="B789" i="10" a="1"/>
  <c r="B789" i="10" s="1"/>
  <c r="B790" i="10" a="1"/>
  <c r="B790" i="10" s="1"/>
  <c r="B791" i="10" a="1"/>
  <c r="B791" i="10" s="1"/>
  <c r="B792" i="10" a="1"/>
  <c r="B792" i="10" s="1"/>
  <c r="B793" i="10" a="1"/>
  <c r="B793" i="10" s="1"/>
  <c r="B794" i="10" a="1"/>
  <c r="B794" i="10" s="1"/>
  <c r="B795" i="10" a="1"/>
  <c r="B795" i="10" s="1"/>
  <c r="B796" i="10" a="1"/>
  <c r="B796" i="10" s="1"/>
  <c r="B797" i="10" a="1"/>
  <c r="B797" i="10" s="1"/>
  <c r="B798" i="10" a="1"/>
  <c r="B798" i="10" s="1"/>
  <c r="B799" i="10" a="1"/>
  <c r="B799" i="10" s="1"/>
  <c r="B800" i="10" a="1"/>
  <c r="B800" i="10" s="1"/>
  <c r="B801" i="10" a="1"/>
  <c r="B801" i="10" s="1"/>
  <c r="B802" i="10" a="1"/>
  <c r="B802" i="10" s="1"/>
  <c r="B803" i="10" a="1"/>
  <c r="B803" i="10" s="1"/>
  <c r="B804" i="10" a="1"/>
  <c r="B804" i="10" s="1"/>
  <c r="B805" i="10" a="1"/>
  <c r="B805" i="10" s="1"/>
  <c r="B806" i="10" a="1"/>
  <c r="B806" i="10" s="1"/>
  <c r="B807" i="10" a="1"/>
  <c r="B807" i="10" s="1"/>
  <c r="B808" i="10" a="1"/>
  <c r="B808" i="10" s="1"/>
  <c r="B809" i="10" a="1"/>
  <c r="B809" i="10" s="1"/>
  <c r="B810" i="10" a="1"/>
  <c r="B810" i="10" s="1"/>
  <c r="B811" i="10" a="1"/>
  <c r="B811" i="10" s="1"/>
  <c r="B812" i="10" a="1"/>
  <c r="B812" i="10" s="1"/>
  <c r="B813" i="10" a="1"/>
  <c r="B813" i="10" s="1"/>
  <c r="B814" i="10" a="1"/>
  <c r="B814" i="10" s="1"/>
  <c r="B815" i="10" a="1"/>
  <c r="B815" i="10" s="1"/>
  <c r="B816" i="10" a="1"/>
  <c r="B816" i="10" s="1"/>
  <c r="B817" i="10" a="1"/>
  <c r="B817" i="10" s="1"/>
  <c r="B818" i="10" a="1"/>
  <c r="B818" i="10" s="1"/>
  <c r="B819" i="10" a="1"/>
  <c r="B819" i="10" s="1"/>
  <c r="B820" i="10" a="1"/>
  <c r="B820" i="10" s="1"/>
  <c r="B821" i="10" a="1"/>
  <c r="B821" i="10" s="1"/>
  <c r="B822" i="10" a="1"/>
  <c r="B822" i="10" s="1"/>
  <c r="B823" i="10" a="1"/>
  <c r="B823" i="10" s="1"/>
  <c r="B824" i="10" a="1"/>
  <c r="B824" i="10" s="1"/>
  <c r="B825" i="10" a="1"/>
  <c r="B825" i="10" s="1"/>
  <c r="B826" i="10" a="1"/>
  <c r="B826" i="10" s="1"/>
  <c r="B827" i="10" a="1"/>
  <c r="B827" i="10" s="1"/>
  <c r="B828" i="10" a="1"/>
  <c r="B828" i="10" s="1"/>
  <c r="B829" i="10" a="1"/>
  <c r="B829" i="10" s="1"/>
  <c r="B830" i="10" a="1"/>
  <c r="B830" i="10" s="1"/>
  <c r="B831" i="10" a="1"/>
  <c r="B831" i="10" s="1"/>
  <c r="B832" i="10" a="1"/>
  <c r="B832" i="10" s="1"/>
  <c r="B833" i="10" a="1"/>
  <c r="B833" i="10" s="1"/>
  <c r="B834" i="10" a="1"/>
  <c r="B834" i="10" s="1"/>
  <c r="B835" i="10" a="1"/>
  <c r="B835" i="10" s="1"/>
  <c r="B836" i="10" a="1"/>
  <c r="B836" i="10" s="1"/>
  <c r="B837" i="10" a="1"/>
  <c r="B837" i="10" s="1"/>
  <c r="B838" i="10" a="1"/>
  <c r="B838" i="10" s="1"/>
  <c r="B839" i="10" a="1"/>
  <c r="B839" i="10" s="1"/>
  <c r="B840" i="10" a="1"/>
  <c r="B840" i="10" s="1"/>
  <c r="B841" i="10" a="1"/>
  <c r="B841" i="10" s="1"/>
  <c r="B842" i="10" a="1"/>
  <c r="B842" i="10" s="1"/>
  <c r="B843" i="10" a="1"/>
  <c r="B843" i="10" s="1"/>
  <c r="B844" i="10" a="1"/>
  <c r="B844" i="10" s="1"/>
  <c r="B845" i="10" a="1"/>
  <c r="B845" i="10" s="1"/>
  <c r="B846" i="10" a="1"/>
  <c r="B846" i="10" s="1"/>
  <c r="B847" i="10" a="1"/>
  <c r="B847" i="10" s="1"/>
  <c r="B848" i="10" a="1"/>
  <c r="B848" i="10" s="1"/>
  <c r="B849" i="10" a="1"/>
  <c r="B849" i="10" s="1"/>
  <c r="B850" i="10" a="1"/>
  <c r="B850" i="10" s="1"/>
  <c r="B851" i="10" a="1"/>
  <c r="B851" i="10" s="1"/>
  <c r="B852" i="10" a="1"/>
  <c r="B852" i="10" s="1"/>
  <c r="B853" i="10" a="1"/>
  <c r="B853" i="10" s="1"/>
  <c r="B854" i="10" a="1"/>
  <c r="B854" i="10" s="1"/>
  <c r="B855" i="10" a="1"/>
  <c r="B855" i="10" s="1"/>
  <c r="B856" i="10" a="1"/>
  <c r="B856" i="10" s="1"/>
  <c r="B857" i="10" a="1"/>
  <c r="B857" i="10" s="1"/>
  <c r="B858" i="10" a="1"/>
  <c r="B858" i="10" s="1"/>
  <c r="B859" i="10" a="1"/>
  <c r="B859" i="10" s="1"/>
  <c r="B860" i="10" a="1"/>
  <c r="B860" i="10" s="1"/>
  <c r="B861" i="10" a="1"/>
  <c r="B861" i="10" s="1"/>
  <c r="B862" i="10" a="1"/>
  <c r="B862" i="10" s="1"/>
  <c r="B863" i="10" a="1"/>
  <c r="B863" i="10" s="1"/>
  <c r="B864" i="10" a="1"/>
  <c r="B864" i="10" s="1"/>
  <c r="B865" i="10" a="1"/>
  <c r="B865" i="10" s="1"/>
  <c r="B866" i="10" a="1"/>
  <c r="B866" i="10" s="1"/>
  <c r="B867" i="10" a="1"/>
  <c r="B867" i="10"/>
  <c r="B868" i="10" a="1"/>
  <c r="B868" i="10" s="1"/>
  <c r="B869" i="10" a="1"/>
  <c r="B869" i="10" s="1"/>
  <c r="B870" i="10" a="1"/>
  <c r="B870" i="10" s="1"/>
  <c r="B871" i="10" a="1"/>
  <c r="B871" i="10" s="1"/>
  <c r="B872" i="10" a="1"/>
  <c r="B872" i="10" s="1"/>
  <c r="B873" i="10" a="1"/>
  <c r="B873" i="10" s="1"/>
  <c r="B874" i="10" a="1"/>
  <c r="B874" i="10" s="1"/>
  <c r="B875" i="10" a="1"/>
  <c r="B875" i="10" s="1"/>
  <c r="B876" i="10" a="1"/>
  <c r="B876" i="10" s="1"/>
  <c r="B877" i="10" a="1"/>
  <c r="B877" i="10" s="1"/>
  <c r="B878" i="10" a="1"/>
  <c r="B878" i="10" s="1"/>
  <c r="B879" i="10" a="1"/>
  <c r="B879" i="10" s="1"/>
  <c r="B880" i="10" a="1"/>
  <c r="B880" i="10" s="1"/>
  <c r="B881" i="10" a="1"/>
  <c r="B881" i="10" s="1"/>
  <c r="B882" i="10" a="1"/>
  <c r="B882" i="10" s="1"/>
  <c r="B883" i="10" a="1"/>
  <c r="B883" i="10" s="1"/>
  <c r="B884" i="10" a="1"/>
  <c r="B884" i="10" s="1"/>
  <c r="B885" i="10" a="1"/>
  <c r="B885" i="10" s="1"/>
  <c r="B886" i="10" a="1"/>
  <c r="B886" i="10" s="1"/>
  <c r="B887" i="10" a="1"/>
  <c r="B887" i="10" s="1"/>
  <c r="B888" i="10" a="1"/>
  <c r="B888" i="10" s="1"/>
  <c r="B889" i="10" a="1"/>
  <c r="B889" i="10" s="1"/>
  <c r="B890" i="10" a="1"/>
  <c r="B890" i="10" s="1"/>
  <c r="B891" i="10" a="1"/>
  <c r="B891" i="10"/>
  <c r="B892" i="10" a="1"/>
  <c r="B892" i="10" s="1"/>
  <c r="B893" i="10" a="1"/>
  <c r="B893" i="10" s="1"/>
  <c r="B894" i="10" a="1"/>
  <c r="B894" i="10" s="1"/>
  <c r="B895" i="10" a="1"/>
  <c r="B895" i="10" s="1"/>
  <c r="B896" i="10" a="1"/>
  <c r="B896" i="10" s="1"/>
  <c r="B897" i="10" a="1"/>
  <c r="B897" i="10" s="1"/>
  <c r="B898" i="10" a="1"/>
  <c r="B898" i="10" s="1"/>
  <c r="B899" i="10" a="1"/>
  <c r="B899" i="10" s="1"/>
  <c r="B900" i="10" a="1"/>
  <c r="B900" i="10" s="1"/>
  <c r="B901" i="10" a="1"/>
  <c r="B901" i="10" s="1"/>
  <c r="B902" i="10" a="1"/>
  <c r="B902" i="10" s="1"/>
  <c r="B903" i="10" a="1"/>
  <c r="B903" i="10" s="1"/>
  <c r="B904" i="10" a="1"/>
  <c r="B904" i="10" s="1"/>
  <c r="B905" i="10" a="1"/>
  <c r="B905" i="10" s="1"/>
  <c r="B906" i="10" a="1"/>
  <c r="B906" i="10" s="1"/>
  <c r="B907" i="10" a="1"/>
  <c r="B907" i="10" s="1"/>
  <c r="B908" i="10" a="1"/>
  <c r="B908" i="10" s="1"/>
  <c r="B909" i="10" a="1"/>
  <c r="B909" i="10" s="1"/>
  <c r="B910" i="10" a="1"/>
  <c r="B910" i="10" s="1"/>
  <c r="B911" i="10" a="1"/>
  <c r="B911" i="10" s="1"/>
  <c r="B912" i="10" a="1"/>
  <c r="B912" i="10" s="1"/>
  <c r="B913" i="10" a="1"/>
  <c r="B913" i="10" s="1"/>
  <c r="B914" i="10" a="1"/>
  <c r="B914" i="10" s="1"/>
  <c r="B915" i="10" a="1"/>
  <c r="B915" i="10" s="1"/>
  <c r="B916" i="10" a="1"/>
  <c r="B916" i="10" s="1"/>
  <c r="B917" i="10" a="1"/>
  <c r="B917" i="10" s="1"/>
  <c r="B918" i="10" a="1"/>
  <c r="B918" i="10" s="1"/>
  <c r="B919" i="10" a="1"/>
  <c r="B919" i="10" s="1"/>
  <c r="B920" i="10" a="1"/>
  <c r="B920" i="10" s="1"/>
  <c r="B921" i="10" a="1"/>
  <c r="B921" i="10" s="1"/>
  <c r="B922" i="10" a="1"/>
  <c r="B922" i="10" s="1"/>
  <c r="B923" i="10" a="1"/>
  <c r="B923" i="10" s="1"/>
  <c r="B924" i="10" a="1"/>
  <c r="B924" i="10" s="1"/>
  <c r="B925" i="10" a="1"/>
  <c r="B925" i="10" s="1"/>
  <c r="B926" i="10" a="1"/>
  <c r="B926" i="10" s="1"/>
  <c r="B927" i="10" a="1"/>
  <c r="B927" i="10" s="1"/>
  <c r="B928" i="10" a="1"/>
  <c r="B928" i="10" s="1"/>
  <c r="B929" i="10" a="1"/>
  <c r="B929" i="10"/>
  <c r="B930" i="10" a="1"/>
  <c r="B930" i="10" s="1"/>
  <c r="B931" i="10" a="1"/>
  <c r="B931" i="10" s="1"/>
  <c r="B932" i="10" a="1"/>
  <c r="B932" i="10" s="1"/>
  <c r="B933" i="10" a="1"/>
  <c r="B933" i="10" s="1"/>
  <c r="B934" i="10" a="1"/>
  <c r="B934" i="10" s="1"/>
  <c r="B935" i="10" a="1"/>
  <c r="B935" i="10" s="1"/>
  <c r="B936" i="10" a="1"/>
  <c r="B936" i="10" s="1"/>
  <c r="B937" i="10" a="1"/>
  <c r="B937" i="10" s="1"/>
  <c r="B938" i="10" a="1"/>
  <c r="B938" i="10" s="1"/>
  <c r="B939" i="10" a="1"/>
  <c r="B939" i="10" s="1"/>
  <c r="B940" i="10" a="1"/>
  <c r="B940" i="10" s="1"/>
  <c r="B941" i="10" a="1"/>
  <c r="B941" i="10" s="1"/>
  <c r="B942" i="10" a="1"/>
  <c r="B942" i="10" s="1"/>
  <c r="B943" i="10" a="1"/>
  <c r="B943" i="10" s="1"/>
  <c r="B944" i="10" a="1"/>
  <c r="B944" i="10" s="1"/>
  <c r="B945" i="10" a="1"/>
  <c r="B945" i="10" s="1"/>
  <c r="B946" i="10" a="1"/>
  <c r="B946" i="10" s="1"/>
  <c r="B947" i="10" a="1"/>
  <c r="B947" i="10" s="1"/>
  <c r="B948" i="10" a="1"/>
  <c r="B948" i="10" s="1"/>
  <c r="B949" i="10" a="1"/>
  <c r="B949" i="10" s="1"/>
  <c r="B950" i="10" a="1"/>
  <c r="B950" i="10" s="1"/>
  <c r="B951" i="10" a="1"/>
  <c r="B951" i="10" s="1"/>
  <c r="B952" i="10" a="1"/>
  <c r="B952" i="10" s="1"/>
  <c r="B953" i="10" a="1"/>
  <c r="B953" i="10" s="1"/>
  <c r="B954" i="10" a="1"/>
  <c r="B954" i="10" s="1"/>
  <c r="B955" i="10" a="1"/>
  <c r="B955" i="10" s="1"/>
  <c r="B956" i="10" a="1"/>
  <c r="B956" i="10" s="1"/>
  <c r="B957" i="10" a="1"/>
  <c r="B957" i="10" s="1"/>
  <c r="B958" i="10" a="1"/>
  <c r="B958" i="10" s="1"/>
  <c r="B959" i="10" a="1"/>
  <c r="B959" i="10" s="1"/>
  <c r="B960" i="10" a="1"/>
  <c r="B960" i="10" s="1"/>
  <c r="B961" i="10" a="1"/>
  <c r="B961" i="10" s="1"/>
  <c r="B962" i="10" a="1"/>
  <c r="B962" i="10" s="1"/>
  <c r="B963" i="10" a="1"/>
  <c r="B963" i="10" s="1"/>
  <c r="B964" i="10" a="1"/>
  <c r="B964" i="10" s="1"/>
  <c r="B965" i="10" a="1"/>
  <c r="B965" i="10" s="1"/>
  <c r="B966" i="10" a="1"/>
  <c r="B966" i="10" s="1"/>
  <c r="B967" i="10" a="1"/>
  <c r="B967" i="10" s="1"/>
  <c r="B968" i="10" a="1"/>
  <c r="B968" i="10" s="1"/>
  <c r="B969" i="10" a="1"/>
  <c r="B969" i="10" s="1"/>
  <c r="B970" i="10" a="1"/>
  <c r="B970" i="10" s="1"/>
  <c r="B971" i="10" a="1"/>
  <c r="B971" i="10" s="1"/>
  <c r="B972" i="10" a="1"/>
  <c r="B972" i="10" s="1"/>
  <c r="B973" i="10" a="1"/>
  <c r="B973" i="10" s="1"/>
  <c r="B974" i="10" a="1"/>
  <c r="B974" i="10" s="1"/>
  <c r="B975" i="10" a="1"/>
  <c r="B975" i="10" s="1"/>
  <c r="B976" i="10" a="1"/>
  <c r="B976" i="10" s="1"/>
  <c r="B977" i="10" a="1"/>
  <c r="B977" i="10" s="1"/>
  <c r="B978" i="10" a="1"/>
  <c r="B978" i="10" s="1"/>
  <c r="B979" i="10" a="1"/>
  <c r="B979" i="10" s="1"/>
  <c r="B980" i="10" a="1"/>
  <c r="B980" i="10" s="1"/>
  <c r="B981" i="10" a="1"/>
  <c r="B981" i="10" s="1"/>
  <c r="B982" i="10" a="1"/>
  <c r="B982" i="10" s="1"/>
  <c r="B983" i="10" a="1"/>
  <c r="B983" i="10" s="1"/>
  <c r="B984" i="10" a="1"/>
  <c r="B984" i="10" s="1"/>
  <c r="B985" i="10" a="1"/>
  <c r="B985" i="10" s="1"/>
  <c r="B986" i="10" a="1"/>
  <c r="B986" i="10" s="1"/>
  <c r="B987" i="10" a="1"/>
  <c r="B987" i="10" s="1"/>
  <c r="B988" i="10" a="1"/>
  <c r="B988" i="10" s="1"/>
  <c r="B989" i="10" a="1"/>
  <c r="B989" i="10" s="1"/>
  <c r="B990" i="10" a="1"/>
  <c r="B990" i="10" s="1"/>
  <c r="B991" i="10" a="1"/>
  <c r="B991" i="10" s="1"/>
  <c r="B992" i="10" a="1"/>
  <c r="B992" i="10" s="1"/>
  <c r="B993" i="10" a="1"/>
  <c r="B993" i="10" s="1"/>
  <c r="B994" i="10" a="1"/>
  <c r="B994" i="10" s="1"/>
  <c r="B995" i="10" a="1"/>
  <c r="B995" i="10" s="1"/>
  <c r="B996" i="10" a="1"/>
  <c r="B996" i="10" s="1"/>
  <c r="B997" i="10" a="1"/>
  <c r="B997" i="10" s="1"/>
  <c r="B998" i="10" a="1"/>
  <c r="B998" i="10" s="1"/>
  <c r="B999" i="10" a="1"/>
  <c r="B999" i="10" s="1"/>
  <c r="B1000" i="10" a="1"/>
  <c r="B1000" i="10" s="1"/>
  <c r="B1001" i="10" a="1"/>
  <c r="B1001" i="10" s="1"/>
  <c r="B1002" i="10" a="1"/>
  <c r="B1002" i="10" s="1"/>
  <c r="B1003" i="10" a="1"/>
  <c r="B1003" i="10" s="1"/>
  <c r="B1004" i="10" a="1"/>
  <c r="B1004" i="10" s="1"/>
  <c r="B1005" i="10" a="1"/>
  <c r="B1005" i="10" s="1"/>
  <c r="B1006" i="10" a="1"/>
  <c r="B1006" i="10" s="1"/>
  <c r="B1007" i="10" a="1"/>
  <c r="B1007" i="10" s="1"/>
  <c r="B1008" i="10" a="1"/>
  <c r="B1008" i="10" s="1"/>
  <c r="B1009" i="10" a="1"/>
  <c r="B1009" i="10" s="1"/>
  <c r="B1010" i="10" a="1"/>
  <c r="B1010" i="10" s="1"/>
  <c r="B1011" i="10" a="1"/>
  <c r="B1011" i="10" s="1"/>
  <c r="B1012" i="10" a="1"/>
  <c r="B1012" i="10" s="1"/>
  <c r="B1013" i="10" a="1"/>
  <c r="B1013" i="10" s="1"/>
  <c r="B1014" i="10" a="1"/>
  <c r="B1014" i="10" s="1"/>
  <c r="B1015" i="10" a="1"/>
  <c r="B1015" i="10" s="1"/>
  <c r="B1016" i="10" a="1"/>
  <c r="B1016" i="10" s="1"/>
  <c r="B1017" i="10" a="1"/>
  <c r="B1017" i="10" s="1"/>
  <c r="B1018" i="10" a="1"/>
  <c r="B1018" i="10" s="1"/>
  <c r="B1019" i="10" a="1"/>
  <c r="B1019" i="10" s="1"/>
  <c r="B1020" i="10" a="1"/>
  <c r="B1020" i="10" s="1"/>
  <c r="B1021" i="10" a="1"/>
  <c r="B1021" i="10" s="1"/>
  <c r="B1022" i="10" a="1"/>
  <c r="B1022" i="10" s="1"/>
  <c r="B1023" i="10" a="1"/>
  <c r="B1023" i="10" s="1"/>
  <c r="B1024" i="10" a="1"/>
  <c r="B1024" i="10" s="1"/>
  <c r="B1025" i="10" a="1"/>
  <c r="B1025" i="10" s="1"/>
  <c r="B1026" i="10" a="1"/>
  <c r="B1026" i="10" s="1"/>
  <c r="B1027" i="10" a="1"/>
  <c r="B1027" i="10" s="1"/>
  <c r="B1028" i="10" a="1"/>
  <c r="B1028" i="10" s="1"/>
  <c r="B1029" i="10" a="1"/>
  <c r="B1029" i="10" s="1"/>
  <c r="B1030" i="10" a="1"/>
  <c r="B1030" i="10" s="1"/>
  <c r="B1031" i="10" a="1"/>
  <c r="B1031" i="10" s="1"/>
  <c r="B1032" i="10" a="1"/>
  <c r="B1032" i="10" s="1"/>
  <c r="B1033" i="10" a="1"/>
  <c r="B1033" i="10" s="1"/>
  <c r="B1034" i="10" a="1"/>
  <c r="B1034" i="10" s="1"/>
  <c r="B1035" i="10" a="1"/>
  <c r="B1035" i="10" s="1"/>
  <c r="B1036" i="10" a="1"/>
  <c r="B1036" i="10" s="1"/>
  <c r="B1037" i="10" a="1"/>
  <c r="B1037" i="10" s="1"/>
  <c r="B1038" i="10" a="1"/>
  <c r="B1038" i="10" s="1"/>
  <c r="B1039" i="10" a="1"/>
  <c r="B1039" i="10" s="1"/>
  <c r="B1040" i="10" a="1"/>
  <c r="B1040" i="10" s="1"/>
  <c r="B1041" i="10" a="1"/>
  <c r="B1041" i="10" s="1"/>
  <c r="B1042" i="10" a="1"/>
  <c r="B1042" i="10" s="1"/>
  <c r="B1043" i="10" a="1"/>
  <c r="B1043" i="10"/>
  <c r="B1044" i="10" a="1"/>
  <c r="B1044" i="10" s="1"/>
  <c r="B1045" i="10" a="1"/>
  <c r="B1045" i="10" s="1"/>
  <c r="B1046" i="10" a="1"/>
  <c r="B1046" i="10" s="1"/>
  <c r="B1047" i="10" a="1"/>
  <c r="B1047" i="10" s="1"/>
  <c r="B1048" i="10" a="1"/>
  <c r="B1048" i="10" s="1"/>
  <c r="B1049" i="10" a="1"/>
  <c r="B1049" i="10" s="1"/>
  <c r="B1050" i="10" a="1"/>
  <c r="B1050" i="10" s="1"/>
  <c r="B1051" i="10" a="1"/>
  <c r="B1051" i="10" s="1"/>
  <c r="B1052" i="10" a="1"/>
  <c r="B1052" i="10" s="1"/>
  <c r="B1053" i="10" a="1"/>
  <c r="B1053" i="10" s="1"/>
  <c r="B1054" i="10" a="1"/>
  <c r="B1054" i="10" s="1"/>
  <c r="B1055" i="10" a="1"/>
  <c r="B1055" i="10" s="1"/>
  <c r="B1056" i="10" a="1"/>
  <c r="B1056" i="10" s="1"/>
  <c r="B1057" i="10" a="1"/>
  <c r="B1057" i="10" s="1"/>
  <c r="B1058" i="10" a="1"/>
  <c r="B1058" i="10" s="1"/>
  <c r="B1059" i="10" a="1"/>
  <c r="B1059" i="10" s="1"/>
  <c r="B1060" i="10" a="1"/>
  <c r="B1060" i="10" s="1"/>
  <c r="B1061" i="10" a="1"/>
  <c r="B1061" i="10" s="1"/>
  <c r="B1062" i="10" a="1"/>
  <c r="B1062" i="10" s="1"/>
  <c r="B1063" i="10" a="1"/>
  <c r="B1063" i="10" s="1"/>
  <c r="B1064" i="10" a="1"/>
  <c r="B1064" i="10" s="1"/>
  <c r="B1065" i="10" a="1"/>
  <c r="B1065" i="10" s="1"/>
  <c r="B1066" i="10" a="1"/>
  <c r="B1066" i="10" s="1"/>
  <c r="B1067" i="10" a="1"/>
  <c r="B1067" i="10" s="1"/>
  <c r="B1068" i="10" a="1"/>
  <c r="B1068" i="10" s="1"/>
  <c r="B1069" i="10" a="1"/>
  <c r="B1069" i="10" s="1"/>
  <c r="B1070" i="10" a="1"/>
  <c r="B1070" i="10" s="1"/>
  <c r="B1071" i="10" a="1"/>
  <c r="B1071" i="10" s="1"/>
  <c r="B1072" i="10" a="1"/>
  <c r="B1072" i="10" s="1"/>
  <c r="B1073" i="10" a="1"/>
  <c r="B1073" i="10" s="1"/>
  <c r="B1074" i="10" a="1"/>
  <c r="B1074" i="10" s="1"/>
  <c r="B1075" i="10" a="1"/>
  <c r="B1075" i="10" s="1"/>
  <c r="B1076" i="10" a="1"/>
  <c r="B1076" i="10" s="1"/>
  <c r="B1077" i="10" a="1"/>
  <c r="B1077" i="10" s="1"/>
  <c r="B1078" i="10" a="1"/>
  <c r="B1078" i="10" s="1"/>
  <c r="B1079" i="10" a="1"/>
  <c r="B1079" i="10" s="1"/>
  <c r="B1080" i="10" a="1"/>
  <c r="B1080" i="10" s="1"/>
  <c r="B1081" i="10" a="1"/>
  <c r="B1081" i="10" s="1"/>
  <c r="B1082" i="10" a="1"/>
  <c r="B1082" i="10" s="1"/>
  <c r="B1083" i="10" a="1"/>
  <c r="B1083" i="10" s="1"/>
  <c r="B1084" i="10" a="1"/>
  <c r="B1084" i="10" s="1"/>
  <c r="B1085" i="10" a="1"/>
  <c r="B1085" i="10" s="1"/>
  <c r="B1086" i="10" a="1"/>
  <c r="B1086" i="10" s="1"/>
  <c r="B1087" i="10" a="1"/>
  <c r="B1087" i="10" s="1"/>
  <c r="B1088" i="10" a="1"/>
  <c r="B1088" i="10" s="1"/>
  <c r="B1089" i="10" a="1"/>
  <c r="B1089" i="10" s="1"/>
  <c r="B1090" i="10" a="1"/>
  <c r="B1090" i="10" s="1"/>
  <c r="B1091" i="10" a="1"/>
  <c r="B1091" i="10" s="1"/>
  <c r="B1092" i="10" a="1"/>
  <c r="B1092" i="10" s="1"/>
  <c r="B1093" i="10" a="1"/>
  <c r="B1093" i="10" s="1"/>
  <c r="B1094" i="10" a="1"/>
  <c r="B1094" i="10" s="1"/>
  <c r="B1095" i="10" a="1"/>
  <c r="B1095" i="10" s="1"/>
  <c r="B1096" i="10" a="1"/>
  <c r="B1096" i="10" s="1"/>
  <c r="B1097" i="10" a="1"/>
  <c r="B1097" i="10" s="1"/>
  <c r="B1098" i="10" a="1"/>
  <c r="B1098" i="10" s="1"/>
  <c r="B1099" i="10" a="1"/>
  <c r="B1099" i="10" s="1"/>
  <c r="B1100" i="10" a="1"/>
  <c r="B1100" i="10" s="1"/>
  <c r="B1101" i="10" a="1"/>
  <c r="B1101" i="10" s="1"/>
  <c r="B1102" i="10" a="1"/>
  <c r="B1102" i="10" s="1"/>
  <c r="B1103" i="10" a="1"/>
  <c r="B1103" i="10" s="1"/>
  <c r="B1104" i="10" a="1"/>
  <c r="B1104" i="10" s="1"/>
  <c r="B1105" i="10" a="1"/>
  <c r="B1105" i="10" s="1"/>
  <c r="B1106" i="10" a="1"/>
  <c r="B1106" i="10" s="1"/>
  <c r="B1107" i="10" a="1"/>
  <c r="B1107" i="10"/>
  <c r="B1108" i="10" a="1"/>
  <c r="B1108" i="10" s="1"/>
  <c r="B1109" i="10" a="1"/>
  <c r="B1109" i="10" s="1"/>
  <c r="B1110" i="10" a="1"/>
  <c r="B1110" i="10" s="1"/>
  <c r="B1111" i="10" a="1"/>
  <c r="B1111" i="10" s="1"/>
  <c r="B1112" i="10" a="1"/>
  <c r="B1112" i="10" s="1"/>
  <c r="B1113" i="10" a="1"/>
  <c r="B1113" i="10" s="1"/>
  <c r="B1114" i="10" a="1"/>
  <c r="B1114" i="10" s="1"/>
  <c r="B1115" i="10" a="1"/>
  <c r="B1115" i="10" s="1"/>
  <c r="B1116" i="10" a="1"/>
  <c r="B1116" i="10" s="1"/>
  <c r="B1117" i="10" a="1"/>
  <c r="B1117" i="10" s="1"/>
  <c r="B1118" i="10" a="1"/>
  <c r="B1118" i="10" s="1"/>
  <c r="B1119" i="10" a="1"/>
  <c r="B1119" i="10" s="1"/>
  <c r="B1120" i="10" a="1"/>
  <c r="B1120" i="10" s="1"/>
  <c r="B1121" i="10" a="1"/>
  <c r="B1121" i="10" s="1"/>
  <c r="B1122" i="10" a="1"/>
  <c r="B1122" i="10" s="1"/>
  <c r="B1123" i="10" a="1"/>
  <c r="B1123" i="10" s="1"/>
  <c r="B1124" i="10" a="1"/>
  <c r="B1124" i="10" s="1"/>
  <c r="B1125" i="10" a="1"/>
  <c r="B1125" i="10" s="1"/>
  <c r="B1126" i="10" a="1"/>
  <c r="B1126" i="10" s="1"/>
  <c r="B1127" i="10" a="1"/>
  <c r="B1127" i="10" s="1"/>
  <c r="B1128" i="10" a="1"/>
  <c r="B1128" i="10" s="1"/>
  <c r="B1129" i="10" a="1"/>
  <c r="B1129" i="10" s="1"/>
  <c r="B1130" i="10" a="1"/>
  <c r="B1130" i="10" s="1"/>
  <c r="B1131" i="10" a="1"/>
  <c r="B1131" i="10" s="1"/>
  <c r="B1132" i="10" a="1"/>
  <c r="B1132" i="10" s="1"/>
  <c r="B1133" i="10" a="1"/>
  <c r="B1133" i="10" s="1"/>
  <c r="B1134" i="10" a="1"/>
  <c r="B1134" i="10" s="1"/>
  <c r="B1135" i="10" a="1"/>
  <c r="B1135" i="10" s="1"/>
  <c r="B1136" i="10" a="1"/>
  <c r="B1136" i="10" s="1"/>
  <c r="B1137" i="10" a="1"/>
  <c r="B1137" i="10" s="1"/>
  <c r="B1138" i="10" a="1"/>
  <c r="B1138" i="10" s="1"/>
  <c r="B1139" i="10" a="1"/>
  <c r="B1139" i="10" s="1"/>
  <c r="B1140" i="10" a="1"/>
  <c r="B1140" i="10" s="1"/>
  <c r="B1141" i="10" a="1"/>
  <c r="B1141" i="10" s="1"/>
  <c r="B1142" i="10" a="1"/>
  <c r="B1142" i="10" s="1"/>
  <c r="B1143" i="10" a="1"/>
  <c r="B1143" i="10" s="1"/>
  <c r="B1144" i="10" a="1"/>
  <c r="B1144" i="10" s="1"/>
  <c r="B1145" i="10" a="1"/>
  <c r="B1145" i="10" s="1"/>
  <c r="B1146" i="10" a="1"/>
  <c r="B1146" i="10" s="1"/>
  <c r="B1147" i="10" a="1"/>
  <c r="B1147" i="10" s="1"/>
  <c r="B1148" i="10" a="1"/>
  <c r="B1148" i="10" s="1"/>
  <c r="B1149" i="10" a="1"/>
  <c r="B1149" i="10" s="1"/>
  <c r="B1150" i="10" a="1"/>
  <c r="B1150" i="10" s="1"/>
  <c r="B1151" i="10" a="1"/>
  <c r="B1151" i="10" s="1"/>
  <c r="B1152" i="10" a="1"/>
  <c r="B1152" i="10" s="1"/>
  <c r="B1153" i="10" a="1"/>
  <c r="B1153" i="10" s="1"/>
  <c r="B1154" i="10" a="1"/>
  <c r="B1154" i="10" s="1"/>
  <c r="B1155" i="10" a="1"/>
  <c r="B1155" i="10" s="1"/>
  <c r="B1156" i="10" a="1"/>
  <c r="B1156" i="10" s="1"/>
  <c r="B1157" i="10" a="1"/>
  <c r="B1157" i="10" s="1"/>
  <c r="B1158" i="10" a="1"/>
  <c r="B1158" i="10" s="1"/>
  <c r="B1159" i="10" a="1"/>
  <c r="B1159" i="10" s="1"/>
  <c r="B1160" i="10" a="1"/>
  <c r="B1160" i="10" s="1"/>
  <c r="B1161" i="10" a="1"/>
  <c r="B1161" i="10" s="1"/>
  <c r="B1162" i="10" a="1"/>
  <c r="B1162" i="10" s="1"/>
  <c r="B1163" i="10" a="1"/>
  <c r="B1163" i="10" s="1"/>
  <c r="B1164" i="10" a="1"/>
  <c r="B1164" i="10" s="1"/>
  <c r="B1165" i="10" a="1"/>
  <c r="B1165" i="10" s="1"/>
  <c r="B1166" i="10" a="1"/>
  <c r="B1166" i="10" s="1"/>
  <c r="B1167" i="10" a="1"/>
  <c r="B1167" i="10" s="1"/>
  <c r="B1168" i="10" a="1"/>
  <c r="B1168" i="10" s="1"/>
  <c r="B1169" i="10" a="1"/>
  <c r="B1169" i="10" s="1"/>
  <c r="B1170" i="10" a="1"/>
  <c r="B1170" i="10" s="1"/>
  <c r="B1171" i="10" a="1"/>
  <c r="B1171" i="10" s="1"/>
  <c r="B1172" i="10" a="1"/>
  <c r="B1172" i="10" s="1"/>
  <c r="B1173" i="10" a="1"/>
  <c r="B1173" i="10" s="1"/>
  <c r="B1174" i="10" a="1"/>
  <c r="B1174" i="10" s="1"/>
  <c r="B1175" i="10" a="1"/>
  <c r="B1175" i="10" s="1"/>
  <c r="B1176" i="10" a="1"/>
  <c r="B1176" i="10" s="1"/>
  <c r="B1177" i="10" a="1"/>
  <c r="B1177" i="10" s="1"/>
  <c r="B1178" i="10" a="1"/>
  <c r="B1178" i="10" s="1"/>
  <c r="B1179" i="10" a="1"/>
  <c r="B1179" i="10" s="1"/>
  <c r="B1180" i="10" a="1"/>
  <c r="B1180" i="10" s="1"/>
  <c r="B1181" i="10" a="1"/>
  <c r="B1181" i="10" s="1"/>
  <c r="B1182" i="10" a="1"/>
  <c r="B1182" i="10" s="1"/>
  <c r="B1183" i="10" a="1"/>
  <c r="B1183" i="10" s="1"/>
  <c r="B1184" i="10" a="1"/>
  <c r="B1184" i="10" s="1"/>
  <c r="B1185" i="10" a="1"/>
  <c r="B1185" i="10" s="1"/>
  <c r="B1186" i="10" a="1"/>
  <c r="B1186" i="10" s="1"/>
  <c r="B1187" i="10" a="1"/>
  <c r="B1187" i="10" s="1"/>
  <c r="B1188" i="10" a="1"/>
  <c r="B1188" i="10" s="1"/>
  <c r="B1189" i="10" a="1"/>
  <c r="B1189" i="10" s="1"/>
  <c r="B1190" i="10" a="1"/>
  <c r="B1190" i="10" s="1"/>
  <c r="B1191" i="10" a="1"/>
  <c r="B1191" i="10" s="1"/>
  <c r="B1192" i="10" a="1"/>
  <c r="B1192" i="10" s="1"/>
  <c r="B1193" i="10" a="1"/>
  <c r="B1193" i="10" s="1"/>
  <c r="B1194" i="10" a="1"/>
  <c r="B1194" i="10" s="1"/>
  <c r="B1195" i="10" a="1"/>
  <c r="B1195" i="10" s="1"/>
  <c r="B1196" i="10" a="1"/>
  <c r="B1196" i="10" s="1"/>
  <c r="B1197" i="10" a="1"/>
  <c r="B1197" i="10" s="1"/>
  <c r="B1198" i="10" a="1"/>
  <c r="B1198" i="10" s="1"/>
  <c r="B1199" i="10" a="1"/>
  <c r="B1199" i="10" s="1"/>
  <c r="B1200" i="10" a="1"/>
  <c r="B1200" i="10" s="1"/>
  <c r="B1201" i="10" a="1"/>
  <c r="B1201" i="10" s="1"/>
  <c r="B1202" i="10" a="1"/>
  <c r="B1202" i="10" s="1"/>
  <c r="B1203" i="10" a="1"/>
  <c r="B1203" i="10" s="1"/>
  <c r="B1204" i="10" a="1"/>
  <c r="B1204" i="10" s="1"/>
  <c r="B1205" i="10" a="1"/>
  <c r="B1205" i="10" s="1"/>
  <c r="B1206" i="10" a="1"/>
  <c r="B1206" i="10" s="1"/>
  <c r="B1207" i="10" a="1"/>
  <c r="B1207" i="10" s="1"/>
  <c r="B1208" i="10" a="1"/>
  <c r="B1208" i="10" s="1"/>
  <c r="B1209" i="10" a="1"/>
  <c r="B1209" i="10" s="1"/>
  <c r="B1210" i="10" a="1"/>
  <c r="B1210" i="10" s="1"/>
  <c r="B1211" i="10" a="1"/>
  <c r="B1211" i="10" s="1"/>
  <c r="B1212" i="10" a="1"/>
  <c r="B1212" i="10" s="1"/>
  <c r="B1213" i="10" a="1"/>
  <c r="B1213" i="10" s="1"/>
  <c r="B1214" i="10" a="1"/>
  <c r="B1214" i="10" s="1"/>
  <c r="B1215" i="10" a="1"/>
  <c r="B1215" i="10" s="1"/>
  <c r="B1216" i="10" a="1"/>
  <c r="B1216" i="10" s="1"/>
  <c r="B1217" i="10" a="1"/>
  <c r="B1217" i="10" s="1"/>
  <c r="B1218" i="10" a="1"/>
  <c r="B1218" i="10" s="1"/>
  <c r="B1219" i="10" a="1"/>
  <c r="B1219" i="10" s="1"/>
  <c r="B1220" i="10" a="1"/>
  <c r="B1220" i="10" s="1"/>
  <c r="B1221" i="10" a="1"/>
  <c r="B1221" i="10" s="1"/>
  <c r="B1222" i="10" a="1"/>
  <c r="B1222" i="10" s="1"/>
  <c r="B1223" i="10" a="1"/>
  <c r="B1223" i="10" s="1"/>
  <c r="B1224" i="10" a="1"/>
  <c r="B1224" i="10" s="1"/>
  <c r="B1225" i="10" a="1"/>
  <c r="B1225" i="10" s="1"/>
  <c r="B1226" i="10" a="1"/>
  <c r="B1226" i="10" s="1"/>
  <c r="B1227" i="10" a="1"/>
  <c r="B1227" i="10" s="1"/>
  <c r="B1228" i="10" a="1"/>
  <c r="B1228" i="10" s="1"/>
  <c r="B1229" i="10" a="1"/>
  <c r="B1229" i="10" s="1"/>
  <c r="B1230" i="10" a="1"/>
  <c r="B1230" i="10" s="1"/>
  <c r="B1231" i="10" a="1"/>
  <c r="B1231" i="10" s="1"/>
  <c r="B1232" i="10" a="1"/>
  <c r="B1232" i="10" s="1"/>
  <c r="B1233" i="10" a="1"/>
  <c r="B1233" i="10" s="1"/>
  <c r="B1234" i="10" a="1"/>
  <c r="B1234" i="10" s="1"/>
  <c r="B1235" i="10" a="1"/>
  <c r="B1235" i="10" s="1"/>
  <c r="B1236" i="10" a="1"/>
  <c r="B1236" i="10" s="1"/>
  <c r="B1237" i="10" a="1"/>
  <c r="B1237" i="10" s="1"/>
  <c r="B1238" i="10" a="1"/>
  <c r="B1238" i="10" s="1"/>
  <c r="B1239" i="10" a="1"/>
  <c r="B1239" i="10" s="1"/>
  <c r="B1240" i="10" a="1"/>
  <c r="B1240" i="10" s="1"/>
  <c r="B1241" i="10" a="1"/>
  <c r="B1241" i="10" s="1"/>
  <c r="B1242" i="10" a="1"/>
  <c r="B1242" i="10" s="1"/>
  <c r="B1243" i="10" a="1"/>
  <c r="B1243" i="10" s="1"/>
  <c r="B1244" i="10" a="1"/>
  <c r="B1244" i="10" s="1"/>
  <c r="B1245" i="10" a="1"/>
  <c r="B1245" i="10" s="1"/>
  <c r="B1246" i="10" a="1"/>
  <c r="B1246" i="10" s="1"/>
  <c r="B1247" i="10" a="1"/>
  <c r="B1247" i="10" s="1"/>
  <c r="B1248" i="10" a="1"/>
  <c r="B1248" i="10" s="1"/>
  <c r="B1249" i="10" a="1"/>
  <c r="B1249" i="10" s="1"/>
  <c r="B1250" i="10" a="1"/>
  <c r="B1250" i="10" s="1"/>
  <c r="B1251" i="10" a="1"/>
  <c r="B1251" i="10" s="1"/>
  <c r="B1252" i="10" a="1"/>
  <c r="B1252" i="10" s="1"/>
  <c r="B1253" i="10" a="1"/>
  <c r="B1253" i="10" s="1"/>
  <c r="B1254" i="10" a="1"/>
  <c r="B1254" i="10" s="1"/>
  <c r="B1255" i="10" a="1"/>
  <c r="B1255" i="10" s="1"/>
  <c r="B1256" i="10" a="1"/>
  <c r="B1256" i="10" s="1"/>
  <c r="B1257" i="10" a="1"/>
  <c r="B1257" i="10" s="1"/>
  <c r="B1258" i="10" a="1"/>
  <c r="B1258" i="10" s="1"/>
  <c r="B1259" i="10" a="1"/>
  <c r="B1259" i="10" s="1"/>
  <c r="B1260" i="10" a="1"/>
  <c r="B1260" i="10" s="1"/>
  <c r="B1261" i="10" a="1"/>
  <c r="B1261" i="10" s="1"/>
  <c r="B1262" i="10" a="1"/>
  <c r="B1262" i="10" s="1"/>
  <c r="B1263" i="10" a="1"/>
  <c r="B1263" i="10" s="1"/>
  <c r="B1264" i="10" a="1"/>
  <c r="B1264" i="10" s="1"/>
  <c r="B1265" i="10" a="1"/>
  <c r="B1265" i="10" s="1"/>
  <c r="B1266" i="10" a="1"/>
  <c r="B1266" i="10" s="1"/>
  <c r="B1267" i="10" a="1"/>
  <c r="B1267" i="10" s="1"/>
  <c r="B1268" i="10" a="1"/>
  <c r="B1268" i="10" s="1"/>
  <c r="B1269" i="10" a="1"/>
  <c r="B1269" i="10" s="1"/>
  <c r="B1270" i="10" a="1"/>
  <c r="B1270" i="10" s="1"/>
  <c r="B1271" i="10" a="1"/>
  <c r="B1271" i="10" s="1"/>
  <c r="B1272" i="10" a="1"/>
  <c r="B1272" i="10" s="1"/>
  <c r="B1273" i="10" a="1"/>
  <c r="B1273" i="10" s="1"/>
  <c r="B1274" i="10" a="1"/>
  <c r="B1274" i="10" s="1"/>
  <c r="B1275" i="10" a="1"/>
  <c r="B1275" i="10" s="1"/>
  <c r="B1276" i="10" a="1"/>
  <c r="B1276" i="10" s="1"/>
  <c r="B1277" i="10" a="1"/>
  <c r="B1277" i="10" s="1"/>
  <c r="B1278" i="10" a="1"/>
  <c r="B1278" i="10" s="1"/>
  <c r="B1279" i="10" a="1"/>
  <c r="B1279" i="10" s="1"/>
  <c r="B1280" i="10" a="1"/>
  <c r="B1280" i="10" s="1"/>
  <c r="B1281" i="10" a="1"/>
  <c r="B1281" i="10" s="1"/>
  <c r="B1282" i="10" a="1"/>
  <c r="B1282" i="10" s="1"/>
  <c r="B1283" i="10" a="1"/>
  <c r="B1283" i="10" s="1"/>
  <c r="B1284" i="10" a="1"/>
  <c r="B1284" i="10" s="1"/>
  <c r="B1285" i="10" a="1"/>
  <c r="B1285" i="10" s="1"/>
  <c r="B1286" i="10" a="1"/>
  <c r="B1286" i="10" s="1"/>
  <c r="B1287" i="10" a="1"/>
  <c r="B1287" i="10" s="1"/>
  <c r="B1288" i="10" a="1"/>
  <c r="B1288" i="10" s="1"/>
  <c r="B1289" i="10" a="1"/>
  <c r="B1289" i="10" s="1"/>
  <c r="B1290" i="10" a="1"/>
  <c r="B1290" i="10" s="1"/>
  <c r="B1291" i="10" a="1"/>
  <c r="B1291" i="10" s="1"/>
  <c r="B1292" i="10" a="1"/>
  <c r="B1292" i="10" s="1"/>
  <c r="B1293" i="10" a="1"/>
  <c r="B1293" i="10" s="1"/>
  <c r="B1294" i="10" a="1"/>
  <c r="B1294" i="10" s="1"/>
  <c r="B1295" i="10" a="1"/>
  <c r="B1295" i="10" s="1"/>
  <c r="B1296" i="10" a="1"/>
  <c r="B1296" i="10" s="1"/>
  <c r="B1297" i="10" a="1"/>
  <c r="B1297" i="10" s="1"/>
  <c r="B1298" i="10" a="1"/>
  <c r="B1298" i="10" s="1"/>
  <c r="B1299" i="10" a="1"/>
  <c r="B1299" i="10" s="1"/>
  <c r="B1300" i="10" a="1"/>
  <c r="B1300" i="10"/>
  <c r="B1301" i="10" a="1"/>
  <c r="B1301" i="10" s="1"/>
  <c r="B1302" i="10" a="1"/>
  <c r="B1302" i="10" s="1"/>
  <c r="B1303" i="10" a="1"/>
  <c r="B1303" i="10" s="1"/>
  <c r="B1304" i="10" a="1"/>
  <c r="B1304" i="10" s="1"/>
  <c r="B1305" i="10" a="1"/>
  <c r="B1305" i="10" s="1"/>
  <c r="B1306" i="10" a="1"/>
  <c r="B1306" i="10" s="1"/>
  <c r="B1307" i="10" a="1"/>
  <c r="B1307" i="10" s="1"/>
  <c r="B1308" i="10" a="1"/>
  <c r="B1308" i="10" s="1"/>
  <c r="B1309" i="10" a="1"/>
  <c r="B1309" i="10" s="1"/>
  <c r="B1310" i="10" a="1"/>
  <c r="B1310" i="10" s="1"/>
  <c r="B1311" i="10" a="1"/>
  <c r="B1311" i="10" s="1"/>
  <c r="B1312" i="10" a="1"/>
  <c r="B1312" i="10" s="1"/>
  <c r="B1313" i="10" a="1"/>
  <c r="B1313" i="10" s="1"/>
  <c r="B1314" i="10" a="1"/>
  <c r="B1314" i="10" s="1"/>
  <c r="B1315" i="10" a="1"/>
  <c r="B1315" i="10" s="1"/>
  <c r="B1316" i="10" a="1"/>
  <c r="B1316" i="10" s="1"/>
  <c r="B1317" i="10" a="1"/>
  <c r="B1317" i="10" s="1"/>
  <c r="B1318" i="10" a="1"/>
  <c r="B1318" i="10" s="1"/>
  <c r="B1319" i="10" a="1"/>
  <c r="B1319" i="10" s="1"/>
  <c r="B1320" i="10" a="1"/>
  <c r="B1320" i="10" s="1"/>
  <c r="B1321" i="10" a="1"/>
  <c r="B1321" i="10" s="1"/>
  <c r="B1322" i="10" a="1"/>
  <c r="B1322" i="10" s="1"/>
  <c r="B1323" i="10" a="1"/>
  <c r="B1323" i="10" s="1"/>
  <c r="B1324" i="10" a="1"/>
  <c r="B1324" i="10" s="1"/>
  <c r="B1325" i="10" a="1"/>
  <c r="B1325" i="10" s="1"/>
  <c r="B1326" i="10" a="1"/>
  <c r="B1326" i="10" s="1"/>
  <c r="B1327" i="10" a="1"/>
  <c r="B1327" i="10" s="1"/>
  <c r="B1328" i="10" a="1"/>
  <c r="B1328" i="10" s="1"/>
  <c r="B1329" i="10" a="1"/>
  <c r="B1329" i="10" s="1"/>
  <c r="B1330" i="10" a="1"/>
  <c r="B1330" i="10" s="1"/>
  <c r="B1331" i="10" a="1"/>
  <c r="B1331" i="10" s="1"/>
  <c r="B1332" i="10" a="1"/>
  <c r="B1332" i="10" s="1"/>
  <c r="B1333" i="10" a="1"/>
  <c r="B1333" i="10" s="1"/>
  <c r="B1334" i="10" a="1"/>
  <c r="B1334" i="10" s="1"/>
  <c r="B1335" i="10" a="1"/>
  <c r="B1335" i="10" s="1"/>
  <c r="B1336" i="10" a="1"/>
  <c r="B1336" i="10" s="1"/>
  <c r="B1337" i="10" a="1"/>
  <c r="B1337" i="10" s="1"/>
  <c r="B1338" i="10" a="1"/>
  <c r="B1338" i="10" s="1"/>
  <c r="B1339" i="10" a="1"/>
  <c r="B1339" i="10" s="1"/>
  <c r="B1340" i="10" a="1"/>
  <c r="B1340" i="10" s="1"/>
  <c r="B1341" i="10" a="1"/>
  <c r="B1341" i="10" s="1"/>
  <c r="B1342" i="10" a="1"/>
  <c r="B1342" i="10" s="1"/>
  <c r="B1343" i="10" a="1"/>
  <c r="B1343" i="10" s="1"/>
  <c r="B1344" i="10" a="1"/>
  <c r="B1344" i="10" s="1"/>
  <c r="B1345" i="10" a="1"/>
  <c r="B1345" i="10" s="1"/>
  <c r="B1346" i="10" a="1"/>
  <c r="B1346" i="10" s="1"/>
  <c r="B1347" i="10" a="1"/>
  <c r="B1347" i="10" s="1"/>
  <c r="B1348" i="10" a="1"/>
  <c r="B1348" i="10" s="1"/>
  <c r="B1349" i="10" a="1"/>
  <c r="B1349" i="10" s="1"/>
  <c r="B1350" i="10" a="1"/>
  <c r="B1350" i="10" s="1"/>
  <c r="B1351" i="10" a="1"/>
  <c r="B1351" i="10" s="1"/>
  <c r="B1352" i="10" a="1"/>
  <c r="B1352" i="10" s="1"/>
  <c r="B1353" i="10" a="1"/>
  <c r="B1353" i="10" s="1"/>
  <c r="B1354" i="10" a="1"/>
  <c r="B1354" i="10" s="1"/>
  <c r="B1355" i="10" a="1"/>
  <c r="B1355" i="10" s="1"/>
  <c r="B1356" i="10" a="1"/>
  <c r="B1356" i="10" s="1"/>
  <c r="B1357" i="10" a="1"/>
  <c r="B1357" i="10" s="1"/>
  <c r="B1358" i="10" a="1"/>
  <c r="B1358" i="10" s="1"/>
  <c r="B1359" i="10" a="1"/>
  <c r="B1359" i="10" s="1"/>
  <c r="B1360" i="10" a="1"/>
  <c r="B1360" i="10" s="1"/>
  <c r="B1361" i="10" a="1"/>
  <c r="B1361" i="10" s="1"/>
  <c r="B1362" i="10" a="1"/>
  <c r="B1362" i="10" s="1"/>
  <c r="B1363" i="10" a="1"/>
  <c r="B1363" i="10" s="1"/>
  <c r="B1364" i="10" a="1"/>
  <c r="B1364" i="10" s="1"/>
  <c r="B1365" i="10" a="1"/>
  <c r="B1365" i="10" s="1"/>
  <c r="B1366" i="10" a="1"/>
  <c r="B1366" i="10" s="1"/>
  <c r="B1367" i="10" a="1"/>
  <c r="B1367" i="10" s="1"/>
  <c r="B1368" i="10" a="1"/>
  <c r="B1368" i="10" s="1"/>
  <c r="B1369" i="10" a="1"/>
  <c r="B1369" i="10" s="1"/>
  <c r="B1370" i="10" a="1"/>
  <c r="B1370" i="10" s="1"/>
  <c r="B1371" i="10" a="1"/>
  <c r="B1371" i="10" s="1"/>
  <c r="B1372" i="10" a="1"/>
  <c r="B1372" i="10" s="1"/>
  <c r="B1373" i="10" a="1"/>
  <c r="B1373" i="10" s="1"/>
  <c r="B1374" i="10" a="1"/>
  <c r="B1374" i="10" s="1"/>
  <c r="B1375" i="10" a="1"/>
  <c r="B1375" i="10" s="1"/>
  <c r="B1376" i="10" a="1"/>
  <c r="B1376" i="10" s="1"/>
  <c r="B1377" i="10" a="1"/>
  <c r="B1377" i="10" s="1"/>
  <c r="B1378" i="10" a="1"/>
  <c r="B1378" i="10" s="1"/>
  <c r="B1379" i="10" a="1"/>
  <c r="B1379" i="10" s="1"/>
  <c r="B1380" i="10" a="1"/>
  <c r="B1380" i="10" s="1"/>
  <c r="B1381" i="10" a="1"/>
  <c r="B1381" i="10" s="1"/>
  <c r="B1382" i="10" a="1"/>
  <c r="B1382" i="10" s="1"/>
  <c r="B1383" i="10" a="1"/>
  <c r="B1383" i="10" s="1"/>
  <c r="B1384" i="10" a="1"/>
  <c r="B1384" i="10" s="1"/>
  <c r="B1385" i="10" a="1"/>
  <c r="B1385" i="10" s="1"/>
  <c r="B1386" i="10" a="1"/>
  <c r="B1386" i="10" s="1"/>
  <c r="B1387" i="10" a="1"/>
  <c r="B1387" i="10" s="1"/>
  <c r="B1388" i="10" a="1"/>
  <c r="B1388" i="10" s="1"/>
  <c r="B1389" i="10" a="1"/>
  <c r="B1389" i="10" s="1"/>
  <c r="B1390" i="10" a="1"/>
  <c r="B1390" i="10" s="1"/>
  <c r="B1391" i="10" a="1"/>
  <c r="B1391" i="10" s="1"/>
  <c r="B1392" i="10" a="1"/>
  <c r="B1392" i="10" s="1"/>
  <c r="B1393" i="10" a="1"/>
  <c r="B1393" i="10" s="1"/>
  <c r="B1394" i="10" a="1"/>
  <c r="B1394" i="10" s="1"/>
  <c r="B1395" i="10" a="1"/>
  <c r="B1395" i="10" s="1"/>
  <c r="B1396" i="10" a="1"/>
  <c r="B1396" i="10" s="1"/>
  <c r="B1397" i="10" a="1"/>
  <c r="B1397" i="10" s="1"/>
  <c r="B1398" i="10" a="1"/>
  <c r="B1398" i="10" s="1"/>
  <c r="B1399" i="10" a="1"/>
  <c r="B1399" i="10" s="1"/>
  <c r="B1400" i="10" a="1"/>
  <c r="B1400" i="10" s="1"/>
  <c r="B1401" i="10" a="1"/>
  <c r="B1401" i="10" s="1"/>
  <c r="B1402" i="10" a="1"/>
  <c r="B1402" i="10" s="1"/>
  <c r="B1403" i="10" a="1"/>
  <c r="B1403" i="10" s="1"/>
  <c r="B1404" i="10" a="1"/>
  <c r="B1404" i="10" s="1"/>
  <c r="B1405" i="10" a="1"/>
  <c r="B1405" i="10" s="1"/>
  <c r="B1406" i="10" a="1"/>
  <c r="B1406" i="10" s="1"/>
  <c r="B1407" i="10" a="1"/>
  <c r="B1407" i="10" s="1"/>
  <c r="B1408" i="10" a="1"/>
  <c r="B1408" i="10" s="1"/>
  <c r="B1409" i="10" a="1"/>
  <c r="B1409" i="10" s="1"/>
  <c r="B1410" i="10" a="1"/>
  <c r="B1410" i="10" s="1"/>
  <c r="B1411" i="10" a="1"/>
  <c r="B1411" i="10" s="1"/>
  <c r="B1412" i="10" a="1"/>
  <c r="B1412" i="10" s="1"/>
  <c r="B1413" i="10" a="1"/>
  <c r="B1413" i="10" s="1"/>
  <c r="B1414" i="10" a="1"/>
  <c r="B1414" i="10" s="1"/>
  <c r="B1415" i="10" a="1"/>
  <c r="B1415" i="10" s="1"/>
  <c r="B1416" i="10" a="1"/>
  <c r="B1416" i="10" s="1"/>
  <c r="B1417" i="10" a="1"/>
  <c r="B1417" i="10" s="1"/>
  <c r="B1418" i="10" a="1"/>
  <c r="B1418" i="10" s="1"/>
  <c r="B1419" i="10" a="1"/>
  <c r="B1419" i="10" s="1"/>
  <c r="B1420" i="10" a="1"/>
  <c r="B1420" i="10" s="1"/>
  <c r="B1421" i="10" a="1"/>
  <c r="B1421" i="10" s="1"/>
  <c r="B1422" i="10" a="1"/>
  <c r="B1422" i="10" s="1"/>
  <c r="B1423" i="10" a="1"/>
  <c r="B1423" i="10" s="1"/>
  <c r="B1424" i="10" a="1"/>
  <c r="B1424" i="10" s="1"/>
  <c r="B1425" i="10" a="1"/>
  <c r="B1425" i="10" s="1"/>
  <c r="B1426" i="10" a="1"/>
  <c r="B1426" i="10" s="1"/>
  <c r="B1427" i="10" a="1"/>
  <c r="B1427" i="10" s="1"/>
  <c r="B1428" i="10" a="1"/>
  <c r="B1428" i="10" s="1"/>
  <c r="B1429" i="10" a="1"/>
  <c r="B1429" i="10" s="1"/>
  <c r="B1430" i="10" a="1"/>
  <c r="B1430" i="10" s="1"/>
  <c r="B1431" i="10" a="1"/>
  <c r="B1431" i="10" s="1"/>
  <c r="B1432" i="10" a="1"/>
  <c r="B1432" i="10" s="1"/>
  <c r="B1433" i="10" a="1"/>
  <c r="B1433" i="10" s="1"/>
  <c r="B1434" i="10" a="1"/>
  <c r="B1434" i="10" s="1"/>
  <c r="B1435" i="10" a="1"/>
  <c r="B1435" i="10" s="1"/>
  <c r="B1436" i="10" a="1"/>
  <c r="B1436" i="10" s="1"/>
  <c r="B1437" i="10" a="1"/>
  <c r="B1437" i="10" s="1"/>
  <c r="B1438" i="10" a="1"/>
  <c r="B1438" i="10" s="1"/>
  <c r="B1439" i="10" a="1"/>
  <c r="B1439" i="10" s="1"/>
  <c r="B1440" i="10" a="1"/>
  <c r="B1440" i="10" s="1"/>
  <c r="B1441" i="10" a="1"/>
  <c r="B1441" i="10" s="1"/>
  <c r="B1442" i="10" a="1"/>
  <c r="B1442" i="10" s="1"/>
  <c r="B1443" i="10" a="1"/>
  <c r="B1443" i="10" s="1"/>
  <c r="B1444" i="10" a="1"/>
  <c r="B1444" i="10" s="1"/>
  <c r="B1445" i="10" a="1"/>
  <c r="B1445" i="10" s="1"/>
  <c r="B1446" i="10" a="1"/>
  <c r="B1446" i="10" s="1"/>
  <c r="B1447" i="10" a="1"/>
  <c r="B1447" i="10" s="1"/>
  <c r="B1448" i="10" a="1"/>
  <c r="B1448" i="10" s="1"/>
  <c r="B1449" i="10" a="1"/>
  <c r="B1449" i="10" s="1"/>
  <c r="B1450" i="10" a="1"/>
  <c r="B1450" i="10" s="1"/>
  <c r="B1451" i="10" a="1"/>
  <c r="B1451" i="10" s="1"/>
  <c r="B1452" i="10" a="1"/>
  <c r="B1452" i="10" s="1"/>
  <c r="B1453" i="10" a="1"/>
  <c r="B1453" i="10" s="1"/>
  <c r="B1454" i="10" a="1"/>
  <c r="B1454" i="10" s="1"/>
  <c r="B1455" i="10" a="1"/>
  <c r="B1455" i="10" s="1"/>
  <c r="B1456" i="10" a="1"/>
  <c r="B1456" i="10" s="1"/>
  <c r="B1457" i="10" a="1"/>
  <c r="B1457" i="10" s="1"/>
  <c r="B1458" i="10" a="1"/>
  <c r="B1458" i="10" s="1"/>
  <c r="B1459" i="10" a="1"/>
  <c r="B1459" i="10" s="1"/>
  <c r="B1460" i="10" a="1"/>
  <c r="B1460" i="10" s="1"/>
  <c r="B1461" i="10" a="1"/>
  <c r="B1461" i="10" s="1"/>
  <c r="B1462" i="10" a="1"/>
  <c r="B1462" i="10" s="1"/>
  <c r="B1463" i="10" a="1"/>
  <c r="B1463" i="10" s="1"/>
  <c r="B1464" i="10" a="1"/>
  <c r="B1464" i="10" s="1"/>
  <c r="B1465" i="10" a="1"/>
  <c r="B1465" i="10" s="1"/>
  <c r="B1466" i="10" a="1"/>
  <c r="B1466" i="10" s="1"/>
  <c r="B1467" i="10" a="1"/>
  <c r="B1467" i="10" s="1"/>
  <c r="B1468" i="10" a="1"/>
  <c r="B1468" i="10" s="1"/>
  <c r="B1469" i="10" a="1"/>
  <c r="B1469" i="10" s="1"/>
  <c r="B1470" i="10" a="1"/>
  <c r="B1470" i="10" s="1"/>
  <c r="B1471" i="10" a="1"/>
  <c r="B1471" i="10" s="1"/>
  <c r="B1472" i="10" a="1"/>
  <c r="B1472" i="10" s="1"/>
  <c r="B1473" i="10" a="1"/>
  <c r="B1473" i="10" s="1"/>
  <c r="B1474" i="10" a="1"/>
  <c r="B1474" i="10" s="1"/>
  <c r="B1475" i="10" a="1"/>
  <c r="B1475" i="10" s="1"/>
  <c r="B1476" i="10" a="1"/>
  <c r="B1476" i="10" s="1"/>
  <c r="B1477" i="10" a="1"/>
  <c r="B1477" i="10" s="1"/>
  <c r="B1478" i="10" a="1"/>
  <c r="B1478" i="10" s="1"/>
  <c r="B1479" i="10" a="1"/>
  <c r="B1479" i="10" s="1"/>
  <c r="B1480" i="10" a="1"/>
  <c r="B1480" i="10" s="1"/>
  <c r="B1481" i="10" a="1"/>
  <c r="B1481" i="10" s="1"/>
  <c r="B1482" i="10" a="1"/>
  <c r="B1482" i="10" s="1"/>
  <c r="B1483" i="10" a="1"/>
  <c r="B1483" i="10" s="1"/>
  <c r="B1484" i="10" a="1"/>
  <c r="B1484" i="10" s="1"/>
  <c r="B1485" i="10" a="1"/>
  <c r="B1485" i="10" s="1"/>
  <c r="B1486" i="10" a="1"/>
  <c r="B1486" i="10" s="1"/>
  <c r="B1487" i="10" a="1"/>
  <c r="B1487" i="10" s="1"/>
  <c r="B1488" i="10" a="1"/>
  <c r="B1488" i="10" s="1"/>
  <c r="B1489" i="10" a="1"/>
  <c r="B1489" i="10" s="1"/>
  <c r="B1490" i="10" a="1"/>
  <c r="B1490" i="10" s="1"/>
  <c r="B1491" i="10" a="1"/>
  <c r="B1491" i="10"/>
  <c r="B1492" i="10" a="1"/>
  <c r="B1492" i="10" s="1"/>
  <c r="B1493" i="10" a="1"/>
  <c r="B1493" i="10" s="1"/>
  <c r="B1494" i="10" a="1"/>
  <c r="B1494" i="10" s="1"/>
  <c r="B1495" i="10" a="1"/>
  <c r="B1495" i="10" s="1"/>
  <c r="B1496" i="10" a="1"/>
  <c r="B1496" i="10" s="1"/>
  <c r="B1497" i="10" a="1"/>
  <c r="B1497" i="10" s="1"/>
  <c r="B1498" i="10" a="1"/>
  <c r="B1498" i="10" s="1"/>
  <c r="B1499" i="10" a="1"/>
  <c r="B1499" i="10" s="1"/>
  <c r="B1500" i="10" a="1"/>
  <c r="B1500" i="10" s="1"/>
  <c r="B1501" i="10" a="1"/>
  <c r="B1501" i="10" s="1"/>
  <c r="B1502" i="10" a="1"/>
  <c r="B1502" i="10" s="1"/>
  <c r="B1503" i="10" a="1"/>
  <c r="B1503" i="10" s="1"/>
  <c r="B1504" i="10" a="1"/>
  <c r="B1504" i="10" s="1"/>
  <c r="B1505" i="10" a="1"/>
  <c r="B1505" i="10" s="1"/>
  <c r="B1506" i="10" a="1"/>
  <c r="B1506" i="10" s="1"/>
  <c r="B1507" i="10" a="1"/>
  <c r="B1507" i="10" s="1"/>
  <c r="B1508" i="10" a="1"/>
  <c r="B1508" i="10" s="1"/>
  <c r="B1509" i="10" a="1"/>
  <c r="B1509" i="10" s="1"/>
  <c r="B1510" i="10" a="1"/>
  <c r="B1510" i="10" s="1"/>
  <c r="B1511" i="10" a="1"/>
  <c r="B1511" i="10" s="1"/>
  <c r="B1512" i="10" a="1"/>
  <c r="B1512" i="10" s="1"/>
  <c r="B1513" i="10" a="1"/>
  <c r="B1513" i="10" s="1"/>
  <c r="B1514" i="10" a="1"/>
  <c r="B1514" i="10" s="1"/>
  <c r="B1515" i="10" a="1"/>
  <c r="B1515" i="10" s="1"/>
  <c r="B1516" i="10" a="1"/>
  <c r="B1516" i="10" s="1"/>
  <c r="B1517" i="10" a="1"/>
  <c r="B1517" i="10" s="1"/>
  <c r="B1518" i="10" a="1"/>
  <c r="B1518" i="10" s="1"/>
  <c r="B1519" i="10" a="1"/>
  <c r="B1519" i="10" s="1"/>
  <c r="B1520" i="10" a="1"/>
  <c r="B1520" i="10" s="1"/>
  <c r="B1521" i="10" a="1"/>
  <c r="B1521" i="10" s="1"/>
  <c r="B1522" i="10" a="1"/>
  <c r="B1522" i="10" s="1"/>
  <c r="B1523" i="10" a="1"/>
  <c r="B1523" i="10" s="1"/>
  <c r="B1524" i="10" a="1"/>
  <c r="B1524" i="10" s="1"/>
  <c r="B1525" i="10" a="1"/>
  <c r="B1525" i="10" s="1"/>
  <c r="B1526" i="10" a="1"/>
  <c r="B1526" i="10" s="1"/>
  <c r="B1527" i="10" a="1"/>
  <c r="B1527" i="10" s="1"/>
  <c r="B1528" i="10" a="1"/>
  <c r="B1528" i="10" s="1"/>
  <c r="B1529" i="10" a="1"/>
  <c r="B1529" i="10" s="1"/>
  <c r="B1530" i="10" a="1"/>
  <c r="B1530" i="10" s="1"/>
  <c r="B1531" i="10" a="1"/>
  <c r="B1531" i="10" s="1"/>
  <c r="B1532" i="10" a="1"/>
  <c r="B1532" i="10" s="1"/>
  <c r="B1533" i="10" a="1"/>
  <c r="B1533" i="10" s="1"/>
  <c r="B1534" i="10" a="1"/>
  <c r="B1534" i="10" s="1"/>
  <c r="B1535" i="10" a="1"/>
  <c r="B1535" i="10" s="1"/>
  <c r="B1536" i="10" a="1"/>
  <c r="B1536" i="10" s="1"/>
  <c r="B1537" i="10" a="1"/>
  <c r="B1537" i="10"/>
  <c r="B1538" i="10" a="1"/>
  <c r="B1538" i="10" s="1"/>
  <c r="B1539" i="10" a="1"/>
  <c r="B1539" i="10" s="1"/>
  <c r="B1540" i="10" a="1"/>
  <c r="B1540" i="10" s="1"/>
  <c r="B1541" i="10" a="1"/>
  <c r="B1541" i="10" s="1"/>
  <c r="B1542" i="10" a="1"/>
  <c r="B1542" i="10" s="1"/>
  <c r="B1543" i="10" a="1"/>
  <c r="B1543" i="10" s="1"/>
  <c r="B1544" i="10" a="1"/>
  <c r="B1544" i="10" s="1"/>
  <c r="B1545" i="10" a="1"/>
  <c r="B1545" i="10" s="1"/>
  <c r="B1546" i="10" a="1"/>
  <c r="B1546" i="10" s="1"/>
  <c r="B1547" i="10" a="1"/>
  <c r="B1547" i="10" s="1"/>
  <c r="B1548" i="10" a="1"/>
  <c r="B1548" i="10" s="1"/>
  <c r="B1549" i="10" a="1"/>
  <c r="B1549" i="10" s="1"/>
  <c r="B1550" i="10" a="1"/>
  <c r="B1550" i="10" s="1"/>
  <c r="B1551" i="10" a="1"/>
  <c r="B1551" i="10" s="1"/>
  <c r="B1552" i="10" a="1"/>
  <c r="B1552" i="10" s="1"/>
  <c r="B1553" i="10" a="1"/>
  <c r="B1553" i="10" s="1"/>
  <c r="B1554" i="10" a="1"/>
  <c r="B1554" i="10" s="1"/>
  <c r="B1555" i="10" a="1"/>
  <c r="B1555" i="10" s="1"/>
  <c r="B1556" i="10" a="1"/>
  <c r="B1556" i="10" s="1"/>
  <c r="B1557" i="10" a="1"/>
  <c r="B1557" i="10" s="1"/>
  <c r="B1558" i="10" a="1"/>
  <c r="B1558" i="10" s="1"/>
  <c r="B1559" i="10" a="1"/>
  <c r="B1559" i="10" s="1"/>
  <c r="B1560" i="10" a="1"/>
  <c r="B1560" i="10" s="1"/>
  <c r="B1561" i="10" a="1"/>
  <c r="B1561" i="10" s="1"/>
  <c r="B1562" i="10" a="1"/>
  <c r="B1562" i="10" s="1"/>
  <c r="B1563" i="10" a="1"/>
  <c r="B1563" i="10" s="1"/>
  <c r="B1564" i="10" a="1"/>
  <c r="B1564" i="10" s="1"/>
  <c r="B1565" i="10" a="1"/>
  <c r="B1565" i="10" s="1"/>
  <c r="B1566" i="10" a="1"/>
  <c r="B1566" i="10" s="1"/>
  <c r="B1567" i="10" a="1"/>
  <c r="B1567" i="10" s="1"/>
  <c r="B1568" i="10" a="1"/>
  <c r="B1568" i="10" s="1"/>
  <c r="B1569" i="10" a="1"/>
  <c r="B1569" i="10" s="1"/>
  <c r="B1570" i="10" a="1"/>
  <c r="B1570" i="10" s="1"/>
  <c r="B1571" i="10" a="1"/>
  <c r="B1571" i="10" s="1"/>
  <c r="B1572" i="10" a="1"/>
  <c r="B1572" i="10" s="1"/>
  <c r="B1573" i="10" a="1"/>
  <c r="B1573" i="10" s="1"/>
  <c r="B1574" i="10" a="1"/>
  <c r="B1574" i="10" s="1"/>
  <c r="B1575" i="10" a="1"/>
  <c r="B1575" i="10" s="1"/>
  <c r="B1576" i="10" a="1"/>
  <c r="B1576" i="10" s="1"/>
  <c r="B1577" i="10" a="1"/>
  <c r="B1577" i="10" s="1"/>
  <c r="B1578" i="10" a="1"/>
  <c r="B1578" i="10" s="1"/>
  <c r="B1579" i="10" a="1"/>
  <c r="B1579" i="10" s="1"/>
  <c r="B1580" i="10" a="1"/>
  <c r="B1580" i="10" s="1"/>
  <c r="B1581" i="10" a="1"/>
  <c r="B1581" i="10" s="1"/>
  <c r="B1582" i="10" a="1"/>
  <c r="B1582" i="10" s="1"/>
  <c r="B1583" i="10" a="1"/>
  <c r="B1583" i="10" s="1"/>
  <c r="B1584" i="10" a="1"/>
  <c r="B1584" i="10" s="1"/>
  <c r="B1585" i="10" a="1"/>
  <c r="B1585" i="10" s="1"/>
  <c r="B1586" i="10" a="1"/>
  <c r="B1586" i="10" s="1"/>
  <c r="B1587" i="10" a="1"/>
  <c r="B1587" i="10" s="1"/>
  <c r="B1588" i="10" a="1"/>
  <c r="B1588" i="10" s="1"/>
  <c r="B1589" i="10" a="1"/>
  <c r="B1589" i="10" s="1"/>
  <c r="B1590" i="10" a="1"/>
  <c r="B1590" i="10" s="1"/>
  <c r="B1591" i="10" a="1"/>
  <c r="B1591" i="10" s="1"/>
  <c r="B1592" i="10" a="1"/>
  <c r="B1592" i="10" s="1"/>
  <c r="B1593" i="10" a="1"/>
  <c r="B1593" i="10" s="1"/>
  <c r="B1594" i="10" a="1"/>
  <c r="B1594" i="10" s="1"/>
  <c r="B1595" i="10" a="1"/>
  <c r="B1595" i="10" s="1"/>
  <c r="B1596" i="10" a="1"/>
  <c r="B1596" i="10" s="1"/>
  <c r="B1597" i="10" a="1"/>
  <c r="B1597" i="10" s="1"/>
  <c r="B1598" i="10" a="1"/>
  <c r="B1598" i="10" s="1"/>
  <c r="B1599" i="10" a="1"/>
  <c r="B1599" i="10" s="1"/>
  <c r="B1600" i="10" a="1"/>
  <c r="B1600" i="10" s="1"/>
  <c r="B1601" i="10" a="1"/>
  <c r="B1601" i="10" s="1"/>
  <c r="B1602" i="10" a="1"/>
  <c r="B1602" i="10" s="1"/>
  <c r="B1603" i="10" a="1"/>
  <c r="B1603" i="10" s="1"/>
  <c r="B1604" i="10" a="1"/>
  <c r="B1604" i="10" s="1"/>
  <c r="B1605" i="10" a="1"/>
  <c r="B1605" i="10" s="1"/>
  <c r="B1606" i="10" a="1"/>
  <c r="B1606" i="10" s="1"/>
  <c r="B1607" i="10" a="1"/>
  <c r="B1607" i="10" s="1"/>
  <c r="B1608" i="10" a="1"/>
  <c r="B1608" i="10" s="1"/>
  <c r="B1609" i="10" a="1"/>
  <c r="B1609" i="10" s="1"/>
  <c r="B1610" i="10" a="1"/>
  <c r="B1610" i="10" s="1"/>
  <c r="B1611" i="10" a="1"/>
  <c r="B1611" i="10" s="1"/>
  <c r="B1612" i="10" a="1"/>
  <c r="B1612" i="10" s="1"/>
  <c r="B1613" i="10" a="1"/>
  <c r="B1613" i="10" s="1"/>
  <c r="B1614" i="10" a="1"/>
  <c r="B1614" i="10" s="1"/>
  <c r="B1615" i="10" a="1"/>
  <c r="B1615" i="10" s="1"/>
  <c r="B1616" i="10" a="1"/>
  <c r="B1616" i="10" s="1"/>
  <c r="B1617" i="10" a="1"/>
  <c r="B1617" i="10" s="1"/>
  <c r="B1618" i="10" a="1"/>
  <c r="B1618" i="10" s="1"/>
  <c r="B1619" i="10" a="1"/>
  <c r="B1619" i="10" s="1"/>
  <c r="B1620" i="10" a="1"/>
  <c r="B1620" i="10" s="1"/>
  <c r="B1621" i="10" a="1"/>
  <c r="B1621" i="10" s="1"/>
  <c r="B1622" i="10" a="1"/>
  <c r="B1622" i="10" s="1"/>
  <c r="B1623" i="10" a="1"/>
  <c r="B1623" i="10" s="1"/>
  <c r="B1624" i="10" a="1"/>
  <c r="B1624" i="10" s="1"/>
  <c r="B1625" i="10" a="1"/>
  <c r="B1625" i="10" s="1"/>
  <c r="B1626" i="10" a="1"/>
  <c r="B1626" i="10" s="1"/>
  <c r="B1627" i="10" a="1"/>
  <c r="B1627" i="10" s="1"/>
  <c r="B1628" i="10" a="1"/>
  <c r="B1628" i="10" s="1"/>
  <c r="B1629" i="10" a="1"/>
  <c r="B1629" i="10" s="1"/>
  <c r="B1630" i="10" a="1"/>
  <c r="B1630" i="10" s="1"/>
  <c r="B1631" i="10" a="1"/>
  <c r="B1631" i="10"/>
  <c r="B1632" i="10" a="1"/>
  <c r="B1632" i="10" s="1"/>
  <c r="B1633" i="10" a="1"/>
  <c r="B1633" i="10" s="1"/>
  <c r="B1634" i="10" a="1"/>
  <c r="B1634" i="10" s="1"/>
  <c r="B1635" i="10" a="1"/>
  <c r="B1635" i="10" s="1"/>
  <c r="B1636" i="10" a="1"/>
  <c r="B1636" i="10" s="1"/>
  <c r="B1637" i="10" a="1"/>
  <c r="B1637" i="10" s="1"/>
  <c r="B1638" i="10" a="1"/>
  <c r="B1638" i="10" s="1"/>
  <c r="B1639" i="10" a="1"/>
  <c r="B1639" i="10" s="1"/>
  <c r="B1640" i="10" a="1"/>
  <c r="B1640" i="10" s="1"/>
  <c r="B1641" i="10" a="1"/>
  <c r="B1641" i="10" s="1"/>
  <c r="B1642" i="10" a="1"/>
  <c r="B1642" i="10" s="1"/>
  <c r="B1643" i="10" a="1"/>
  <c r="B1643" i="10" s="1"/>
  <c r="B1644" i="10" a="1"/>
  <c r="B1644" i="10" s="1"/>
  <c r="B1645" i="10" a="1"/>
  <c r="B1645" i="10" s="1"/>
  <c r="B1646" i="10" a="1"/>
  <c r="B1646" i="10" s="1"/>
  <c r="B1647" i="10" a="1"/>
  <c r="B1647" i="10" s="1"/>
  <c r="B1648" i="10" a="1"/>
  <c r="B1648" i="10" s="1"/>
  <c r="B1649" i="10" a="1"/>
  <c r="B1649" i="10" s="1"/>
  <c r="B1650" i="10" a="1"/>
  <c r="B1650" i="10" s="1"/>
  <c r="B1651" i="10" a="1"/>
  <c r="B1651" i="10" s="1"/>
  <c r="B1652" i="10" a="1"/>
  <c r="B1652" i="10" s="1"/>
  <c r="B1653" i="10" a="1"/>
  <c r="B1653" i="10" s="1"/>
  <c r="B1654" i="10" a="1"/>
  <c r="B1654" i="10" s="1"/>
  <c r="B1655" i="10" a="1"/>
  <c r="B1655" i="10" s="1"/>
  <c r="B1656" i="10" a="1"/>
  <c r="B1656" i="10" s="1"/>
  <c r="B1657" i="10" a="1"/>
  <c r="B1657" i="10" s="1"/>
  <c r="B1658" i="10" a="1"/>
  <c r="B1658" i="10" s="1"/>
  <c r="B1659" i="10" a="1"/>
  <c r="B1659" i="10" s="1"/>
  <c r="B1660" i="10" a="1"/>
  <c r="B1660" i="10" s="1"/>
  <c r="B1661" i="10" a="1"/>
  <c r="B1661" i="10" s="1"/>
  <c r="B1662" i="10" a="1"/>
  <c r="B1662" i="10" s="1"/>
  <c r="B1663" i="10" a="1"/>
  <c r="B1663" i="10" s="1"/>
  <c r="B1664" i="10" a="1"/>
  <c r="B1664" i="10" s="1"/>
  <c r="B1665" i="10" a="1"/>
  <c r="B1665" i="10" s="1"/>
  <c r="B1666" i="10" a="1"/>
  <c r="B1666" i="10" s="1"/>
  <c r="B1667" i="10" a="1"/>
  <c r="B1667" i="10" s="1"/>
  <c r="B1668" i="10" a="1"/>
  <c r="B1668" i="10" s="1"/>
  <c r="B1669" i="10" a="1"/>
  <c r="B1669" i="10" s="1"/>
  <c r="B1670" i="10" a="1"/>
  <c r="B1670" i="10" s="1"/>
  <c r="B1671" i="10" a="1"/>
  <c r="B1671" i="10" s="1"/>
  <c r="B1672" i="10" a="1"/>
  <c r="B1672" i="10" s="1"/>
  <c r="B1673" i="10" a="1"/>
  <c r="B1673" i="10" s="1"/>
  <c r="B1674" i="10" a="1"/>
  <c r="B1674" i="10" s="1"/>
  <c r="B1675" i="10" a="1"/>
  <c r="B1675" i="10" s="1"/>
  <c r="B1676" i="10" a="1"/>
  <c r="B1676" i="10" s="1"/>
  <c r="B1677" i="10" a="1"/>
  <c r="B1677" i="10" s="1"/>
  <c r="B1678" i="10" a="1"/>
  <c r="B1678" i="10" s="1"/>
  <c r="B1679" i="10" a="1"/>
  <c r="B1679" i="10" s="1"/>
  <c r="B1680" i="10" a="1"/>
  <c r="B1680" i="10" s="1"/>
  <c r="B1681" i="10" a="1"/>
  <c r="B1681" i="10" s="1"/>
  <c r="B1682" i="10" a="1"/>
  <c r="B1682" i="10" s="1"/>
  <c r="B1683" i="10" a="1"/>
  <c r="B1683" i="10" s="1"/>
  <c r="B1684" i="10" a="1"/>
  <c r="B1684" i="10" s="1"/>
  <c r="B1685" i="10" a="1"/>
  <c r="B1685" i="10" s="1"/>
  <c r="B1686" i="10" a="1"/>
  <c r="B1686" i="10" s="1"/>
  <c r="B1687" i="10" a="1"/>
  <c r="B1687" i="10" s="1"/>
  <c r="B1688" i="10" a="1"/>
  <c r="B1688" i="10" s="1"/>
  <c r="B1689" i="10" a="1"/>
  <c r="B1689" i="10" s="1"/>
  <c r="B1690" i="10" a="1"/>
  <c r="B1690" i="10" s="1"/>
  <c r="B1691" i="10" a="1"/>
  <c r="B1691" i="10" s="1"/>
  <c r="B1692" i="10" a="1"/>
  <c r="B1692" i="10" s="1"/>
  <c r="B1693" i="10" a="1"/>
  <c r="B1693" i="10" s="1"/>
  <c r="B1694" i="10" a="1"/>
  <c r="B1694" i="10" s="1"/>
  <c r="B1695" i="10" a="1"/>
  <c r="B1695" i="10" s="1"/>
  <c r="B1696" i="10" a="1"/>
  <c r="B1696" i="10" s="1"/>
  <c r="B1697" i="10" a="1"/>
  <c r="B1697" i="10" s="1"/>
  <c r="B1698" i="10" a="1"/>
  <c r="B1698" i="10" s="1"/>
  <c r="B1699" i="10" a="1"/>
  <c r="B1699" i="10" s="1"/>
  <c r="B1700" i="10" a="1"/>
  <c r="B1700" i="10" s="1"/>
  <c r="B1701" i="10" a="1"/>
  <c r="B1701" i="10" s="1"/>
  <c r="B1702" i="10" a="1"/>
  <c r="B1702" i="10" s="1"/>
  <c r="B1703" i="10" a="1"/>
  <c r="B1703" i="10" s="1"/>
  <c r="B1704" i="10" a="1"/>
  <c r="B1704" i="10" s="1"/>
  <c r="B1705" i="10" a="1"/>
  <c r="B1705" i="10" s="1"/>
  <c r="B1706" i="10" a="1"/>
  <c r="B1706" i="10" s="1"/>
  <c r="B1707" i="10" a="1"/>
  <c r="B1707" i="10" s="1"/>
  <c r="B1708" i="10" a="1"/>
  <c r="B1708" i="10" s="1"/>
  <c r="B1709" i="10" a="1"/>
  <c r="B1709" i="10" s="1"/>
  <c r="B1710" i="10" a="1"/>
  <c r="B1710" i="10" s="1"/>
  <c r="B1711" i="10" a="1"/>
  <c r="B1711" i="10" s="1"/>
  <c r="B1712" i="10" a="1"/>
  <c r="B1712" i="10" s="1"/>
  <c r="B1713" i="10" a="1"/>
  <c r="B1713" i="10" s="1"/>
  <c r="B1714" i="10" a="1"/>
  <c r="B1714" i="10" s="1"/>
  <c r="B1715" i="10" a="1"/>
  <c r="B1715" i="10" s="1"/>
  <c r="B1716" i="10" a="1"/>
  <c r="B1716" i="10" s="1"/>
  <c r="B1717" i="10" a="1"/>
  <c r="B1717" i="10" s="1"/>
  <c r="B1718" i="10" a="1"/>
  <c r="B1718" i="10" s="1"/>
  <c r="B1719" i="10" a="1"/>
  <c r="B1719" i="10" s="1"/>
  <c r="B1720" i="10" a="1"/>
  <c r="B1720" i="10" s="1"/>
  <c r="B1721" i="10" a="1"/>
  <c r="B1721" i="10" s="1"/>
  <c r="B1722" i="10" a="1"/>
  <c r="B1722" i="10" s="1"/>
  <c r="B1723" i="10" a="1"/>
  <c r="B1723" i="10" s="1"/>
  <c r="B1724" i="10" a="1"/>
  <c r="B1724" i="10" s="1"/>
  <c r="B1725" i="10" a="1"/>
  <c r="B1725" i="10" s="1"/>
  <c r="B1726" i="10" a="1"/>
  <c r="B1726" i="10" s="1"/>
  <c r="B1727" i="10" a="1"/>
  <c r="B1727" i="10" s="1"/>
  <c r="B1728" i="10" a="1"/>
  <c r="B1728" i="10" s="1"/>
  <c r="B1729" i="10" a="1"/>
  <c r="B1729" i="10" s="1"/>
  <c r="B1730" i="10" a="1"/>
  <c r="B1730" i="10" s="1"/>
  <c r="B1731" i="10" a="1"/>
  <c r="B1731" i="10" s="1"/>
  <c r="B1732" i="10" a="1"/>
  <c r="B1732" i="10" s="1"/>
  <c r="B1733" i="10" a="1"/>
  <c r="B1733" i="10" s="1"/>
  <c r="B1734" i="10" a="1"/>
  <c r="B1734" i="10" s="1"/>
  <c r="B1735" i="10" a="1"/>
  <c r="B1735" i="10" s="1"/>
  <c r="B1736" i="10" a="1"/>
  <c r="B1736" i="10" s="1"/>
  <c r="B1737" i="10" a="1"/>
  <c r="B1737" i="10" s="1"/>
  <c r="B1738" i="10" a="1"/>
  <c r="B1738" i="10" s="1"/>
  <c r="B1739" i="10" a="1"/>
  <c r="B1739" i="10" s="1"/>
  <c r="B1740" i="10" a="1"/>
  <c r="B1740" i="10" s="1"/>
  <c r="B1741" i="10" a="1"/>
  <c r="B1741" i="10" s="1"/>
  <c r="B1742" i="10" a="1"/>
  <c r="B1742" i="10" s="1"/>
  <c r="B1743" i="10" a="1"/>
  <c r="B1743" i="10" s="1"/>
  <c r="B1744" i="10" a="1"/>
  <c r="B1744" i="10" s="1"/>
  <c r="B1745" i="10" a="1"/>
  <c r="B1745" i="10" s="1"/>
  <c r="B1746" i="10" a="1"/>
  <c r="B1746" i="10" s="1"/>
  <c r="B1747" i="10" a="1"/>
  <c r="B1747" i="10" s="1"/>
  <c r="B1748" i="10" a="1"/>
  <c r="B1748" i="10" s="1"/>
  <c r="B1749" i="10" a="1"/>
  <c r="B1749" i="10" s="1"/>
  <c r="B1750" i="10" a="1"/>
  <c r="B1750" i="10" s="1"/>
  <c r="B1751" i="10" a="1"/>
  <c r="B1751" i="10" s="1"/>
  <c r="B1752" i="10" a="1"/>
  <c r="B1752" i="10" s="1"/>
  <c r="B1753" i="10" a="1"/>
  <c r="B1753" i="10" s="1"/>
  <c r="B1754" i="10" a="1"/>
  <c r="B1754" i="10" s="1"/>
  <c r="B1755" i="10" a="1"/>
  <c r="B1755" i="10" s="1"/>
  <c r="B1756" i="10" a="1"/>
  <c r="B1756" i="10" s="1"/>
  <c r="B1757" i="10" a="1"/>
  <c r="B1757" i="10" s="1"/>
  <c r="B1758" i="10" a="1"/>
  <c r="B1758" i="10" s="1"/>
  <c r="B1759" i="10" a="1"/>
  <c r="B1759" i="10" s="1"/>
  <c r="B1760" i="10" a="1"/>
  <c r="B1760" i="10" s="1"/>
  <c r="B1761" i="10" a="1"/>
  <c r="B1761" i="10" s="1"/>
  <c r="B1762" i="10" a="1"/>
  <c r="B1762" i="10" s="1"/>
  <c r="B1763" i="10" a="1"/>
  <c r="B1763" i="10" s="1"/>
  <c r="B1764" i="10" a="1"/>
  <c r="B1764" i="10" s="1"/>
  <c r="B1765" i="10" a="1"/>
  <c r="B1765" i="10" s="1"/>
  <c r="B1766" i="10" a="1"/>
  <c r="B1766" i="10" s="1"/>
  <c r="B1767" i="10" a="1"/>
  <c r="B1767" i="10" s="1"/>
  <c r="B1768" i="10" a="1"/>
  <c r="B1768" i="10" s="1"/>
  <c r="B1769" i="10" a="1"/>
  <c r="B1769" i="10" s="1"/>
  <c r="B1770" i="10" a="1"/>
  <c r="B1770" i="10" s="1"/>
  <c r="B1771" i="10" a="1"/>
  <c r="B1771" i="10" s="1"/>
  <c r="B1772" i="10" a="1"/>
  <c r="B1772" i="10" s="1"/>
  <c r="B1773" i="10" a="1"/>
  <c r="B1773" i="10" s="1"/>
  <c r="B1774" i="10" a="1"/>
  <c r="B1774" i="10" s="1"/>
  <c r="B1775" i="10" a="1"/>
  <c r="B1775" i="10" s="1"/>
  <c r="B1776" i="10" a="1"/>
  <c r="B1776" i="10" s="1"/>
  <c r="B1777" i="10" a="1"/>
  <c r="B1777" i="10" s="1"/>
  <c r="B1778" i="10" a="1"/>
  <c r="B1778" i="10" s="1"/>
  <c r="B1779" i="10" a="1"/>
  <c r="B1779" i="10" s="1"/>
  <c r="B1780" i="10" a="1"/>
  <c r="B1780" i="10" s="1"/>
  <c r="B1781" i="10" a="1"/>
  <c r="B1781" i="10" s="1"/>
  <c r="B1782" i="10" a="1"/>
  <c r="B1782" i="10" s="1"/>
  <c r="B1783" i="10" a="1"/>
  <c r="B1783" i="10" s="1"/>
  <c r="B1784" i="10" a="1"/>
  <c r="B1784" i="10" s="1"/>
  <c r="B1785" i="10" a="1"/>
  <c r="B1785" i="10" s="1"/>
  <c r="B1786" i="10" a="1"/>
  <c r="B1786" i="10" s="1"/>
  <c r="B1787" i="10" a="1"/>
  <c r="B1787" i="10" s="1"/>
  <c r="B1788" i="10" a="1"/>
  <c r="B1788" i="10" s="1"/>
  <c r="B1789" i="10" a="1"/>
  <c r="B1789" i="10" s="1"/>
  <c r="B1790" i="10" a="1"/>
  <c r="B1790" i="10" s="1"/>
  <c r="B1791" i="10" a="1"/>
  <c r="B1791" i="10" s="1"/>
  <c r="B1792" i="10" a="1"/>
  <c r="B1792" i="10" s="1"/>
  <c r="B1793" i="10" a="1"/>
  <c r="B1793" i="10" s="1"/>
  <c r="B1794" i="10" a="1"/>
  <c r="B1794" i="10" s="1"/>
  <c r="B1795" i="10" a="1"/>
  <c r="B1795" i="10" s="1"/>
  <c r="B1796" i="10" a="1"/>
  <c r="B1796" i="10" s="1"/>
  <c r="B1797" i="10" a="1"/>
  <c r="B1797" i="10" s="1"/>
  <c r="B1798" i="10" a="1"/>
  <c r="B1798" i="10" s="1"/>
  <c r="B1799" i="10" a="1"/>
  <c r="B1799" i="10" s="1"/>
  <c r="B1800" i="10" a="1"/>
  <c r="B1800" i="10" s="1"/>
  <c r="B1801" i="10" a="1"/>
  <c r="B1801" i="10" s="1"/>
  <c r="B1802" i="10" a="1"/>
  <c r="B1802" i="10" s="1"/>
  <c r="B1803" i="10" a="1"/>
  <c r="B1803" i="10" s="1"/>
  <c r="B1804" i="10" a="1"/>
  <c r="B1804" i="10" s="1"/>
  <c r="B1805" i="10" a="1"/>
  <c r="B1805" i="10" s="1"/>
  <c r="B1806" i="10" a="1"/>
  <c r="B1806" i="10" s="1"/>
  <c r="B1807" i="10" a="1"/>
  <c r="B1807" i="10" s="1"/>
  <c r="B1808" i="10" a="1"/>
  <c r="B1808" i="10" s="1"/>
  <c r="B1809" i="10" a="1"/>
  <c r="B1809" i="10" s="1"/>
  <c r="B1810" i="10" a="1"/>
  <c r="B1810" i="10" s="1"/>
  <c r="B1811" i="10" a="1"/>
  <c r="B1811" i="10" s="1"/>
  <c r="B1812" i="10" a="1"/>
  <c r="B1812" i="10" s="1"/>
  <c r="B1813" i="10" a="1"/>
  <c r="B1813" i="10" s="1"/>
  <c r="B1814" i="10" a="1"/>
  <c r="B1814" i="10" s="1"/>
  <c r="B1815" i="10" a="1"/>
  <c r="B1815" i="10" s="1"/>
  <c r="B1816" i="10" a="1"/>
  <c r="B1816" i="10" s="1"/>
  <c r="B1817" i="10" a="1"/>
  <c r="B1817" i="10" s="1"/>
  <c r="B1818" i="10" a="1"/>
  <c r="B1818" i="10" s="1"/>
  <c r="B1819" i="10" a="1"/>
  <c r="B1819" i="10" s="1"/>
  <c r="B1820" i="10" a="1"/>
  <c r="B1820" i="10" s="1"/>
  <c r="B1821" i="10" a="1"/>
  <c r="B1821" i="10" s="1"/>
  <c r="B1822" i="10" a="1"/>
  <c r="B1822" i="10" s="1"/>
  <c r="B1823" i="10" a="1"/>
  <c r="B1823" i="10" s="1"/>
  <c r="B1824" i="10" a="1"/>
  <c r="B1824" i="10" s="1"/>
  <c r="B1825" i="10" a="1"/>
  <c r="B1825" i="10" s="1"/>
  <c r="B1826" i="10" a="1"/>
  <c r="B1826" i="10" s="1"/>
  <c r="B1827" i="10" a="1"/>
  <c r="B1827" i="10" s="1"/>
  <c r="B1828" i="10" a="1"/>
  <c r="B1828" i="10" s="1"/>
  <c r="B1829" i="10" a="1"/>
  <c r="B1829" i="10" s="1"/>
  <c r="B1830" i="10" a="1"/>
  <c r="B1830" i="10" s="1"/>
  <c r="B1831" i="10" a="1"/>
  <c r="B1831" i="10" s="1"/>
  <c r="B1832" i="10" a="1"/>
  <c r="B1832" i="10" s="1"/>
  <c r="B1833" i="10" a="1"/>
  <c r="B1833" i="10" s="1"/>
  <c r="B1834" i="10" a="1"/>
  <c r="B1834" i="10" s="1"/>
  <c r="B1835" i="10" a="1"/>
  <c r="B1835" i="10" s="1"/>
  <c r="B1836" i="10" a="1"/>
  <c r="B1836" i="10" s="1"/>
  <c r="B1837" i="10" a="1"/>
  <c r="B1837" i="10" s="1"/>
  <c r="B1838" i="10" a="1"/>
  <c r="B1838" i="10" s="1"/>
  <c r="B1839" i="10" a="1"/>
  <c r="B1839" i="10" s="1"/>
  <c r="B1840" i="10" a="1"/>
  <c r="B1840" i="10" s="1"/>
  <c r="B1841" i="10" a="1"/>
  <c r="B1841" i="10"/>
  <c r="B1842" i="10" a="1"/>
  <c r="B1842" i="10" s="1"/>
  <c r="B1843" i="10" a="1"/>
  <c r="B1843" i="10" s="1"/>
  <c r="B1844" i="10" a="1"/>
  <c r="B1844" i="10" s="1"/>
  <c r="B1845" i="10" a="1"/>
  <c r="B1845" i="10" s="1"/>
  <c r="B1846" i="10" a="1"/>
  <c r="B1846" i="10" s="1"/>
  <c r="B1847" i="10" a="1"/>
  <c r="B1847" i="10" s="1"/>
  <c r="B1848" i="10" a="1"/>
  <c r="B1848" i="10" s="1"/>
  <c r="B1849" i="10" a="1"/>
  <c r="B1849" i="10" s="1"/>
  <c r="B1850" i="10" a="1"/>
  <c r="B1850" i="10" s="1"/>
  <c r="B1851" i="10" a="1"/>
  <c r="B1851" i="10" s="1"/>
  <c r="B1852" i="10" a="1"/>
  <c r="B1852" i="10" s="1"/>
  <c r="B1853" i="10" a="1"/>
  <c r="B1853" i="10" s="1"/>
  <c r="B1854" i="10" a="1"/>
  <c r="B1854" i="10" s="1"/>
  <c r="B1855" i="10" a="1"/>
  <c r="B1855" i="10" s="1"/>
  <c r="B1856" i="10" a="1"/>
  <c r="B1856" i="10" s="1"/>
  <c r="B1857" i="10" a="1"/>
  <c r="B1857" i="10" s="1"/>
  <c r="B1858" i="10" a="1"/>
  <c r="B1858" i="10" s="1"/>
  <c r="B1859" i="10" a="1"/>
  <c r="B1859" i="10" s="1"/>
  <c r="B1860" i="10" a="1"/>
  <c r="B1860" i="10" s="1"/>
  <c r="B1861" i="10" a="1"/>
  <c r="B1861" i="10" s="1"/>
  <c r="B1862" i="10" a="1"/>
  <c r="B1862" i="10" s="1"/>
  <c r="B1863" i="10" a="1"/>
  <c r="B1863" i="10" s="1"/>
  <c r="B1864" i="10" a="1"/>
  <c r="B1864" i="10" s="1"/>
  <c r="B1865" i="10" a="1"/>
  <c r="B1865" i="10" s="1"/>
  <c r="B1866" i="10" a="1"/>
  <c r="B1866" i="10" s="1"/>
  <c r="B1867" i="10" a="1"/>
  <c r="B1867" i="10" s="1"/>
  <c r="B1868" i="10" a="1"/>
  <c r="B1868" i="10" s="1"/>
  <c r="B1869" i="10" a="1"/>
  <c r="B1869" i="10" s="1"/>
  <c r="B1870" i="10" a="1"/>
  <c r="B1870" i="10" s="1"/>
  <c r="B1871" i="10" a="1"/>
  <c r="B1871" i="10" s="1"/>
  <c r="B1872" i="10" a="1"/>
  <c r="B1872" i="10" s="1"/>
  <c r="B1873" i="10" a="1"/>
  <c r="B1873" i="10" s="1"/>
  <c r="B1874" i="10" a="1"/>
  <c r="B1874" i="10" s="1"/>
  <c r="B1875" i="10" a="1"/>
  <c r="B1875" i="10" s="1"/>
  <c r="B1876" i="10" a="1"/>
  <c r="B1876" i="10" s="1"/>
  <c r="B1877" i="10" a="1"/>
  <c r="B1877" i="10" s="1"/>
  <c r="B1878" i="10" a="1"/>
  <c r="B1878" i="10" s="1"/>
  <c r="B1879" i="10" a="1"/>
  <c r="B1879" i="10" s="1"/>
  <c r="B1880" i="10" a="1"/>
  <c r="B1880" i="10" s="1"/>
  <c r="B1881" i="10" a="1"/>
  <c r="B1881" i="10" s="1"/>
  <c r="B1882" i="10" a="1"/>
  <c r="B1882" i="10" s="1"/>
  <c r="B1883" i="10" a="1"/>
  <c r="B1883" i="10" s="1"/>
  <c r="B1884" i="10" a="1"/>
  <c r="B1884" i="10" s="1"/>
  <c r="B1885" i="10" a="1"/>
  <c r="B1885" i="10" s="1"/>
  <c r="B1886" i="10" a="1"/>
  <c r="B1886" i="10" s="1"/>
  <c r="B1887" i="10" a="1"/>
  <c r="B1887" i="10" s="1"/>
  <c r="B1888" i="10" a="1"/>
  <c r="B1888" i="10" s="1"/>
  <c r="B1889" i="10" a="1"/>
  <c r="B1889" i="10" s="1"/>
  <c r="B1890" i="10" a="1"/>
  <c r="B1890" i="10" s="1"/>
  <c r="B1891" i="10" a="1"/>
  <c r="B1891" i="10" s="1"/>
  <c r="B1892" i="10" a="1"/>
  <c r="B1892" i="10" s="1"/>
  <c r="B1893" i="10" a="1"/>
  <c r="B1893" i="10" s="1"/>
  <c r="B1894" i="10" a="1"/>
  <c r="B1894" i="10" s="1"/>
  <c r="B1895" i="10" a="1"/>
  <c r="B1895" i="10" s="1"/>
  <c r="B1896" i="10" a="1"/>
  <c r="B1896" i="10" s="1"/>
  <c r="B1897" i="10" a="1"/>
  <c r="B1897" i="10" s="1"/>
  <c r="B1898" i="10" a="1"/>
  <c r="B1898" i="10" s="1"/>
  <c r="B1899" i="10" a="1"/>
  <c r="B1899" i="10" s="1"/>
  <c r="B1900" i="10" a="1"/>
  <c r="B1900" i="10" s="1"/>
  <c r="B1901" i="10" a="1"/>
  <c r="B1901" i="10" s="1"/>
  <c r="B1902" i="10" a="1"/>
  <c r="B1902" i="10" s="1"/>
  <c r="B1903" i="10" a="1"/>
  <c r="B1903" i="10" s="1"/>
  <c r="B1904" i="10" a="1"/>
  <c r="B1904" i="10" s="1"/>
  <c r="B1905" i="10" a="1"/>
  <c r="B1905" i="10" s="1"/>
  <c r="B1906" i="10" a="1"/>
  <c r="B1906" i="10" s="1"/>
  <c r="B1907" i="10" a="1"/>
  <c r="B1907" i="10" s="1"/>
  <c r="B1908" i="10" a="1"/>
  <c r="B1908" i="10" s="1"/>
  <c r="B1909" i="10" a="1"/>
  <c r="B1909" i="10" s="1"/>
  <c r="B1910" i="10" a="1"/>
  <c r="B1910" i="10" s="1"/>
  <c r="B1911" i="10" a="1"/>
  <c r="B1911" i="10" s="1"/>
  <c r="B1912" i="10" a="1"/>
  <c r="B1912" i="10" s="1"/>
  <c r="B1913" i="10" a="1"/>
  <c r="B1913" i="10" s="1"/>
  <c r="B1914" i="10" a="1"/>
  <c r="B1914" i="10" s="1"/>
  <c r="B1915" i="10" a="1"/>
  <c r="B1915" i="10" s="1"/>
  <c r="B1916" i="10" a="1"/>
  <c r="B1916" i="10" s="1"/>
  <c r="B1917" i="10" a="1"/>
  <c r="B1917" i="10" s="1"/>
  <c r="B1918" i="10" a="1"/>
  <c r="B1918" i="10" s="1"/>
  <c r="B1919" i="10" a="1"/>
  <c r="B1919" i="10"/>
  <c r="B1920" i="10" a="1"/>
  <c r="B1920" i="10" s="1"/>
  <c r="B1921" i="10" a="1"/>
  <c r="B1921" i="10" s="1"/>
  <c r="B1922" i="10" a="1"/>
  <c r="B1922" i="10" s="1"/>
  <c r="B1923" i="10" a="1"/>
  <c r="B1923" i="10" s="1"/>
  <c r="B1924" i="10" a="1"/>
  <c r="B1924" i="10" s="1"/>
  <c r="B1925" i="10" a="1"/>
  <c r="B1925" i="10" s="1"/>
  <c r="B1926" i="10" a="1"/>
  <c r="B1926" i="10" s="1"/>
  <c r="B1927" i="10" a="1"/>
  <c r="B1927" i="10" s="1"/>
  <c r="B1928" i="10" a="1"/>
  <c r="B1928" i="10" s="1"/>
  <c r="B1929" i="10" a="1"/>
  <c r="B1929" i="10" s="1"/>
  <c r="B1930" i="10" a="1"/>
  <c r="B1930" i="10" s="1"/>
  <c r="B1931" i="10" a="1"/>
  <c r="B1931" i="10" s="1"/>
  <c r="B1932" i="10" a="1"/>
  <c r="B1932" i="10" s="1"/>
  <c r="B1933" i="10" a="1"/>
  <c r="B1933" i="10" s="1"/>
  <c r="B1934" i="10" a="1"/>
  <c r="B1934" i="10" s="1"/>
  <c r="B1935" i="10" a="1"/>
  <c r="B1935" i="10" s="1"/>
  <c r="B1936" i="10" a="1"/>
  <c r="B1936" i="10" s="1"/>
  <c r="B1937" i="10" a="1"/>
  <c r="B1937" i="10" s="1"/>
  <c r="B1938" i="10" a="1"/>
  <c r="B1938" i="10" s="1"/>
  <c r="B1939" i="10" a="1"/>
  <c r="B1939" i="10" s="1"/>
  <c r="B1940" i="10" a="1"/>
  <c r="B1940" i="10" s="1"/>
  <c r="B1941" i="10" a="1"/>
  <c r="B1941" i="10" s="1"/>
  <c r="B1942" i="10" a="1"/>
  <c r="B1942" i="10" s="1"/>
  <c r="B1943" i="10" a="1"/>
  <c r="B1943" i="10" s="1"/>
  <c r="B1944" i="10" a="1"/>
  <c r="B1944" i="10" s="1"/>
  <c r="B1945" i="10" a="1"/>
  <c r="B1945" i="10" s="1"/>
  <c r="B1946" i="10" a="1"/>
  <c r="B1946" i="10" s="1"/>
  <c r="B1947" i="10" a="1"/>
  <c r="B1947" i="10" s="1"/>
  <c r="B1948" i="10" a="1"/>
  <c r="B1948" i="10" s="1"/>
  <c r="B1949" i="10" a="1"/>
  <c r="B1949" i="10" s="1"/>
  <c r="B1950" i="10" a="1"/>
  <c r="B1950" i="10" s="1"/>
  <c r="B1951" i="10" a="1"/>
  <c r="B1951" i="10" s="1"/>
  <c r="B1952" i="10" a="1"/>
  <c r="B1952" i="10" s="1"/>
  <c r="B1953" i="10" a="1"/>
  <c r="B1953" i="10" s="1"/>
  <c r="B1954" i="10" a="1"/>
  <c r="B1954" i="10" s="1"/>
  <c r="B1955" i="10" a="1"/>
  <c r="B1955" i="10" s="1"/>
  <c r="B1956" i="10" a="1"/>
  <c r="B1956" i="10" s="1"/>
  <c r="B1957" i="10" a="1"/>
  <c r="B1957" i="10" s="1"/>
  <c r="B1958" i="10" a="1"/>
  <c r="B1958" i="10" s="1"/>
  <c r="B1959" i="10" a="1"/>
  <c r="B1959" i="10" s="1"/>
  <c r="B1960" i="10" a="1"/>
  <c r="B1960" i="10" s="1"/>
  <c r="B1961" i="10" a="1"/>
  <c r="B1961" i="10" s="1"/>
  <c r="B1962" i="10" a="1"/>
  <c r="B1962" i="10" s="1"/>
  <c r="B1963" i="10" a="1"/>
  <c r="B1963" i="10" s="1"/>
  <c r="B1964" i="10" a="1"/>
  <c r="B1964" i="10" s="1"/>
  <c r="B1965" i="10" a="1"/>
  <c r="B1965" i="10" s="1"/>
  <c r="B1966" i="10" a="1"/>
  <c r="B1966" i="10" s="1"/>
  <c r="B1967" i="10" a="1"/>
  <c r="B1967" i="10" s="1"/>
  <c r="B1968" i="10" a="1"/>
  <c r="B1968" i="10" s="1"/>
  <c r="B1969" i="10" a="1"/>
  <c r="B1969" i="10" s="1"/>
  <c r="B1970" i="10" a="1"/>
  <c r="B1970" i="10" s="1"/>
  <c r="B1971" i="10" a="1"/>
  <c r="B1971" i="10" s="1"/>
  <c r="B1972" i="10" a="1"/>
  <c r="B1972" i="10" s="1"/>
  <c r="B1973" i="10" a="1"/>
  <c r="B1973" i="10" s="1"/>
  <c r="B1974" i="10" a="1"/>
  <c r="B1974" i="10" s="1"/>
  <c r="B1975" i="10" a="1"/>
  <c r="B1975" i="10" s="1"/>
  <c r="B1976" i="10" a="1"/>
  <c r="B1976" i="10" s="1"/>
  <c r="B1977" i="10" a="1"/>
  <c r="B1977" i="10" s="1"/>
  <c r="B1978" i="10" a="1"/>
  <c r="B1978" i="10" s="1"/>
  <c r="B1979" i="10" a="1"/>
  <c r="B1979" i="10" s="1"/>
  <c r="B1980" i="10" a="1"/>
  <c r="B1980" i="10" s="1"/>
  <c r="B1981" i="10" a="1"/>
  <c r="B1981" i="10" s="1"/>
  <c r="B1982" i="10" a="1"/>
  <c r="B1982" i="10" s="1"/>
  <c r="B1983" i="10" a="1"/>
  <c r="B1983" i="10" s="1"/>
  <c r="B1984" i="10" a="1"/>
  <c r="B1984" i="10" s="1"/>
  <c r="B1985" i="10" a="1"/>
  <c r="B1985" i="10" s="1"/>
  <c r="B1986" i="10" a="1"/>
  <c r="B1986" i="10" s="1"/>
  <c r="B1987" i="10" a="1"/>
  <c r="B1987" i="10" s="1"/>
  <c r="B1988" i="10" a="1"/>
  <c r="B1988" i="10" s="1"/>
  <c r="B1989" i="10" a="1"/>
  <c r="B1989" i="10" s="1"/>
  <c r="B1990" i="10" a="1"/>
  <c r="B1990" i="10" s="1"/>
  <c r="B1991" i="10" a="1"/>
  <c r="B1991" i="10" s="1"/>
  <c r="B1992" i="10" a="1"/>
  <c r="B1992" i="10" s="1"/>
  <c r="B1993" i="10" a="1"/>
  <c r="B1993" i="10" s="1"/>
  <c r="B1994" i="10" a="1"/>
  <c r="B1994" i="10" s="1"/>
  <c r="B1995" i="10" a="1"/>
  <c r="B1995" i="10" s="1"/>
  <c r="B1996" i="10" a="1"/>
  <c r="B1996" i="10" s="1"/>
  <c r="B1997" i="10" a="1"/>
  <c r="B1997" i="10" s="1"/>
  <c r="B1998" i="10" a="1"/>
  <c r="B1998" i="10" s="1"/>
  <c r="B1999" i="10" a="1"/>
  <c r="B1999" i="10" s="1"/>
  <c r="B2000" i="10" a="1"/>
  <c r="B2000" i="10" s="1"/>
  <c r="B2001" i="10" a="1"/>
  <c r="B2001" i="10" s="1"/>
  <c r="B2002" i="10" a="1"/>
  <c r="B2002" i="10" s="1"/>
  <c r="B2003" i="10" a="1"/>
  <c r="B2003" i="10" s="1"/>
  <c r="B2004" i="10" a="1"/>
  <c r="B2004" i="10" s="1"/>
  <c r="B2005" i="10" a="1"/>
  <c r="B2005" i="10" s="1"/>
  <c r="B2006" i="10" a="1"/>
  <c r="B2006" i="10" s="1"/>
  <c r="B2007" i="10" a="1"/>
  <c r="B2007" i="10" s="1"/>
  <c r="B2008" i="10" a="1"/>
  <c r="B2008" i="10" s="1"/>
  <c r="B2009" i="10" a="1"/>
  <c r="B2009" i="10" s="1"/>
  <c r="B2010" i="10" a="1"/>
  <c r="B2010" i="10" s="1"/>
  <c r="B2011" i="10" a="1"/>
  <c r="B2011" i="10" s="1"/>
  <c r="B2012" i="10" a="1"/>
  <c r="B2012" i="10" s="1"/>
  <c r="B2013" i="10" a="1"/>
  <c r="B2013" i="10" s="1"/>
  <c r="B2014" i="10" a="1"/>
  <c r="B2014" i="10" s="1"/>
  <c r="B2015" i="10" a="1"/>
  <c r="B2015" i="10" s="1"/>
  <c r="B2016" i="10" a="1"/>
  <c r="B2016" i="10" s="1"/>
  <c r="B2017" i="10" a="1"/>
  <c r="B2017" i="10" s="1"/>
  <c r="B2018" i="10" a="1"/>
  <c r="B2018" i="10" s="1"/>
  <c r="B2019" i="10" a="1"/>
  <c r="B2019" i="10" s="1"/>
  <c r="B2020" i="10" a="1"/>
  <c r="B2020" i="10" s="1"/>
  <c r="B2021" i="10" a="1"/>
  <c r="B2021" i="10" s="1"/>
  <c r="B2022" i="10" a="1"/>
  <c r="B2022" i="10" s="1"/>
  <c r="B2023" i="10" a="1"/>
  <c r="B2023" i="10" s="1"/>
  <c r="B2024" i="10" a="1"/>
  <c r="B2024" i="10" s="1"/>
  <c r="B2025" i="10" a="1"/>
  <c r="B2025" i="10" s="1"/>
  <c r="B2026" i="10" a="1"/>
  <c r="B2026" i="10" s="1"/>
  <c r="B2027" i="10" a="1"/>
  <c r="B2027" i="10" s="1"/>
  <c r="B2028" i="10" a="1"/>
  <c r="B2028" i="10" s="1"/>
  <c r="B2029" i="10" a="1"/>
  <c r="B2029" i="10" s="1"/>
  <c r="B2030" i="10" a="1"/>
  <c r="B2030" i="10" s="1"/>
  <c r="B2031" i="10" a="1"/>
  <c r="B2031" i="10" s="1"/>
  <c r="B2032" i="10" a="1"/>
  <c r="B2032" i="10" s="1"/>
  <c r="B2033" i="10" a="1"/>
  <c r="B2033" i="10" s="1"/>
  <c r="B2034" i="10" a="1"/>
  <c r="B2034" i="10" s="1"/>
  <c r="B2035" i="10" a="1"/>
  <c r="B2035" i="10" s="1"/>
  <c r="B2036" i="10" a="1"/>
  <c r="B2036" i="10" s="1"/>
  <c r="B2037" i="10" a="1"/>
  <c r="B2037" i="10" s="1"/>
  <c r="B2038" i="10" a="1"/>
  <c r="B2038" i="10" s="1"/>
  <c r="B2039" i="10" a="1"/>
  <c r="B2039" i="10" s="1"/>
  <c r="B2040" i="10" a="1"/>
  <c r="B2040" i="10" s="1"/>
  <c r="B2041" i="10" a="1"/>
  <c r="B2041" i="10" s="1"/>
  <c r="B2042" i="10" a="1"/>
  <c r="B2042" i="10" s="1"/>
  <c r="B2043" i="10" a="1"/>
  <c r="B2043" i="10" s="1"/>
  <c r="B2044" i="10" a="1"/>
  <c r="B2044" i="10" s="1"/>
  <c r="B2045" i="10" a="1"/>
  <c r="B2045" i="10" s="1"/>
  <c r="B2046" i="10" a="1"/>
  <c r="B2046" i="10" s="1"/>
  <c r="B2047" i="10" a="1"/>
  <c r="B2047" i="10" s="1"/>
  <c r="B2048" i="10" a="1"/>
  <c r="B2048" i="10" s="1"/>
  <c r="B2049" i="10" a="1"/>
  <c r="B2049" i="10" s="1"/>
  <c r="B2050" i="10" a="1"/>
  <c r="B2050" i="10" s="1"/>
  <c r="B2051" i="10" a="1"/>
  <c r="B2051" i="10" s="1"/>
  <c r="B2052" i="10" a="1"/>
  <c r="B2052" i="10" s="1"/>
  <c r="B2053" i="10" a="1"/>
  <c r="B2053" i="10" s="1"/>
  <c r="B2054" i="10" a="1"/>
  <c r="B2054" i="10" s="1"/>
  <c r="B2055" i="10" a="1"/>
  <c r="B2055" i="10" s="1"/>
  <c r="B2056" i="10" a="1"/>
  <c r="B2056" i="10" s="1"/>
  <c r="B2057" i="10" a="1"/>
  <c r="B2057" i="10" s="1"/>
  <c r="B2058" i="10" a="1"/>
  <c r="B2058" i="10" s="1"/>
  <c r="B2059" i="10" a="1"/>
  <c r="B2059" i="10" s="1"/>
  <c r="B2060" i="10" a="1"/>
  <c r="B2060" i="10" s="1"/>
  <c r="B2061" i="10" a="1"/>
  <c r="B2061" i="10" s="1"/>
  <c r="B2062" i="10" a="1"/>
  <c r="B2062" i="10" s="1"/>
  <c r="B2063" i="10" a="1"/>
  <c r="B2063" i="10" s="1"/>
  <c r="B2064" i="10" a="1"/>
  <c r="B2064" i="10" s="1"/>
  <c r="B2065" i="10" a="1"/>
  <c r="B2065" i="10" s="1"/>
  <c r="B2066" i="10" a="1"/>
  <c r="B2066" i="10" s="1"/>
  <c r="B2067" i="10" a="1"/>
  <c r="B2067" i="10" s="1"/>
  <c r="B2068" i="10" a="1"/>
  <c r="B2068" i="10" s="1"/>
  <c r="B2069" i="10" a="1"/>
  <c r="B2069" i="10" s="1"/>
  <c r="B2070" i="10" a="1"/>
  <c r="B2070" i="10" s="1"/>
  <c r="B2071" i="10" a="1"/>
  <c r="B2071" i="10" s="1"/>
  <c r="B2072" i="10" a="1"/>
  <c r="B2072" i="10" s="1"/>
  <c r="B2073" i="10" a="1"/>
  <c r="B2073" i="10" s="1"/>
  <c r="B2074" i="10" a="1"/>
  <c r="B2074" i="10" s="1"/>
  <c r="B2075" i="10" a="1"/>
  <c r="B2075" i="10" s="1"/>
  <c r="B2076" i="10" a="1"/>
  <c r="B2076" i="10" s="1"/>
  <c r="B2077" i="10" a="1"/>
  <c r="B2077" i="10" s="1"/>
  <c r="B2078" i="10" a="1"/>
  <c r="B2078" i="10" s="1"/>
  <c r="B2079" i="10" a="1"/>
  <c r="B2079" i="10" s="1"/>
  <c r="B2080" i="10" a="1"/>
  <c r="B2080" i="10" s="1"/>
  <c r="B2081" i="10" a="1"/>
  <c r="B2081" i="10" s="1"/>
  <c r="B2082" i="10" a="1"/>
  <c r="B2082" i="10" s="1"/>
  <c r="B2083" i="10" a="1"/>
  <c r="B2083" i="10" s="1"/>
  <c r="B2084" i="10" a="1"/>
  <c r="B2084" i="10" s="1"/>
  <c r="B2085" i="10" a="1"/>
  <c r="B2085" i="10" s="1"/>
  <c r="B2086" i="10" a="1"/>
  <c r="B2086" i="10" s="1"/>
  <c r="B2087" i="10" a="1"/>
  <c r="B2087" i="10" s="1"/>
  <c r="B2088" i="10" a="1"/>
  <c r="B2088" i="10" s="1"/>
  <c r="B2089" i="10" a="1"/>
  <c r="B2089" i="10" s="1"/>
  <c r="B2090" i="10" a="1"/>
  <c r="B2090" i="10" s="1"/>
  <c r="B2091" i="10" a="1"/>
  <c r="B2091" i="10" s="1"/>
  <c r="B2092" i="10" a="1"/>
  <c r="B2092" i="10" s="1"/>
  <c r="B2093" i="10" a="1"/>
  <c r="B2093" i="10" s="1"/>
  <c r="B2094" i="10" a="1"/>
  <c r="B2094" i="10" s="1"/>
  <c r="B2095" i="10" a="1"/>
  <c r="B2095" i="10" s="1"/>
  <c r="B2096" i="10" a="1"/>
  <c r="B2096" i="10" s="1"/>
  <c r="B2097" i="10" a="1"/>
  <c r="B2097" i="10" s="1"/>
  <c r="B2098" i="10" a="1"/>
  <c r="B2098" i="10" s="1"/>
  <c r="B2099" i="10" a="1"/>
  <c r="B2099" i="10" s="1"/>
  <c r="B2100" i="10" a="1"/>
  <c r="B2100" i="10" s="1"/>
  <c r="B2101" i="10" a="1"/>
  <c r="B2101" i="10" s="1"/>
  <c r="B2102" i="10" a="1"/>
  <c r="B2102" i="10" s="1"/>
  <c r="B2103" i="10" a="1"/>
  <c r="B2103" i="10" s="1"/>
  <c r="B2104" i="10" a="1"/>
  <c r="B2104" i="10" s="1"/>
  <c r="B2105" i="10" a="1"/>
  <c r="B2105" i="10" s="1"/>
  <c r="B2106" i="10" a="1"/>
  <c r="B2106" i="10" s="1"/>
  <c r="B2107" i="10" a="1"/>
  <c r="B2107" i="10" s="1"/>
  <c r="B2108" i="10" a="1"/>
  <c r="B2108" i="10" s="1"/>
  <c r="B2109" i="10" a="1"/>
  <c r="B2109" i="10" s="1"/>
  <c r="B2110" i="10" a="1"/>
  <c r="B2110" i="10" s="1"/>
  <c r="B2111" i="10" a="1"/>
  <c r="B2111" i="10" s="1"/>
  <c r="B2112" i="10" a="1"/>
  <c r="B2112" i="10" s="1"/>
  <c r="B2113" i="10" a="1"/>
  <c r="B2113" i="10" s="1"/>
  <c r="B2114" i="10" a="1"/>
  <c r="B2114" i="10" s="1"/>
  <c r="B2115" i="10" a="1"/>
  <c r="B2115" i="10" s="1"/>
  <c r="B2116" i="10" a="1"/>
  <c r="B2116" i="10" s="1"/>
  <c r="B2117" i="10" a="1"/>
  <c r="B2117" i="10" s="1"/>
  <c r="B2118" i="10" a="1"/>
  <c r="B2118" i="10" s="1"/>
  <c r="B2119" i="10" a="1"/>
  <c r="B2119" i="10" s="1"/>
  <c r="B2120" i="10" a="1"/>
  <c r="B2120" i="10" s="1"/>
  <c r="B2121" i="10" a="1"/>
  <c r="B2121" i="10" s="1"/>
  <c r="B2122" i="10" a="1"/>
  <c r="B2122" i="10" s="1"/>
  <c r="B2123" i="10" a="1"/>
  <c r="B2123" i="10" s="1"/>
  <c r="B2124" i="10" a="1"/>
  <c r="B2124" i="10" s="1"/>
  <c r="B2125" i="10" a="1"/>
  <c r="B2125" i="10" s="1"/>
  <c r="B2126" i="10" a="1"/>
  <c r="B2126" i="10" s="1"/>
  <c r="B2127" i="10" a="1"/>
  <c r="B2127" i="10" s="1"/>
  <c r="B2128" i="10" a="1"/>
  <c r="B2128" i="10" s="1"/>
  <c r="B2129" i="10" a="1"/>
  <c r="B2129" i="10" s="1"/>
  <c r="B2130" i="10" a="1"/>
  <c r="B2130" i="10" s="1"/>
  <c r="B2131" i="10" a="1"/>
  <c r="B2131" i="10" s="1"/>
  <c r="B2132" i="10" a="1"/>
  <c r="B2132" i="10" s="1"/>
  <c r="B2133" i="10" a="1"/>
  <c r="B2133" i="10" s="1"/>
  <c r="B2134" i="10" a="1"/>
  <c r="B2134" i="10" s="1"/>
  <c r="B2135" i="10" a="1"/>
  <c r="B2135" i="10" s="1"/>
  <c r="B2136" i="10" a="1"/>
  <c r="B2136" i="10" s="1"/>
  <c r="B2137" i="10" a="1"/>
  <c r="B2137" i="10" s="1"/>
  <c r="B2138" i="10" a="1"/>
  <c r="B2138" i="10" s="1"/>
  <c r="B2139" i="10" a="1"/>
  <c r="B2139" i="10" s="1"/>
  <c r="B2140" i="10" a="1"/>
  <c r="B2140" i="10" s="1"/>
  <c r="B2141" i="10" a="1"/>
  <c r="B2141" i="10" s="1"/>
  <c r="B2142" i="10" a="1"/>
  <c r="B2142" i="10" s="1"/>
  <c r="B2143" i="10" a="1"/>
  <c r="B2143" i="10" s="1"/>
  <c r="B2144" i="10" a="1"/>
  <c r="B2144" i="10" s="1"/>
  <c r="B2145" i="10" a="1"/>
  <c r="B2145" i="10" s="1"/>
  <c r="B2146" i="10" a="1"/>
  <c r="B2146" i="10" s="1"/>
  <c r="B2147" i="10" a="1"/>
  <c r="B2147" i="10" s="1"/>
  <c r="B2148" i="10" a="1"/>
  <c r="B2148" i="10" s="1"/>
  <c r="B2149" i="10" a="1"/>
  <c r="B2149" i="10" s="1"/>
  <c r="B2150" i="10" a="1"/>
  <c r="B2150" i="10" s="1"/>
  <c r="B2151" i="10" a="1"/>
  <c r="B2151" i="10" s="1"/>
  <c r="B2152" i="10" a="1"/>
  <c r="B2152" i="10" s="1"/>
  <c r="B2153" i="10" a="1"/>
  <c r="B2153" i="10" s="1"/>
  <c r="B2154" i="10" a="1"/>
  <c r="B2154" i="10" s="1"/>
  <c r="B2155" i="10" a="1"/>
  <c r="B2155" i="10" s="1"/>
  <c r="B2156" i="10" a="1"/>
  <c r="B2156" i="10" s="1"/>
  <c r="B2157" i="10" a="1"/>
  <c r="B2157" i="10" s="1"/>
  <c r="B2158" i="10" a="1"/>
  <c r="B2158" i="10" s="1"/>
  <c r="B2159" i="10" a="1"/>
  <c r="B2159" i="10" s="1"/>
  <c r="B2160" i="10" a="1"/>
  <c r="B2160" i="10" s="1"/>
  <c r="B2161" i="10" a="1"/>
  <c r="B2161" i="10" s="1"/>
  <c r="B2162" i="10" a="1"/>
  <c r="B2162" i="10" s="1"/>
  <c r="B2163" i="10" a="1"/>
  <c r="B2163" i="10" s="1"/>
  <c r="B2164" i="10" a="1"/>
  <c r="B2164" i="10" s="1"/>
  <c r="B2165" i="10" a="1"/>
  <c r="B2165" i="10" s="1"/>
  <c r="B2166" i="10" a="1"/>
  <c r="B2166" i="10" s="1"/>
  <c r="B2167" i="10" a="1"/>
  <c r="B2167" i="10" s="1"/>
  <c r="B2168" i="10" a="1"/>
  <c r="B2168" i="10" s="1"/>
  <c r="B2169" i="10" a="1"/>
  <c r="B2169" i="10" s="1"/>
  <c r="B2170" i="10" a="1"/>
  <c r="B2170" i="10" s="1"/>
  <c r="B2171" i="10" a="1"/>
  <c r="B2171" i="10" s="1"/>
  <c r="B2172" i="10" a="1"/>
  <c r="B2172" i="10" s="1"/>
  <c r="B2173" i="10" a="1"/>
  <c r="B2173" i="10" s="1"/>
  <c r="B2174" i="10" a="1"/>
  <c r="B2174" i="10" s="1"/>
  <c r="B2175" i="10" a="1"/>
  <c r="B2175" i="10" s="1"/>
  <c r="B2176" i="10" a="1"/>
  <c r="B2176" i="10" s="1"/>
  <c r="B2177" i="10" a="1"/>
  <c r="B2177" i="10" s="1"/>
  <c r="B2178" i="10" a="1"/>
  <c r="B2178" i="10" s="1"/>
  <c r="B2179" i="10" a="1"/>
  <c r="B2179" i="10" s="1"/>
  <c r="B2180" i="10" a="1"/>
  <c r="B2180" i="10" s="1"/>
  <c r="B2181" i="10" a="1"/>
  <c r="B2181" i="10" s="1"/>
  <c r="B2182" i="10" a="1"/>
  <c r="B2182" i="10" s="1"/>
  <c r="B2183" i="10" a="1"/>
  <c r="B2183" i="10" s="1"/>
  <c r="B2184" i="10" a="1"/>
  <c r="B2184" i="10" s="1"/>
  <c r="B2185" i="10" a="1"/>
  <c r="B2185" i="10" s="1"/>
  <c r="B2186" i="10" a="1"/>
  <c r="B2186" i="10" s="1"/>
  <c r="B2187" i="10" a="1"/>
  <c r="B2187" i="10" s="1"/>
  <c r="B2188" i="10" a="1"/>
  <c r="B2188" i="10" s="1"/>
  <c r="B2189" i="10" a="1"/>
  <c r="B2189" i="10" s="1"/>
  <c r="B2190" i="10" a="1"/>
  <c r="B2190" i="10" s="1"/>
  <c r="B2191" i="10" a="1"/>
  <c r="B2191" i="10" s="1"/>
  <c r="B2192" i="10" a="1"/>
  <c r="B2192" i="10" s="1"/>
  <c r="B2193" i="10" a="1"/>
  <c r="B2193" i="10" s="1"/>
  <c r="B2194" i="10" a="1"/>
  <c r="B2194" i="10" s="1"/>
  <c r="B2195" i="10" a="1"/>
  <c r="B2195" i="10" s="1"/>
  <c r="B2196" i="10" a="1"/>
  <c r="B2196" i="10" s="1"/>
  <c r="B2197" i="10" a="1"/>
  <c r="B2197" i="10" s="1"/>
  <c r="B2198" i="10" a="1"/>
  <c r="B2198" i="10" s="1"/>
  <c r="B2199" i="10" a="1"/>
  <c r="B2199" i="10" s="1"/>
  <c r="B2200" i="10" a="1"/>
  <c r="B2200" i="10" s="1"/>
  <c r="B2201" i="10" a="1"/>
  <c r="B2201" i="10" s="1"/>
  <c r="B2202" i="10" a="1"/>
  <c r="B2202" i="10" s="1"/>
  <c r="B2203" i="10" a="1"/>
  <c r="B2203" i="10" s="1"/>
  <c r="B2204" i="10" a="1"/>
  <c r="B2204" i="10" s="1"/>
  <c r="B2205" i="10" a="1"/>
  <c r="B2205" i="10" s="1"/>
  <c r="B2206" i="10" a="1"/>
  <c r="B2206" i="10" s="1"/>
  <c r="B2207" i="10" a="1"/>
  <c r="B2207" i="10" s="1"/>
  <c r="B2208" i="10" a="1"/>
  <c r="B2208" i="10" s="1"/>
  <c r="B2209" i="10" a="1"/>
  <c r="B2209" i="10" s="1"/>
  <c r="B2210" i="10" a="1"/>
  <c r="B2210" i="10" s="1"/>
  <c r="B2211" i="10" a="1"/>
  <c r="B2211" i="10" s="1"/>
  <c r="B2212" i="10" a="1"/>
  <c r="B2212" i="10" s="1"/>
  <c r="B2213" i="10" a="1"/>
  <c r="B2213" i="10" s="1"/>
  <c r="B2214" i="10" a="1"/>
  <c r="B2214" i="10" s="1"/>
  <c r="B2215" i="10" a="1"/>
  <c r="B2215" i="10" s="1"/>
  <c r="B2216" i="10" a="1"/>
  <c r="B2216" i="10" s="1"/>
  <c r="B2217" i="10" a="1"/>
  <c r="B2217" i="10" s="1"/>
  <c r="B2218" i="10" a="1"/>
  <c r="B2218" i="10" s="1"/>
  <c r="B2219" i="10" a="1"/>
  <c r="B2219" i="10" s="1"/>
  <c r="B2220" i="10" a="1"/>
  <c r="B2220" i="10" s="1"/>
  <c r="B2221" i="10" a="1"/>
  <c r="B2221" i="10" s="1"/>
  <c r="B2222" i="10" a="1"/>
  <c r="B2222" i="10" s="1"/>
  <c r="B2223" i="10" a="1"/>
  <c r="B2223" i="10" s="1"/>
  <c r="B2224" i="10" a="1"/>
  <c r="B2224" i="10" s="1"/>
  <c r="B2225" i="10" a="1"/>
  <c r="B2225" i="10" s="1"/>
  <c r="B2226" i="10" a="1"/>
  <c r="B2226" i="10" s="1"/>
  <c r="B2227" i="10" a="1"/>
  <c r="B2227" i="10" s="1"/>
  <c r="B2228" i="10" a="1"/>
  <c r="B2228" i="10" s="1"/>
  <c r="B2229" i="10" a="1"/>
  <c r="B2229" i="10" s="1"/>
  <c r="B2230" i="10" a="1"/>
  <c r="B2230" i="10" s="1"/>
  <c r="B2231" i="10" a="1"/>
  <c r="B2231" i="10" s="1"/>
  <c r="B2232" i="10" a="1"/>
  <c r="B2232" i="10" s="1"/>
  <c r="B2233" i="10" a="1"/>
  <c r="B2233" i="10" s="1"/>
  <c r="B2234" i="10" a="1"/>
  <c r="B2234" i="10" s="1"/>
  <c r="B2235" i="10" a="1"/>
  <c r="B2235" i="10" s="1"/>
  <c r="B2236" i="10" a="1"/>
  <c r="B2236" i="10" s="1"/>
  <c r="B2237" i="10" a="1"/>
  <c r="B2237" i="10" s="1"/>
  <c r="B2238" i="10" a="1"/>
  <c r="B2238" i="10" s="1"/>
  <c r="B2239" i="10" a="1"/>
  <c r="B2239" i="10" s="1"/>
  <c r="B2240" i="10" a="1"/>
  <c r="B2240" i="10" s="1"/>
  <c r="B2241" i="10" a="1"/>
  <c r="B2241" i="10" s="1"/>
  <c r="B2242" i="10" a="1"/>
  <c r="B2242" i="10" s="1"/>
  <c r="B2243" i="10" a="1"/>
  <c r="B2243" i="10" s="1"/>
  <c r="B2244" i="10" a="1"/>
  <c r="B2244" i="10" s="1"/>
  <c r="B2245" i="10" a="1"/>
  <c r="B2245" i="10" s="1"/>
  <c r="B2246" i="10" a="1"/>
  <c r="B2246" i="10" s="1"/>
  <c r="B2247" i="10" a="1"/>
  <c r="B2247" i="10" s="1"/>
  <c r="B2248" i="10" a="1"/>
  <c r="B2248" i="10" s="1"/>
  <c r="B2249" i="10" a="1"/>
  <c r="B2249" i="10" s="1"/>
  <c r="B2250" i="10" a="1"/>
  <c r="B2250" i="10" s="1"/>
  <c r="B2251" i="10" a="1"/>
  <c r="B2251" i="10" s="1"/>
  <c r="B2252" i="10" a="1"/>
  <c r="B2252" i="10" s="1"/>
  <c r="B2253" i="10" a="1"/>
  <c r="B2253" i="10" s="1"/>
  <c r="B2254" i="10" a="1"/>
  <c r="B2254" i="10" s="1"/>
  <c r="B2255" i="10" a="1"/>
  <c r="B2255" i="10" s="1"/>
  <c r="B2256" i="10" a="1"/>
  <c r="B2256" i="10" s="1"/>
  <c r="B2257" i="10" a="1"/>
  <c r="B2257" i="10" s="1"/>
  <c r="B2258" i="10" a="1"/>
  <c r="B2258" i="10" s="1"/>
  <c r="B2259" i="10" a="1"/>
  <c r="B2259" i="10" s="1"/>
  <c r="B2260" i="10" a="1"/>
  <c r="B2260" i="10" s="1"/>
  <c r="B2261" i="10" a="1"/>
  <c r="B2261" i="10" s="1"/>
  <c r="B2262" i="10" a="1"/>
  <c r="B2262" i="10" s="1"/>
  <c r="B2263" i="10" a="1"/>
  <c r="B2263" i="10" s="1"/>
  <c r="B2264" i="10" a="1"/>
  <c r="B2264" i="10" s="1"/>
  <c r="B2265" i="10" a="1"/>
  <c r="B2265" i="10" s="1"/>
  <c r="B2266" i="10" a="1"/>
  <c r="B2266" i="10" s="1"/>
  <c r="B2267" i="10" a="1"/>
  <c r="B2267" i="10" s="1"/>
  <c r="B2268" i="10" a="1"/>
  <c r="B2268" i="10" s="1"/>
  <c r="B2269" i="10" a="1"/>
  <c r="B2269" i="10" s="1"/>
  <c r="B2270" i="10" a="1"/>
  <c r="B2270" i="10" s="1"/>
  <c r="B2271" i="10" a="1"/>
  <c r="B2271" i="10"/>
  <c r="B2272" i="10" a="1"/>
  <c r="B2272" i="10" s="1"/>
  <c r="B2273" i="10" a="1"/>
  <c r="B2273" i="10" s="1"/>
  <c r="B2274" i="10" a="1"/>
  <c r="B2274" i="10" s="1"/>
  <c r="B2275" i="10" a="1"/>
  <c r="B2275" i="10" s="1"/>
  <c r="B2276" i="10" a="1"/>
  <c r="B2276" i="10" s="1"/>
  <c r="B2277" i="10" a="1"/>
  <c r="B2277" i="10" s="1"/>
  <c r="B2278" i="10" a="1"/>
  <c r="B2278" i="10" s="1"/>
  <c r="B2279" i="10" a="1"/>
  <c r="B2279" i="10" s="1"/>
  <c r="B2280" i="10" a="1"/>
  <c r="B2280" i="10" s="1"/>
  <c r="B2281" i="10" a="1"/>
  <c r="B2281" i="10" s="1"/>
  <c r="B2282" i="10" a="1"/>
  <c r="B2282" i="10" s="1"/>
  <c r="B2283" i="10" a="1"/>
  <c r="B2283" i="10" s="1"/>
  <c r="B2284" i="10" a="1"/>
  <c r="B2284" i="10" s="1"/>
  <c r="B2285" i="10" a="1"/>
  <c r="B2285" i="10" s="1"/>
  <c r="B2286" i="10" a="1"/>
  <c r="B2286" i="10" s="1"/>
  <c r="B2287" i="10" a="1"/>
  <c r="B2287" i="10" s="1"/>
  <c r="B2288" i="10" a="1"/>
  <c r="B2288" i="10" s="1"/>
  <c r="B2289" i="10" a="1"/>
  <c r="B2289" i="10" s="1"/>
  <c r="B2290" i="10" a="1"/>
  <c r="B2290" i="10" s="1"/>
  <c r="B2291" i="10" a="1"/>
  <c r="B2291" i="10" s="1"/>
  <c r="B2292" i="10" a="1"/>
  <c r="B2292" i="10" s="1"/>
  <c r="B2293" i="10" a="1"/>
  <c r="B2293" i="10" s="1"/>
  <c r="B2294" i="10" a="1"/>
  <c r="B2294" i="10" s="1"/>
  <c r="B2295" i="10" a="1"/>
  <c r="B2295" i="10" s="1"/>
  <c r="B2296" i="10" a="1"/>
  <c r="B2296" i="10" s="1"/>
  <c r="B2297" i="10" a="1"/>
  <c r="B2297" i="10" s="1"/>
  <c r="B2298" i="10" a="1"/>
  <c r="B2298" i="10" s="1"/>
  <c r="B2299" i="10" a="1"/>
  <c r="B2299" i="10" s="1"/>
  <c r="B2300" i="10" a="1"/>
  <c r="B2300" i="10" s="1"/>
  <c r="B2301" i="10" a="1"/>
  <c r="B2301" i="10" s="1"/>
  <c r="B2302" i="10" a="1"/>
  <c r="B2302" i="10" s="1"/>
  <c r="B2303" i="10" a="1"/>
  <c r="B2303" i="10" s="1"/>
  <c r="B2304" i="10" a="1"/>
  <c r="B2304" i="10" s="1"/>
  <c r="B2305" i="10" a="1"/>
  <c r="B2305" i="10" s="1"/>
  <c r="B2306" i="10" a="1"/>
  <c r="B2306" i="10" s="1"/>
  <c r="B2307" i="10" a="1"/>
  <c r="B2307" i="10" s="1"/>
  <c r="B2308" i="10" a="1"/>
  <c r="B2308" i="10" s="1"/>
  <c r="B2309" i="10" a="1"/>
  <c r="B2309" i="10" s="1"/>
  <c r="B2310" i="10" a="1"/>
  <c r="B2310" i="10" s="1"/>
  <c r="B2311" i="10" a="1"/>
  <c r="B2311" i="10" s="1"/>
  <c r="B2312" i="10" a="1"/>
  <c r="B2312" i="10" s="1"/>
  <c r="B2313" i="10" a="1"/>
  <c r="B2313" i="10" s="1"/>
  <c r="B2314" i="10" a="1"/>
  <c r="B2314" i="10" s="1"/>
  <c r="B2315" i="10" a="1"/>
  <c r="B2315" i="10" s="1"/>
  <c r="B2316" i="10" a="1"/>
  <c r="B2316" i="10" s="1"/>
  <c r="B2317" i="10" a="1"/>
  <c r="B2317" i="10" s="1"/>
  <c r="B2318" i="10" a="1"/>
  <c r="B2318" i="10" s="1"/>
  <c r="B2319" i="10" a="1"/>
  <c r="B2319" i="10" s="1"/>
  <c r="B2320" i="10" a="1"/>
  <c r="B2320" i="10" s="1"/>
  <c r="B2321" i="10" a="1"/>
  <c r="B2321" i="10" s="1"/>
  <c r="B2322" i="10" a="1"/>
  <c r="B2322" i="10" s="1"/>
  <c r="B2323" i="10" a="1"/>
  <c r="B2323" i="10" s="1"/>
  <c r="B2324" i="10" a="1"/>
  <c r="B2324" i="10" s="1"/>
  <c r="B2325" i="10" a="1"/>
  <c r="B2325" i="10" s="1"/>
  <c r="B2326" i="10" a="1"/>
  <c r="B2326" i="10" s="1"/>
  <c r="B2327" i="10" a="1"/>
  <c r="B2327" i="10"/>
  <c r="B2328" i="10" a="1"/>
  <c r="B2328" i="10" s="1"/>
  <c r="B2329" i="10" a="1"/>
  <c r="B2329" i="10" s="1"/>
  <c r="B2330" i="10" a="1"/>
  <c r="B2330" i="10" s="1"/>
  <c r="B2331" i="10" a="1"/>
  <c r="B2331" i="10" s="1"/>
  <c r="B2332" i="10" a="1"/>
  <c r="B2332" i="10" s="1"/>
  <c r="B2333" i="10" a="1"/>
  <c r="B2333" i="10" s="1"/>
  <c r="B2334" i="10" a="1"/>
  <c r="B2334" i="10" s="1"/>
  <c r="B2335" i="10" a="1"/>
  <c r="B2335" i="10" s="1"/>
  <c r="B2336" i="10" a="1"/>
  <c r="B2336" i="10" s="1"/>
  <c r="B2337" i="10" a="1"/>
  <c r="B2337" i="10" s="1"/>
  <c r="B2338" i="10" a="1"/>
  <c r="B2338" i="10" s="1"/>
  <c r="B2339" i="10" a="1"/>
  <c r="B2339" i="10" s="1"/>
  <c r="B2340" i="10" a="1"/>
  <c r="B2340" i="10" s="1"/>
  <c r="B2341" i="10" a="1"/>
  <c r="B2341" i="10" s="1"/>
  <c r="B2342" i="10" a="1"/>
  <c r="B2342" i="10" s="1"/>
  <c r="B2343" i="10" a="1"/>
  <c r="B2343" i="10" s="1"/>
  <c r="B2344" i="10" a="1"/>
  <c r="B2344" i="10" s="1"/>
  <c r="B2345" i="10" a="1"/>
  <c r="B2345" i="10" s="1"/>
  <c r="B2346" i="10" a="1"/>
  <c r="B2346" i="10" s="1"/>
  <c r="B2347" i="10" a="1"/>
  <c r="B2347" i="10" s="1"/>
  <c r="B2348" i="10" a="1"/>
  <c r="B2348" i="10" s="1"/>
  <c r="B2349" i="10" a="1"/>
  <c r="B2349" i="10" s="1"/>
  <c r="B2350" i="10" a="1"/>
  <c r="B2350" i="10" s="1"/>
  <c r="B2351" i="10" a="1"/>
  <c r="B2351" i="10" s="1"/>
  <c r="B2352" i="10" a="1"/>
  <c r="B2352" i="10" s="1"/>
  <c r="B2353" i="10" a="1"/>
  <c r="B2353" i="10" s="1"/>
  <c r="B2354" i="10" a="1"/>
  <c r="B2354" i="10" s="1"/>
  <c r="B2355" i="10" a="1"/>
  <c r="B2355" i="10" s="1"/>
  <c r="B2356" i="10" a="1"/>
  <c r="B2356" i="10" s="1"/>
  <c r="B2357" i="10" a="1"/>
  <c r="B2357" i="10" s="1"/>
  <c r="B2358" i="10" a="1"/>
  <c r="B2358" i="10" s="1"/>
  <c r="B2359" i="10" a="1"/>
  <c r="B2359" i="10" s="1"/>
  <c r="B2360" i="10" a="1"/>
  <c r="B2360" i="10" s="1"/>
  <c r="B2361" i="10" a="1"/>
  <c r="B2361" i="10" s="1"/>
  <c r="B2362" i="10" a="1"/>
  <c r="B2362" i="10" s="1"/>
  <c r="B2363" i="10" a="1"/>
  <c r="B2363" i="10" s="1"/>
  <c r="B2364" i="10" a="1"/>
  <c r="B2364" i="10" s="1"/>
  <c r="B2365" i="10" a="1"/>
  <c r="B2365" i="10" s="1"/>
  <c r="B2366" i="10" a="1"/>
  <c r="B2366" i="10" s="1"/>
  <c r="B2367" i="10" a="1"/>
  <c r="B2367" i="10" s="1"/>
  <c r="B2368" i="10" a="1"/>
  <c r="B2368" i="10" s="1"/>
  <c r="B2369" i="10" a="1"/>
  <c r="B2369" i="10" s="1"/>
  <c r="B2370" i="10" a="1"/>
  <c r="B2370" i="10" s="1"/>
  <c r="B2371" i="10" a="1"/>
  <c r="B2371" i="10" s="1"/>
  <c r="B2372" i="10" a="1"/>
  <c r="B2372" i="10" s="1"/>
  <c r="B2373" i="10" a="1"/>
  <c r="B2373" i="10" s="1"/>
  <c r="B2374" i="10" a="1"/>
  <c r="B2374" i="10" s="1"/>
  <c r="B2375" i="10" a="1"/>
  <c r="B2375" i="10" s="1"/>
  <c r="B2376" i="10" a="1"/>
  <c r="B2376" i="10" s="1"/>
  <c r="B2377" i="10" a="1"/>
  <c r="B2377" i="10" s="1"/>
  <c r="B2378" i="10" a="1"/>
  <c r="B2378" i="10" s="1"/>
  <c r="B2379" i="10" a="1"/>
  <c r="B2379" i="10" s="1"/>
  <c r="B2380" i="10" a="1"/>
  <c r="B2380" i="10" s="1"/>
  <c r="B2381" i="10" a="1"/>
  <c r="B2381" i="10" s="1"/>
  <c r="B2382" i="10" a="1"/>
  <c r="B2382" i="10" s="1"/>
  <c r="B2383" i="10" a="1"/>
  <c r="B2383" i="10" s="1"/>
  <c r="B2384" i="10" a="1"/>
  <c r="B2384" i="10" s="1"/>
  <c r="B2385" i="10" a="1"/>
  <c r="B2385" i="10" s="1"/>
  <c r="B2386" i="10" a="1"/>
  <c r="B2386" i="10" s="1"/>
  <c r="B2387" i="10" a="1"/>
  <c r="B2387" i="10" s="1"/>
  <c r="B2388" i="10" a="1"/>
  <c r="B2388" i="10" s="1"/>
  <c r="B2389" i="10" a="1"/>
  <c r="B2389" i="10" s="1"/>
  <c r="B2390" i="10" a="1"/>
  <c r="B2390" i="10" s="1"/>
  <c r="B2391" i="10" a="1"/>
  <c r="B2391" i="10" s="1"/>
  <c r="B2392" i="10" a="1"/>
  <c r="B2392" i="10" s="1"/>
  <c r="B2393" i="10" a="1"/>
  <c r="B2393" i="10" s="1"/>
  <c r="B2394" i="10" a="1"/>
  <c r="B2394" i="10" s="1"/>
  <c r="B2395" i="10" a="1"/>
  <c r="B2395" i="10" s="1"/>
  <c r="B2396" i="10" a="1"/>
  <c r="B2396" i="10" s="1"/>
  <c r="B2397" i="10" a="1"/>
  <c r="B2397" i="10" s="1"/>
  <c r="B2398" i="10" a="1"/>
  <c r="B2398" i="10" s="1"/>
  <c r="B2399" i="10" a="1"/>
  <c r="B2399" i="10" s="1"/>
  <c r="B2400" i="10" a="1"/>
  <c r="B2400" i="10" s="1"/>
  <c r="B2401" i="10" a="1"/>
  <c r="B2401" i="10" s="1"/>
  <c r="B2402" i="10" a="1"/>
  <c r="B2402" i="10" s="1"/>
  <c r="B2403" i="10" a="1"/>
  <c r="B2403" i="10" s="1"/>
  <c r="B2404" i="10" a="1"/>
  <c r="B2404" i="10" s="1"/>
  <c r="B2405" i="10" a="1"/>
  <c r="B2405" i="10" s="1"/>
  <c r="B2406" i="10" a="1"/>
  <c r="B2406" i="10" s="1"/>
  <c r="B2407" i="10" a="1"/>
  <c r="B2407" i="10" s="1"/>
  <c r="B2408" i="10" a="1"/>
  <c r="B2408" i="10" s="1"/>
  <c r="B2409" i="10" a="1"/>
  <c r="B2409" i="10" s="1"/>
  <c r="B2410" i="10" a="1"/>
  <c r="B2410" i="10" s="1"/>
  <c r="B2411" i="10" a="1"/>
  <c r="B2411" i="10" s="1"/>
  <c r="B2412" i="10" a="1"/>
  <c r="B2412" i="10" s="1"/>
  <c r="B2413" i="10" a="1"/>
  <c r="B2413" i="10" s="1"/>
  <c r="B2414" i="10" a="1"/>
  <c r="B2414" i="10" s="1"/>
  <c r="B2415" i="10" a="1"/>
  <c r="B2415" i="10" s="1"/>
  <c r="B2416" i="10" a="1"/>
  <c r="B2416" i="10" s="1"/>
  <c r="B2417" i="10" a="1"/>
  <c r="B2417" i="10" s="1"/>
  <c r="B2418" i="10" a="1"/>
  <c r="B2418" i="10" s="1"/>
  <c r="B2419" i="10" a="1"/>
  <c r="B2419" i="10" s="1"/>
  <c r="B2420" i="10" a="1"/>
  <c r="B2420" i="10" s="1"/>
  <c r="B2421" i="10" a="1"/>
  <c r="B2421" i="10" s="1"/>
  <c r="B2422" i="10" a="1"/>
  <c r="B2422" i="10" s="1"/>
  <c r="B2423" i="10" a="1"/>
  <c r="B2423" i="10" s="1"/>
  <c r="B2424" i="10" a="1"/>
  <c r="B2424" i="10" s="1"/>
  <c r="B2425" i="10" a="1"/>
  <c r="B2425" i="10" s="1"/>
  <c r="B2426" i="10" a="1"/>
  <c r="B2426" i="10" s="1"/>
  <c r="B2427" i="10" a="1"/>
  <c r="B2427" i="10" s="1"/>
  <c r="B2428" i="10" a="1"/>
  <c r="B2428" i="10" s="1"/>
  <c r="B2429" i="10" a="1"/>
  <c r="B2429" i="10" s="1"/>
  <c r="B2430" i="10" a="1"/>
  <c r="B2430" i="10" s="1"/>
  <c r="B2431" i="10" a="1"/>
  <c r="B2431" i="10" s="1"/>
  <c r="B2432" i="10" a="1"/>
  <c r="B2432" i="10" s="1"/>
  <c r="B2433" i="10" a="1"/>
  <c r="B2433" i="10" s="1"/>
  <c r="B2434" i="10" a="1"/>
  <c r="B2434" i="10" s="1"/>
  <c r="B2435" i="10" a="1"/>
  <c r="B2435" i="10" s="1"/>
  <c r="B2436" i="10" a="1"/>
  <c r="B2436" i="10" s="1"/>
  <c r="B2437" i="10" a="1"/>
  <c r="B2437" i="10" s="1"/>
  <c r="B2438" i="10" a="1"/>
  <c r="B2438" i="10" s="1"/>
  <c r="B2439" i="10" a="1"/>
  <c r="B2439" i="10" s="1"/>
  <c r="B2440" i="10" a="1"/>
  <c r="B2440" i="10" s="1"/>
  <c r="B2441" i="10" a="1"/>
  <c r="B2441" i="10" s="1"/>
  <c r="B2442" i="10" a="1"/>
  <c r="B2442" i="10" s="1"/>
  <c r="B2443" i="10" a="1"/>
  <c r="B2443" i="10" s="1"/>
  <c r="B2444" i="10" a="1"/>
  <c r="B2444" i="10" s="1"/>
  <c r="B2445" i="10" a="1"/>
  <c r="B2445" i="10" s="1"/>
  <c r="B2446" i="10" a="1"/>
  <c r="B2446" i="10" s="1"/>
  <c r="B2447" i="10" a="1"/>
  <c r="B2447" i="10" s="1"/>
  <c r="B2448" i="10" a="1"/>
  <c r="B2448" i="10" s="1"/>
  <c r="B2449" i="10" a="1"/>
  <c r="B2449" i="10" s="1"/>
  <c r="B2450" i="10" a="1"/>
  <c r="B2450" i="10" s="1"/>
  <c r="B2451" i="10" a="1"/>
  <c r="B2451" i="10" s="1"/>
  <c r="B2452" i="10" a="1"/>
  <c r="B2452" i="10" s="1"/>
  <c r="B2453" i="10" a="1"/>
  <c r="B2453" i="10" s="1"/>
  <c r="B2454" i="10" a="1"/>
  <c r="B2454" i="10" s="1"/>
  <c r="B2455" i="10" a="1"/>
  <c r="B2455" i="10" s="1"/>
  <c r="B2456" i="10" a="1"/>
  <c r="B2456" i="10" s="1"/>
  <c r="B2457" i="10" a="1"/>
  <c r="B2457" i="10" s="1"/>
  <c r="B2458" i="10" a="1"/>
  <c r="B2458" i="10" s="1"/>
  <c r="B2459" i="10" a="1"/>
  <c r="B2459" i="10" s="1"/>
  <c r="B2460" i="10" a="1"/>
  <c r="B2460" i="10" s="1"/>
  <c r="B2461" i="10" a="1"/>
  <c r="B2461" i="10" s="1"/>
  <c r="B2462" i="10" a="1"/>
  <c r="B2462" i="10" s="1"/>
  <c r="B2463" i="10" a="1"/>
  <c r="B2463" i="10" s="1"/>
  <c r="B2464" i="10" a="1"/>
  <c r="B2464" i="10" s="1"/>
  <c r="B2465" i="10" a="1"/>
  <c r="B2465" i="10" s="1"/>
  <c r="B2466" i="10" a="1"/>
  <c r="B2466" i="10" s="1"/>
  <c r="B2467" i="10" a="1"/>
  <c r="B2467" i="10" s="1"/>
  <c r="B2468" i="10" a="1"/>
  <c r="B2468" i="10" s="1"/>
  <c r="B2469" i="10" a="1"/>
  <c r="B2469" i="10" s="1"/>
  <c r="B2470" i="10" a="1"/>
  <c r="B2470" i="10" s="1"/>
  <c r="B2471" i="10" a="1"/>
  <c r="B2471" i="10" s="1"/>
  <c r="B2472" i="10" a="1"/>
  <c r="B2472" i="10" s="1"/>
  <c r="B2473" i="10" a="1"/>
  <c r="B2473" i="10" s="1"/>
  <c r="B2474" i="10" a="1"/>
  <c r="B2474" i="10" s="1"/>
  <c r="B2475" i="10" a="1"/>
  <c r="B2475" i="10" s="1"/>
  <c r="B2476" i="10" a="1"/>
  <c r="B2476" i="10" s="1"/>
  <c r="B2477" i="10" a="1"/>
  <c r="B2477" i="10" s="1"/>
  <c r="B2478" i="10" a="1"/>
  <c r="B2478" i="10" s="1"/>
  <c r="B2479" i="10" a="1"/>
  <c r="B2479" i="10" s="1"/>
  <c r="B2480" i="10" a="1"/>
  <c r="B2480" i="10" s="1"/>
  <c r="B2481" i="10" a="1"/>
  <c r="B2481" i="10" s="1"/>
  <c r="B2482" i="10" a="1"/>
  <c r="B2482" i="10" s="1"/>
  <c r="B2483" i="10" a="1"/>
  <c r="B2483" i="10" s="1"/>
  <c r="B2484" i="10" a="1"/>
  <c r="B2484" i="10" s="1"/>
  <c r="B2485" i="10" a="1"/>
  <c r="B2485" i="10" s="1"/>
  <c r="B2486" i="10" a="1"/>
  <c r="B2486" i="10" s="1"/>
  <c r="B2487" i="10" a="1"/>
  <c r="B2487" i="10" s="1"/>
  <c r="B2488" i="10" a="1"/>
  <c r="B2488" i="10" s="1"/>
  <c r="B2489" i="10" a="1"/>
  <c r="B2489" i="10" s="1"/>
  <c r="B2490" i="10" a="1"/>
  <c r="B2490" i="10" s="1"/>
  <c r="B2491" i="10" a="1"/>
  <c r="B2491" i="10" s="1"/>
  <c r="B2492" i="10" a="1"/>
  <c r="B2492" i="10" s="1"/>
  <c r="B2493" i="10" a="1"/>
  <c r="B2493" i="10" s="1"/>
  <c r="B2494" i="10" a="1"/>
  <c r="B2494" i="10" s="1"/>
  <c r="B2495" i="10" a="1"/>
  <c r="B2495" i="10" s="1"/>
  <c r="B2496" i="10" a="1"/>
  <c r="B2496" i="10" s="1"/>
  <c r="B2497" i="10" a="1"/>
  <c r="B2497" i="10" s="1"/>
  <c r="B2498" i="10" a="1"/>
  <c r="B2498" i="10" s="1"/>
  <c r="B2499" i="10" a="1"/>
  <c r="B2499" i="10" s="1"/>
  <c r="B2500" i="10" a="1"/>
  <c r="B2500" i="10" s="1"/>
  <c r="B2501" i="10" a="1"/>
  <c r="B2501" i="10" s="1"/>
  <c r="B2502" i="10" a="1"/>
  <c r="B2502" i="10" s="1"/>
  <c r="B2503" i="10" a="1"/>
  <c r="B2503" i="10" s="1"/>
  <c r="B2504" i="10" a="1"/>
  <c r="B2504" i="10" s="1"/>
  <c r="B2505" i="10" a="1"/>
  <c r="B2505" i="10" s="1"/>
  <c r="B2506" i="10" a="1"/>
  <c r="B2506" i="10" s="1"/>
  <c r="B2507" i="10" a="1"/>
  <c r="B2507" i="10" s="1"/>
  <c r="B2508" i="10" a="1"/>
  <c r="B2508" i="10" s="1"/>
  <c r="B2509" i="10" a="1"/>
  <c r="B2509" i="10" s="1"/>
  <c r="B2510" i="10" a="1"/>
  <c r="B2510" i="10" s="1"/>
  <c r="B2511" i="10" a="1"/>
  <c r="B2511" i="10" s="1"/>
  <c r="B2512" i="10" a="1"/>
  <c r="B2512" i="10" s="1"/>
  <c r="B2513" i="10" a="1"/>
  <c r="B2513" i="10" s="1"/>
  <c r="B2514" i="10" a="1"/>
  <c r="B2514" i="10" s="1"/>
  <c r="B2515" i="10" a="1"/>
  <c r="B2515" i="10" s="1"/>
  <c r="B2516" i="10" a="1"/>
  <c r="B2516" i="10" s="1"/>
  <c r="B2517" i="10" a="1"/>
  <c r="B2517" i="10" s="1"/>
  <c r="B2518" i="10" a="1"/>
  <c r="B2518" i="10" s="1"/>
  <c r="B2519" i="10" a="1"/>
  <c r="B2519" i="10"/>
  <c r="B2520" i="10" a="1"/>
  <c r="B2520" i="10" s="1"/>
  <c r="B2521" i="10" a="1"/>
  <c r="B2521" i="10" s="1"/>
  <c r="B2522" i="10" a="1"/>
  <c r="B2522" i="10" s="1"/>
  <c r="B2523" i="10" a="1"/>
  <c r="B2523" i="10" s="1"/>
  <c r="B2524" i="10" a="1"/>
  <c r="B2524" i="10" s="1"/>
  <c r="B2525" i="10" a="1"/>
  <c r="B2525" i="10" s="1"/>
  <c r="B2526" i="10" a="1"/>
  <c r="B2526" i="10" s="1"/>
  <c r="B2527" i="10" a="1"/>
  <c r="B2527" i="10" s="1"/>
  <c r="B2528" i="10" a="1"/>
  <c r="B2528" i="10" s="1"/>
  <c r="B2529" i="10" a="1"/>
  <c r="B2529" i="10" s="1"/>
  <c r="B2530" i="10" a="1"/>
  <c r="B2530" i="10" s="1"/>
  <c r="B2531" i="10" a="1"/>
  <c r="B2531" i="10" s="1"/>
  <c r="B2532" i="10" a="1"/>
  <c r="B2532" i="10" s="1"/>
  <c r="B2533" i="10" a="1"/>
  <c r="B2533" i="10" s="1"/>
  <c r="B2534" i="10" a="1"/>
  <c r="B2534" i="10" s="1"/>
  <c r="B2535" i="10" a="1"/>
  <c r="B2535" i="10" s="1"/>
  <c r="B2536" i="10" a="1"/>
  <c r="B2536" i="10" s="1"/>
  <c r="B2537" i="10" a="1"/>
  <c r="B2537" i="10" s="1"/>
  <c r="B2538" i="10" a="1"/>
  <c r="B2538" i="10" s="1"/>
  <c r="B2539" i="10" a="1"/>
  <c r="B2539" i="10" s="1"/>
  <c r="B2540" i="10" a="1"/>
  <c r="B2540" i="10" s="1"/>
  <c r="B2541" i="10" a="1"/>
  <c r="B2541" i="10" s="1"/>
  <c r="B2542" i="10" a="1"/>
  <c r="B2542" i="10" s="1"/>
  <c r="B2543" i="10" a="1"/>
  <c r="B2543" i="10" s="1"/>
  <c r="B2544" i="10" a="1"/>
  <c r="B2544" i="10" s="1"/>
  <c r="B2545" i="10" a="1"/>
  <c r="B2545" i="10" s="1"/>
  <c r="B2546" i="10" a="1"/>
  <c r="B2546" i="10" s="1"/>
  <c r="B2547" i="10" a="1"/>
  <c r="B2547" i="10" s="1"/>
  <c r="B2548" i="10" a="1"/>
  <c r="B2548" i="10" s="1"/>
  <c r="B2549" i="10" a="1"/>
  <c r="B2549" i="10" s="1"/>
  <c r="B2550" i="10" a="1"/>
  <c r="B2550" i="10" s="1"/>
  <c r="B2551" i="10" a="1"/>
  <c r="B2551" i="10" s="1"/>
  <c r="B2552" i="10" a="1"/>
  <c r="B2552" i="10" s="1"/>
  <c r="B2553" i="10" a="1"/>
  <c r="B2553" i="10" s="1"/>
  <c r="B2554" i="10" a="1"/>
  <c r="B2554" i="10" s="1"/>
  <c r="B2555" i="10" a="1"/>
  <c r="B2555" i="10" s="1"/>
  <c r="B2556" i="10" a="1"/>
  <c r="B2556" i="10" s="1"/>
  <c r="B2557" i="10" a="1"/>
  <c r="B2557" i="10" s="1"/>
  <c r="B2558" i="10" a="1"/>
  <c r="B2558" i="10" s="1"/>
  <c r="B2559" i="10" a="1"/>
  <c r="B2559" i="10" s="1"/>
  <c r="B2560" i="10" a="1"/>
  <c r="B2560" i="10" s="1"/>
  <c r="B2561" i="10" a="1"/>
  <c r="B2561" i="10" s="1"/>
  <c r="B2562" i="10" a="1"/>
  <c r="B2562" i="10" s="1"/>
  <c r="B2563" i="10" a="1"/>
  <c r="B2563" i="10" s="1"/>
  <c r="B2564" i="10" a="1"/>
  <c r="B2564" i="10" s="1"/>
  <c r="B2565" i="10" a="1"/>
  <c r="B2565" i="10" s="1"/>
  <c r="B2566" i="10" a="1"/>
  <c r="B2566" i="10" s="1"/>
  <c r="B2567" i="10" a="1"/>
  <c r="B2567" i="10" s="1"/>
  <c r="B2568" i="10" a="1"/>
  <c r="B2568" i="10" s="1"/>
  <c r="B2569" i="10" a="1"/>
  <c r="B2569" i="10" s="1"/>
  <c r="B2570" i="10" a="1"/>
  <c r="B2570" i="10" s="1"/>
  <c r="B2571" i="10" a="1"/>
  <c r="B2571" i="10" s="1"/>
  <c r="B2572" i="10" a="1"/>
  <c r="B2572" i="10" s="1"/>
  <c r="B2573" i="10" a="1"/>
  <c r="B2573" i="10" s="1"/>
  <c r="B2574" i="10" a="1"/>
  <c r="B2574" i="10" s="1"/>
  <c r="B2575" i="10" a="1"/>
  <c r="B2575" i="10" s="1"/>
  <c r="B2576" i="10" a="1"/>
  <c r="B2576" i="10" s="1"/>
  <c r="B2577" i="10" a="1"/>
  <c r="B2577" i="10" s="1"/>
  <c r="B2578" i="10" a="1"/>
  <c r="B2578" i="10" s="1"/>
  <c r="B2579" i="10" a="1"/>
  <c r="B2579" i="10" s="1"/>
  <c r="B2580" i="10" a="1"/>
  <c r="B2580" i="10" s="1"/>
  <c r="B2581" i="10" a="1"/>
  <c r="B2581" i="10" s="1"/>
  <c r="B2582" i="10" a="1"/>
  <c r="B2582" i="10" s="1"/>
  <c r="B2583" i="10" a="1"/>
  <c r="B2583" i="10"/>
  <c r="B2584" i="10" a="1"/>
  <c r="B2584" i="10" s="1"/>
  <c r="B2585" i="10" a="1"/>
  <c r="B2585" i="10" s="1"/>
  <c r="B2586" i="10" a="1"/>
  <c r="B2586" i="10" s="1"/>
  <c r="B2587" i="10" a="1"/>
  <c r="B2587" i="10" s="1"/>
  <c r="B2588" i="10" a="1"/>
  <c r="B2588" i="10" s="1"/>
  <c r="B2589" i="10" a="1"/>
  <c r="B2589" i="10" s="1"/>
  <c r="B2590" i="10" a="1"/>
  <c r="B2590" i="10" s="1"/>
  <c r="B2591" i="10" a="1"/>
  <c r="B2591" i="10" s="1"/>
  <c r="B2592" i="10" a="1"/>
  <c r="B2592" i="10" s="1"/>
  <c r="B2593" i="10" a="1"/>
  <c r="B2593" i="10" s="1"/>
  <c r="B2594" i="10" a="1"/>
  <c r="B2594" i="10" s="1"/>
  <c r="B2595" i="10" a="1"/>
  <c r="B2595" i="10" s="1"/>
  <c r="B2596" i="10" a="1"/>
  <c r="B2596" i="10" s="1"/>
  <c r="B2597" i="10" a="1"/>
  <c r="B2597" i="10" s="1"/>
  <c r="B2598" i="10" a="1"/>
  <c r="B2598" i="10" s="1"/>
  <c r="B2599" i="10" a="1"/>
  <c r="B2599" i="10" s="1"/>
  <c r="B2600" i="10" a="1"/>
  <c r="B2600" i="10" s="1"/>
  <c r="B2601" i="10" a="1"/>
  <c r="B2601" i="10" s="1"/>
  <c r="B2602" i="10" a="1"/>
  <c r="B2602" i="10" s="1"/>
  <c r="B2603" i="10" a="1"/>
  <c r="B2603" i="10" s="1"/>
  <c r="B2604" i="10" a="1"/>
  <c r="B2604" i="10" s="1"/>
  <c r="B2605" i="10" a="1"/>
  <c r="B2605" i="10" s="1"/>
  <c r="B2606" i="10" a="1"/>
  <c r="B2606" i="10" s="1"/>
  <c r="B2607" i="10" a="1"/>
  <c r="B2607" i="10" s="1"/>
  <c r="B2608" i="10" a="1"/>
  <c r="B2608" i="10" s="1"/>
  <c r="B2609" i="10" a="1"/>
  <c r="B2609" i="10" s="1"/>
  <c r="B2610" i="10" a="1"/>
  <c r="B2610" i="10" s="1"/>
  <c r="B2611" i="10" a="1"/>
  <c r="B2611" i="10" s="1"/>
  <c r="B2612" i="10" a="1"/>
  <c r="B2612" i="10" s="1"/>
  <c r="B2613" i="10" a="1"/>
  <c r="B2613" i="10" s="1"/>
  <c r="B2614" i="10" a="1"/>
  <c r="B2614" i="10" s="1"/>
  <c r="B2615" i="10" a="1"/>
  <c r="B2615" i="10" s="1"/>
  <c r="B2616" i="10" a="1"/>
  <c r="B2616" i="10" s="1"/>
  <c r="B2617" i="10" a="1"/>
  <c r="B2617" i="10" s="1"/>
  <c r="B2618" i="10" a="1"/>
  <c r="B2618" i="10" s="1"/>
  <c r="B2619" i="10" a="1"/>
  <c r="B2619" i="10" s="1"/>
  <c r="B2620" i="10" a="1"/>
  <c r="B2620" i="10" s="1"/>
  <c r="B2621" i="10" a="1"/>
  <c r="B2621" i="10" s="1"/>
  <c r="B2622" i="10" a="1"/>
  <c r="B2622" i="10" s="1"/>
  <c r="B2623" i="10" a="1"/>
  <c r="B2623" i="10" s="1"/>
  <c r="B2624" i="10" a="1"/>
  <c r="B2624" i="10" s="1"/>
  <c r="B2625" i="10" a="1"/>
  <c r="B2625" i="10" s="1"/>
  <c r="B2626" i="10" a="1"/>
  <c r="B2626" i="10" s="1"/>
  <c r="B2627" i="10" a="1"/>
  <c r="B2627" i="10" s="1"/>
  <c r="B2628" i="10" a="1"/>
  <c r="B2628" i="10" s="1"/>
  <c r="B2629" i="10" a="1"/>
  <c r="B2629" i="10" s="1"/>
  <c r="B2630" i="10" a="1"/>
  <c r="B2630" i="10" s="1"/>
  <c r="B2631" i="10" a="1"/>
  <c r="B2631" i="10" s="1"/>
  <c r="B2632" i="10" a="1"/>
  <c r="B2632" i="10" s="1"/>
  <c r="B2633" i="10" a="1"/>
  <c r="B2633" i="10" s="1"/>
  <c r="B2634" i="10" a="1"/>
  <c r="B2634" i="10" s="1"/>
  <c r="B2635" i="10" a="1"/>
  <c r="B2635" i="10" s="1"/>
  <c r="B2636" i="10" a="1"/>
  <c r="B2636" i="10" s="1"/>
  <c r="B2637" i="10" a="1"/>
  <c r="B2637" i="10" s="1"/>
  <c r="B2638" i="10" a="1"/>
  <c r="B2638" i="10" s="1"/>
  <c r="B2639" i="10" a="1"/>
  <c r="B2639" i="10" s="1"/>
  <c r="B2640" i="10" a="1"/>
  <c r="B2640" i="10" s="1"/>
  <c r="B2641" i="10" a="1"/>
  <c r="B2641" i="10" s="1"/>
  <c r="B2642" i="10" a="1"/>
  <c r="B2642" i="10" s="1"/>
  <c r="B2643" i="10" a="1"/>
  <c r="B2643" i="10" s="1"/>
  <c r="B2644" i="10" a="1"/>
  <c r="B2644" i="10" s="1"/>
  <c r="B2645" i="10" a="1"/>
  <c r="B2645" i="10" s="1"/>
  <c r="B2646" i="10" a="1"/>
  <c r="B2646" i="10" s="1"/>
  <c r="B2647" i="10" a="1"/>
  <c r="B2647" i="10" s="1"/>
  <c r="B2648" i="10" a="1"/>
  <c r="B2648" i="10" s="1"/>
  <c r="B2649" i="10" a="1"/>
  <c r="B2649" i="10" s="1"/>
  <c r="B2650" i="10" a="1"/>
  <c r="B2650" i="10" s="1"/>
  <c r="B2651" i="10" a="1"/>
  <c r="B2651" i="10" s="1"/>
  <c r="B2652" i="10" a="1"/>
  <c r="B2652" i="10" s="1"/>
  <c r="B2653" i="10" a="1"/>
  <c r="B2653" i="10" s="1"/>
  <c r="B2654" i="10" a="1"/>
  <c r="B2654" i="10" s="1"/>
  <c r="B2655" i="10" a="1"/>
  <c r="B2655" i="10" s="1"/>
  <c r="B2656" i="10" a="1"/>
  <c r="B2656" i="10" s="1"/>
  <c r="B2657" i="10" a="1"/>
  <c r="B2657" i="10" s="1"/>
  <c r="B2658" i="10" a="1"/>
  <c r="B2658" i="10" s="1"/>
  <c r="B2659" i="10" a="1"/>
  <c r="B2659" i="10" s="1"/>
  <c r="B2660" i="10" a="1"/>
  <c r="B2660" i="10" s="1"/>
  <c r="B2661" i="10" a="1"/>
  <c r="B2661" i="10" s="1"/>
  <c r="B2662" i="10" a="1"/>
  <c r="B2662" i="10" s="1"/>
  <c r="B2663" i="10" a="1"/>
  <c r="B2663" i="10" s="1"/>
  <c r="B2664" i="10" a="1"/>
  <c r="B2664" i="10" s="1"/>
  <c r="B2665" i="10" a="1"/>
  <c r="B2665" i="10" s="1"/>
  <c r="B2666" i="10" a="1"/>
  <c r="B2666" i="10" s="1"/>
  <c r="B2667" i="10" a="1"/>
  <c r="B2667" i="10" s="1"/>
  <c r="B2668" i="10" a="1"/>
  <c r="B2668" i="10" s="1"/>
  <c r="B2669" i="10" a="1"/>
  <c r="B2669" i="10" s="1"/>
  <c r="B2670" i="10" a="1"/>
  <c r="B2670" i="10" s="1"/>
  <c r="B2671" i="10" a="1"/>
  <c r="B2671" i="10" s="1"/>
  <c r="B2672" i="10" a="1"/>
  <c r="B2672" i="10" s="1"/>
  <c r="B2673" i="10" a="1"/>
  <c r="B2673" i="10" s="1"/>
  <c r="B2674" i="10" a="1"/>
  <c r="B2674" i="10" s="1"/>
  <c r="B2675" i="10" a="1"/>
  <c r="B2675" i="10" s="1"/>
  <c r="B2676" i="10" a="1"/>
  <c r="B2676" i="10" s="1"/>
  <c r="B2677" i="10" a="1"/>
  <c r="B2677" i="10" s="1"/>
  <c r="B2678" i="10" a="1"/>
  <c r="B2678" i="10" s="1"/>
  <c r="B2679" i="10" a="1"/>
  <c r="B2679" i="10" s="1"/>
  <c r="B2680" i="10" a="1"/>
  <c r="B2680" i="10" s="1"/>
  <c r="B2681" i="10" a="1"/>
  <c r="B2681" i="10" s="1"/>
  <c r="B2682" i="10" a="1"/>
  <c r="B2682" i="10" s="1"/>
  <c r="B2683" i="10" a="1"/>
  <c r="B2683" i="10" s="1"/>
  <c r="B2684" i="10" a="1"/>
  <c r="B2684" i="10" s="1"/>
  <c r="B2685" i="10" a="1"/>
  <c r="B2685" i="10" s="1"/>
  <c r="B2686" i="10" a="1"/>
  <c r="B2686" i="10" s="1"/>
  <c r="B2687" i="10" a="1"/>
  <c r="B2687" i="10" s="1"/>
  <c r="B2688" i="10" a="1"/>
  <c r="B2688" i="10" s="1"/>
  <c r="B2689" i="10" a="1"/>
  <c r="B2689" i="10" s="1"/>
  <c r="B2690" i="10" a="1"/>
  <c r="B2690" i="10" s="1"/>
  <c r="B2691" i="10" a="1"/>
  <c r="B2691" i="10" s="1"/>
  <c r="B2692" i="10" a="1"/>
  <c r="B2692" i="10" s="1"/>
  <c r="B2693" i="10" a="1"/>
  <c r="B2693" i="10" s="1"/>
  <c r="B2694" i="10" a="1"/>
  <c r="B2694" i="10" s="1"/>
  <c r="B2695" i="10" a="1"/>
  <c r="B2695" i="10" s="1"/>
  <c r="B2696" i="10" a="1"/>
  <c r="B2696" i="10" s="1"/>
  <c r="B2697" i="10" a="1"/>
  <c r="B2697" i="10" s="1"/>
  <c r="B2698" i="10" a="1"/>
  <c r="B2698" i="10" s="1"/>
  <c r="B2699" i="10" a="1"/>
  <c r="B2699" i="10" s="1"/>
  <c r="B2700" i="10" a="1"/>
  <c r="B2700" i="10" s="1"/>
  <c r="B2701" i="10" a="1"/>
  <c r="B2701" i="10" s="1"/>
  <c r="B2702" i="10" a="1"/>
  <c r="B2702" i="10" s="1"/>
  <c r="B2703" i="10" a="1"/>
  <c r="B2703" i="10" s="1"/>
  <c r="B2704" i="10" a="1"/>
  <c r="B2704" i="10" s="1"/>
  <c r="B2705" i="10" a="1"/>
  <c r="B2705" i="10" s="1"/>
  <c r="B2706" i="10" a="1"/>
  <c r="B2706" i="10" s="1"/>
  <c r="B2707" i="10" a="1"/>
  <c r="B2707" i="10" s="1"/>
  <c r="B2708" i="10" a="1"/>
  <c r="B2708" i="10" s="1"/>
  <c r="B2709" i="10" a="1"/>
  <c r="B2709" i="10" s="1"/>
  <c r="B2710" i="10" a="1"/>
  <c r="B2710" i="10" s="1"/>
  <c r="B2711" i="10" a="1"/>
  <c r="B2711" i="10" s="1"/>
  <c r="B2712" i="10" a="1"/>
  <c r="B2712" i="10" s="1"/>
  <c r="B2713" i="10" a="1"/>
  <c r="B2713" i="10" s="1"/>
  <c r="B2714" i="10" a="1"/>
  <c r="B2714" i="10" s="1"/>
  <c r="B2715" i="10" a="1"/>
  <c r="B2715" i="10" s="1"/>
  <c r="B2716" i="10" a="1"/>
  <c r="B2716" i="10" s="1"/>
  <c r="B2717" i="10" a="1"/>
  <c r="B2717" i="10" s="1"/>
  <c r="B2718" i="10" a="1"/>
  <c r="B2718" i="10" s="1"/>
  <c r="B2719" i="10" a="1"/>
  <c r="B2719" i="10" s="1"/>
  <c r="B2720" i="10" a="1"/>
  <c r="B2720" i="10" s="1"/>
  <c r="B2721" i="10" a="1"/>
  <c r="B2721" i="10" s="1"/>
  <c r="B2722" i="10" a="1"/>
  <c r="B2722" i="10" s="1"/>
  <c r="B2723" i="10" a="1"/>
  <c r="B2723" i="10" s="1"/>
  <c r="B2724" i="10" a="1"/>
  <c r="B2724" i="10" s="1"/>
  <c r="B2725" i="10" a="1"/>
  <c r="B2725" i="10" s="1"/>
  <c r="B2726" i="10" a="1"/>
  <c r="B2726" i="10" s="1"/>
  <c r="B2727" i="10" a="1"/>
  <c r="B2727" i="10" s="1"/>
  <c r="B2728" i="10" a="1"/>
  <c r="B2728" i="10" s="1"/>
  <c r="B2729" i="10" a="1"/>
  <c r="B2729" i="10" s="1"/>
  <c r="B2730" i="10" a="1"/>
  <c r="B2730" i="10" s="1"/>
  <c r="B2731" i="10" a="1"/>
  <c r="B2731" i="10" s="1"/>
  <c r="B2732" i="10" a="1"/>
  <c r="B2732" i="10" s="1"/>
  <c r="B2733" i="10" a="1"/>
  <c r="B2733" i="10" s="1"/>
  <c r="B2734" i="10" a="1"/>
  <c r="B2734" i="10" s="1"/>
  <c r="B2735" i="10" a="1"/>
  <c r="B2735" i="10"/>
  <c r="B2736" i="10" a="1"/>
  <c r="B2736" i="10" s="1"/>
  <c r="B2737" i="10" a="1"/>
  <c r="B2737" i="10" s="1"/>
  <c r="B2738" i="10" a="1"/>
  <c r="B2738" i="10" s="1"/>
  <c r="B2739" i="10" a="1"/>
  <c r="B2739" i="10" s="1"/>
  <c r="B2740" i="10" a="1"/>
  <c r="B2740" i="10" s="1"/>
  <c r="B2741" i="10" a="1"/>
  <c r="B2741" i="10" s="1"/>
  <c r="B2742" i="10" a="1"/>
  <c r="B2742" i="10" s="1"/>
  <c r="B2743" i="10" a="1"/>
  <c r="B2743" i="10" s="1"/>
  <c r="B2744" i="10" a="1"/>
  <c r="B2744" i="10" s="1"/>
  <c r="B2745" i="10" a="1"/>
  <c r="B2745" i="10" s="1"/>
  <c r="B2746" i="10" a="1"/>
  <c r="B2746" i="10" s="1"/>
  <c r="B2747" i="10" a="1"/>
  <c r="B2747" i="10" s="1"/>
  <c r="B2748" i="10" a="1"/>
  <c r="B2748" i="10" s="1"/>
  <c r="B2749" i="10" a="1"/>
  <c r="B2749" i="10" s="1"/>
  <c r="B2750" i="10" a="1"/>
  <c r="B2750" i="10" s="1"/>
  <c r="B2751" i="10" a="1"/>
  <c r="B2751" i="10" s="1"/>
  <c r="B2752" i="10" a="1"/>
  <c r="B2752" i="10" s="1"/>
  <c r="B2753" i="10" a="1"/>
  <c r="B2753" i="10" s="1"/>
  <c r="B2754" i="10" a="1"/>
  <c r="B2754" i="10" s="1"/>
  <c r="B2755" i="10" a="1"/>
  <c r="B2755" i="10" s="1"/>
  <c r="B2756" i="10" a="1"/>
  <c r="B2756" i="10" s="1"/>
  <c r="B2757" i="10" a="1"/>
  <c r="B2757" i="10" s="1"/>
  <c r="B2758" i="10" a="1"/>
  <c r="B2758" i="10" s="1"/>
  <c r="B2759" i="10" a="1"/>
  <c r="B2759" i="10" s="1"/>
  <c r="B2760" i="10" a="1"/>
  <c r="B2760" i="10" s="1"/>
  <c r="B2761" i="10" a="1"/>
  <c r="B2761" i="10" s="1"/>
  <c r="B2762" i="10" a="1"/>
  <c r="B2762" i="10" s="1"/>
  <c r="B2763" i="10" a="1"/>
  <c r="B2763" i="10" s="1"/>
  <c r="B2764" i="10" a="1"/>
  <c r="B2764" i="10" s="1"/>
  <c r="B2765" i="10" a="1"/>
  <c r="B2765" i="10" s="1"/>
  <c r="B2766" i="10" a="1"/>
  <c r="B2766" i="10" s="1"/>
  <c r="B2767" i="10" a="1"/>
  <c r="B2767" i="10" s="1"/>
  <c r="B2768" i="10" a="1"/>
  <c r="B2768" i="10" s="1"/>
  <c r="B2769" i="10" a="1"/>
  <c r="B2769" i="10" s="1"/>
  <c r="B2770" i="10" a="1"/>
  <c r="B2770" i="10" s="1"/>
  <c r="B2771" i="10" a="1"/>
  <c r="B2771" i="10" s="1"/>
  <c r="B2772" i="10" a="1"/>
  <c r="B2772" i="10" s="1"/>
  <c r="B2773" i="10" a="1"/>
  <c r="B2773" i="10" s="1"/>
  <c r="B2774" i="10" a="1"/>
  <c r="B2774" i="10" s="1"/>
  <c r="B2775" i="10" a="1"/>
  <c r="B2775" i="10" s="1"/>
  <c r="B2776" i="10" a="1"/>
  <c r="B2776" i="10" s="1"/>
  <c r="B2777" i="10" a="1"/>
  <c r="B2777" i="10" s="1"/>
  <c r="B2778" i="10" a="1"/>
  <c r="B2778" i="10" s="1"/>
  <c r="B2779" i="10" a="1"/>
  <c r="B2779" i="10" s="1"/>
  <c r="B2780" i="10" a="1"/>
  <c r="B2780" i="10" s="1"/>
  <c r="B2781" i="10" a="1"/>
  <c r="B2781" i="10" s="1"/>
  <c r="B2782" i="10" a="1"/>
  <c r="B2782" i="10" s="1"/>
  <c r="B2783" i="10" a="1"/>
  <c r="B2783" i="10" s="1"/>
  <c r="B2784" i="10" a="1"/>
  <c r="B2784" i="10" s="1"/>
  <c r="B2785" i="10" a="1"/>
  <c r="B2785" i="10" s="1"/>
  <c r="B2786" i="10" a="1"/>
  <c r="B2786" i="10" s="1"/>
  <c r="B2787" i="10" a="1"/>
  <c r="B2787" i="10" s="1"/>
  <c r="B2788" i="10" a="1"/>
  <c r="B2788" i="10" s="1"/>
  <c r="B2789" i="10" a="1"/>
  <c r="B2789" i="10" s="1"/>
  <c r="B2790" i="10" a="1"/>
  <c r="B2790" i="10" s="1"/>
  <c r="B2791" i="10" a="1"/>
  <c r="B2791" i="10" s="1"/>
  <c r="B2792" i="10" a="1"/>
  <c r="B2792" i="10" s="1"/>
  <c r="B2793" i="10" a="1"/>
  <c r="B2793" i="10" s="1"/>
  <c r="B2794" i="10" a="1"/>
  <c r="B2794" i="10" s="1"/>
  <c r="B2795" i="10" a="1"/>
  <c r="B2795" i="10" s="1"/>
  <c r="B2796" i="10" a="1"/>
  <c r="B2796" i="10" s="1"/>
  <c r="B2797" i="10" a="1"/>
  <c r="B2797" i="10" s="1"/>
  <c r="B2798" i="10" a="1"/>
  <c r="B2798" i="10" s="1"/>
  <c r="B2799" i="10" a="1"/>
  <c r="B2799" i="10" s="1"/>
  <c r="B2800" i="10" a="1"/>
  <c r="B2800" i="10" s="1"/>
  <c r="B2801" i="10" a="1"/>
  <c r="B2801" i="10" s="1"/>
  <c r="B2802" i="10" a="1"/>
  <c r="B2802" i="10" s="1"/>
  <c r="B2803" i="10" a="1"/>
  <c r="B2803" i="10" s="1"/>
  <c r="B2804" i="10" a="1"/>
  <c r="B2804" i="10" s="1"/>
  <c r="B2805" i="10" a="1"/>
  <c r="B2805" i="10" s="1"/>
  <c r="B2806" i="10" a="1"/>
  <c r="B2806" i="10" s="1"/>
  <c r="B2807" i="10" a="1"/>
  <c r="B2807" i="10" s="1"/>
  <c r="B2808" i="10" a="1"/>
  <c r="B2808" i="10" s="1"/>
  <c r="B2809" i="10" a="1"/>
  <c r="B2809" i="10" s="1"/>
  <c r="B2810" i="10" a="1"/>
  <c r="B2810" i="10" s="1"/>
  <c r="B2811" i="10" a="1"/>
  <c r="B2811" i="10" s="1"/>
  <c r="B2812" i="10" a="1"/>
  <c r="B2812" i="10" s="1"/>
  <c r="B2813" i="10" a="1"/>
  <c r="B2813" i="10" s="1"/>
  <c r="B2814" i="10" a="1"/>
  <c r="B2814" i="10" s="1"/>
  <c r="B2815" i="10" a="1"/>
  <c r="B2815" i="10" s="1"/>
  <c r="B2816" i="10" a="1"/>
  <c r="B2816" i="10" s="1"/>
  <c r="B2817" i="10" a="1"/>
  <c r="B2817" i="10" s="1"/>
  <c r="B2818" i="10" a="1"/>
  <c r="B2818" i="10" s="1"/>
  <c r="B2819" i="10" a="1"/>
  <c r="B2819" i="10" s="1"/>
  <c r="B2820" i="10" a="1"/>
  <c r="B2820" i="10" s="1"/>
  <c r="B2821" i="10" a="1"/>
  <c r="B2821" i="10" s="1"/>
  <c r="B2822" i="10" a="1"/>
  <c r="B2822" i="10" s="1"/>
  <c r="B2823" i="10" a="1"/>
  <c r="B2823" i="10" s="1"/>
  <c r="B2824" i="10" a="1"/>
  <c r="B2824" i="10" s="1"/>
  <c r="B2825" i="10" a="1"/>
  <c r="B2825" i="10" s="1"/>
  <c r="B2826" i="10" a="1"/>
  <c r="B2826" i="10" s="1"/>
  <c r="B2827" i="10" a="1"/>
  <c r="B2827" i="10" s="1"/>
  <c r="B2828" i="10" a="1"/>
  <c r="B2828" i="10" s="1"/>
  <c r="B2829" i="10" a="1"/>
  <c r="B2829" i="10" s="1"/>
  <c r="B2830" i="10" a="1"/>
  <c r="B2830" i="10" s="1"/>
  <c r="B2831" i="10" a="1"/>
  <c r="B2831" i="10" s="1"/>
  <c r="B2832" i="10" a="1"/>
  <c r="B2832" i="10" s="1"/>
  <c r="B2833" i="10" a="1"/>
  <c r="B2833" i="10" s="1"/>
  <c r="B2834" i="10" a="1"/>
  <c r="B2834" i="10" s="1"/>
  <c r="B2835" i="10" a="1"/>
  <c r="B2835" i="10" s="1"/>
  <c r="B2836" i="10" a="1"/>
  <c r="B2836" i="10" s="1"/>
  <c r="B2837" i="10" a="1"/>
  <c r="B2837" i="10" s="1"/>
  <c r="B2838" i="10" a="1"/>
  <c r="B2838" i="10" s="1"/>
  <c r="B2839" i="10" a="1"/>
  <c r="B2839" i="10" s="1"/>
  <c r="B2840" i="10" a="1"/>
  <c r="B2840" i="10" s="1"/>
  <c r="B2841" i="10" a="1"/>
  <c r="B2841" i="10" s="1"/>
  <c r="B2842" i="10" a="1"/>
  <c r="B2842" i="10" s="1"/>
  <c r="B2843" i="10" a="1"/>
  <c r="B2843" i="10" s="1"/>
  <c r="B2844" i="10" a="1"/>
  <c r="B2844" i="10" s="1"/>
  <c r="B2845" i="10" a="1"/>
  <c r="B2845" i="10" s="1"/>
  <c r="B2846" i="10" a="1"/>
  <c r="B2846" i="10" s="1"/>
  <c r="B2847" i="10" a="1"/>
  <c r="B2847" i="10" s="1"/>
  <c r="B2848" i="10" a="1"/>
  <c r="B2848" i="10" s="1"/>
  <c r="B2849" i="10" a="1"/>
  <c r="B2849" i="10" s="1"/>
  <c r="B2850" i="10" a="1"/>
  <c r="B2850" i="10" s="1"/>
  <c r="B2851" i="10" a="1"/>
  <c r="B2851" i="10" s="1"/>
  <c r="B2852" i="10" a="1"/>
  <c r="B2852" i="10" s="1"/>
  <c r="B2853" i="10" a="1"/>
  <c r="B2853" i="10"/>
  <c r="B2854" i="10" a="1"/>
  <c r="B2854" i="10" s="1"/>
  <c r="B2855" i="10" a="1"/>
  <c r="B2855" i="10" s="1"/>
  <c r="B2856" i="10" a="1"/>
  <c r="B2856" i="10" s="1"/>
  <c r="B2857" i="10" a="1"/>
  <c r="B2857" i="10" s="1"/>
  <c r="B2858" i="10" a="1"/>
  <c r="B2858" i="10" s="1"/>
  <c r="B2859" i="10" a="1"/>
  <c r="B2859" i="10" s="1"/>
  <c r="B2860" i="10" a="1"/>
  <c r="B2860" i="10" s="1"/>
  <c r="B2861" i="10" a="1"/>
  <c r="B2861" i="10" s="1"/>
  <c r="B2862" i="10" a="1"/>
  <c r="B2862" i="10" s="1"/>
  <c r="B2863" i="10" a="1"/>
  <c r="B2863" i="10" s="1"/>
  <c r="B2864" i="10" a="1"/>
  <c r="B2864" i="10" s="1"/>
  <c r="B2865" i="10" a="1"/>
  <c r="B2865" i="10" s="1"/>
  <c r="B2866" i="10" a="1"/>
  <c r="B2866" i="10" s="1"/>
  <c r="B2867" i="10" a="1"/>
  <c r="B2867" i="10" s="1"/>
  <c r="B2868" i="10" a="1"/>
  <c r="B2868" i="10" s="1"/>
  <c r="B2869" i="10" a="1"/>
  <c r="B2869" i="10" s="1"/>
  <c r="B2870" i="10" a="1"/>
  <c r="B2870" i="10" s="1"/>
  <c r="B2871" i="10" a="1"/>
  <c r="B2871" i="10" s="1"/>
  <c r="B2872" i="10" a="1"/>
  <c r="B2872" i="10" s="1"/>
  <c r="B2873" i="10" a="1"/>
  <c r="B2873" i="10" s="1"/>
  <c r="B2874" i="10" a="1"/>
  <c r="B2874" i="10" s="1"/>
  <c r="B2875" i="10" a="1"/>
  <c r="B2875" i="10" s="1"/>
  <c r="B2876" i="10" a="1"/>
  <c r="B2876" i="10" s="1"/>
  <c r="B2877" i="10" a="1"/>
  <c r="B2877" i="10" s="1"/>
  <c r="B2878" i="10" a="1"/>
  <c r="B2878" i="10" s="1"/>
  <c r="B2879" i="10" a="1"/>
  <c r="B2879" i="10" s="1"/>
  <c r="B2880" i="10" a="1"/>
  <c r="B2880" i="10" s="1"/>
  <c r="B2881" i="10" a="1"/>
  <c r="B2881" i="10" s="1"/>
  <c r="B2882" i="10" a="1"/>
  <c r="B2882" i="10" s="1"/>
  <c r="B2883" i="10" a="1"/>
  <c r="B2883" i="10" s="1"/>
  <c r="B2884" i="10" a="1"/>
  <c r="B2884" i="10" s="1"/>
  <c r="B2885" i="10" a="1"/>
  <c r="B2885" i="10" s="1"/>
  <c r="B2886" i="10" a="1"/>
  <c r="B2886" i="10" s="1"/>
  <c r="B2887" i="10" a="1"/>
  <c r="B2887" i="10" s="1"/>
  <c r="B2888" i="10" a="1"/>
  <c r="B2888" i="10" s="1"/>
  <c r="B2889" i="10" a="1"/>
  <c r="B2889" i="10" s="1"/>
  <c r="B2890" i="10" a="1"/>
  <c r="B2890" i="10" s="1"/>
  <c r="B2891" i="10" a="1"/>
  <c r="B2891" i="10" s="1"/>
  <c r="B2892" i="10" a="1"/>
  <c r="B2892" i="10" s="1"/>
  <c r="B2893" i="10" a="1"/>
  <c r="B2893" i="10" s="1"/>
  <c r="B2894" i="10" a="1"/>
  <c r="B2894" i="10" s="1"/>
  <c r="B2895" i="10" a="1"/>
  <c r="B2895" i="10" s="1"/>
  <c r="B2896" i="10" a="1"/>
  <c r="B2896" i="10" s="1"/>
  <c r="B2897" i="10" a="1"/>
  <c r="B2897" i="10" s="1"/>
  <c r="B2898" i="10" a="1"/>
  <c r="B2898" i="10" s="1"/>
  <c r="B2899" i="10" a="1"/>
  <c r="B2899" i="10" s="1"/>
  <c r="B2900" i="10" a="1"/>
  <c r="B2900" i="10" s="1"/>
  <c r="B2901" i="10" a="1"/>
  <c r="B2901" i="10" s="1"/>
  <c r="B2902" i="10" a="1"/>
  <c r="B2902" i="10" s="1"/>
  <c r="B2903" i="10" a="1"/>
  <c r="B2903" i="10" s="1"/>
  <c r="B2904" i="10" a="1"/>
  <c r="B2904" i="10" s="1"/>
  <c r="B2905" i="10" a="1"/>
  <c r="B2905" i="10" s="1"/>
  <c r="B2906" i="10" a="1"/>
  <c r="B2906" i="10" s="1"/>
  <c r="B2907" i="10" a="1"/>
  <c r="B2907" i="10" s="1"/>
  <c r="B2908" i="10" a="1"/>
  <c r="B2908" i="10" s="1"/>
  <c r="B2909" i="10" a="1"/>
  <c r="B2909" i="10" s="1"/>
  <c r="B2910" i="10" a="1"/>
  <c r="B2910" i="10" s="1"/>
  <c r="B2911" i="10" a="1"/>
  <c r="B2911" i="10" s="1"/>
  <c r="B2912" i="10" a="1"/>
  <c r="B2912" i="10" s="1"/>
  <c r="B2913" i="10" a="1"/>
  <c r="B2913" i="10" s="1"/>
  <c r="B2914" i="10" a="1"/>
  <c r="B2914" i="10" s="1"/>
  <c r="B2915" i="10" a="1"/>
  <c r="B2915" i="10" s="1"/>
  <c r="B2916" i="10" a="1"/>
  <c r="B2916" i="10" s="1"/>
  <c r="B2917" i="10" a="1"/>
  <c r="B2917" i="10" s="1"/>
  <c r="B2918" i="10" a="1"/>
  <c r="B2918" i="10" s="1"/>
  <c r="B2919" i="10" a="1"/>
  <c r="B2919" i="10" s="1"/>
  <c r="B2920" i="10" a="1"/>
  <c r="B2920" i="10" s="1"/>
  <c r="B2921" i="10" a="1"/>
  <c r="B2921" i="10" s="1"/>
  <c r="B2922" i="10" a="1"/>
  <c r="B2922" i="10" s="1"/>
  <c r="B2923" i="10" a="1"/>
  <c r="B2923" i="10" s="1"/>
  <c r="B2924" i="10" a="1"/>
  <c r="B2924" i="10" s="1"/>
  <c r="B2925" i="10" a="1"/>
  <c r="B2925" i="10" s="1"/>
  <c r="B2926" i="10" a="1"/>
  <c r="B2926" i="10" s="1"/>
  <c r="B2927" i="10" a="1"/>
  <c r="B2927" i="10" s="1"/>
  <c r="B2928" i="10" a="1"/>
  <c r="B2928" i="10" s="1"/>
  <c r="B2929" i="10" a="1"/>
  <c r="B2929" i="10" s="1"/>
  <c r="B2930" i="10" a="1"/>
  <c r="B2930" i="10" s="1"/>
  <c r="B2931" i="10" a="1"/>
  <c r="B2931" i="10" s="1"/>
  <c r="B2932" i="10" a="1"/>
  <c r="B2932" i="10" s="1"/>
  <c r="B2933" i="10" a="1"/>
  <c r="B2933" i="10" s="1"/>
  <c r="B2934" i="10" a="1"/>
  <c r="B2934" i="10" s="1"/>
  <c r="B2935" i="10" a="1"/>
  <c r="B2935" i="10" s="1"/>
  <c r="B2936" i="10" a="1"/>
  <c r="B2936" i="10" s="1"/>
  <c r="B2937" i="10" a="1"/>
  <c r="B2937" i="10" s="1"/>
  <c r="B2938" i="10" a="1"/>
  <c r="B2938" i="10" s="1"/>
  <c r="B2939" i="10" a="1"/>
  <c r="B2939" i="10" s="1"/>
  <c r="B2940" i="10" a="1"/>
  <c r="B2940" i="10" s="1"/>
  <c r="B2941" i="10" a="1"/>
  <c r="B2941" i="10" s="1"/>
  <c r="B2942" i="10" a="1"/>
  <c r="B2942" i="10" s="1"/>
  <c r="B2943" i="10" a="1"/>
  <c r="B2943" i="10" s="1"/>
  <c r="B2944" i="10" a="1"/>
  <c r="B2944" i="10" s="1"/>
  <c r="B2945" i="10" a="1"/>
  <c r="B2945" i="10" s="1"/>
  <c r="B2946" i="10" a="1"/>
  <c r="B2946" i="10" s="1"/>
  <c r="B2947" i="10" a="1"/>
  <c r="B2947" i="10" s="1"/>
  <c r="B2948" i="10" a="1"/>
  <c r="B2948" i="10" s="1"/>
  <c r="B2949" i="10" a="1"/>
  <c r="B2949" i="10" s="1"/>
  <c r="B2950" i="10" a="1"/>
  <c r="B2950" i="10" s="1"/>
  <c r="B2951" i="10" a="1"/>
  <c r="B2951" i="10" s="1"/>
  <c r="B2952" i="10" a="1"/>
  <c r="B2952" i="10" s="1"/>
  <c r="B2953" i="10" a="1"/>
  <c r="B2953" i="10" s="1"/>
  <c r="B2954" i="10" a="1"/>
  <c r="B2954" i="10" s="1"/>
  <c r="B2955" i="10" a="1"/>
  <c r="B2955" i="10" s="1"/>
  <c r="B2956" i="10" a="1"/>
  <c r="B2956" i="10" s="1"/>
  <c r="B2957" i="10" a="1"/>
  <c r="B2957" i="10" s="1"/>
  <c r="B2958" i="10" a="1"/>
  <c r="B2958" i="10" s="1"/>
  <c r="B2959" i="10" a="1"/>
  <c r="B2959" i="10" s="1"/>
  <c r="B2960" i="10" a="1"/>
  <c r="B2960" i="10" s="1"/>
  <c r="B2961" i="10" a="1"/>
  <c r="B2961" i="10" s="1"/>
  <c r="B2962" i="10" a="1"/>
  <c r="B2962" i="10" s="1"/>
  <c r="B2963" i="10" a="1"/>
  <c r="B2963" i="10" s="1"/>
  <c r="B2964" i="10" a="1"/>
  <c r="B2964" i="10" s="1"/>
  <c r="B2965" i="10" a="1"/>
  <c r="B2965" i="10" s="1"/>
  <c r="B2966" i="10" a="1"/>
  <c r="B2966" i="10" s="1"/>
  <c r="B2967" i="10" a="1"/>
  <c r="B2967" i="10" s="1"/>
  <c r="B2968" i="10" a="1"/>
  <c r="B2968" i="10" s="1"/>
  <c r="B2969" i="10" a="1"/>
  <c r="B2969" i="10" s="1"/>
  <c r="B2970" i="10" a="1"/>
  <c r="B2970" i="10" s="1"/>
  <c r="B2971" i="10" a="1"/>
  <c r="B2971" i="10" s="1"/>
  <c r="B2972" i="10" a="1"/>
  <c r="B2972" i="10" s="1"/>
  <c r="B2973" i="10" a="1"/>
  <c r="B2973" i="10" s="1"/>
  <c r="B2974" i="10" a="1"/>
  <c r="B2974" i="10" s="1"/>
  <c r="B2975" i="10" a="1"/>
  <c r="B2975" i="10" s="1"/>
  <c r="B2976" i="10" a="1"/>
  <c r="B2976" i="10" s="1"/>
  <c r="B2977" i="10" a="1"/>
  <c r="B2977" i="10" s="1"/>
  <c r="B2978" i="10" a="1"/>
  <c r="B2978" i="10" s="1"/>
  <c r="B2979" i="10" a="1"/>
  <c r="B2979" i="10" s="1"/>
  <c r="B2980" i="10" a="1"/>
  <c r="B2980" i="10" s="1"/>
  <c r="B2981" i="10" a="1"/>
  <c r="B2981" i="10" s="1"/>
  <c r="B2982" i="10" a="1"/>
  <c r="B2982" i="10" s="1"/>
  <c r="B2983" i="10" a="1"/>
  <c r="B2983" i="10" s="1"/>
  <c r="B2984" i="10" a="1"/>
  <c r="B2984" i="10" s="1"/>
  <c r="B2985" i="10" a="1"/>
  <c r="B2985" i="10" s="1"/>
  <c r="B2986" i="10" a="1"/>
  <c r="B2986" i="10" s="1"/>
  <c r="B2987" i="10" a="1"/>
  <c r="B2987" i="10" s="1"/>
  <c r="B2988" i="10" a="1"/>
  <c r="B2988" i="10" s="1"/>
  <c r="B2989" i="10" a="1"/>
  <c r="B2989" i="10" s="1"/>
  <c r="B2990" i="10" a="1"/>
  <c r="B2990" i="10" s="1"/>
  <c r="B2991" i="10" a="1"/>
  <c r="B2991" i="10" s="1"/>
  <c r="B2992" i="10" a="1"/>
  <c r="B2992" i="10" s="1"/>
  <c r="B2993" i="10" a="1"/>
  <c r="B2993" i="10" s="1"/>
  <c r="B2994" i="10" a="1"/>
  <c r="B2994" i="10" s="1"/>
  <c r="B2995" i="10" a="1"/>
  <c r="B2995" i="10" s="1"/>
  <c r="B2996" i="10" a="1"/>
  <c r="B2996" i="10" s="1"/>
  <c r="B2997" i="10" a="1"/>
  <c r="B2997" i="10" s="1"/>
  <c r="B2998" i="10" a="1"/>
  <c r="B2998" i="10" s="1"/>
  <c r="B2999" i="10" a="1"/>
  <c r="B2999" i="10" s="1"/>
  <c r="B3000" i="10" a="1"/>
  <c r="B3000" i="10" s="1"/>
  <c r="B3001" i="10" a="1"/>
  <c r="B3001" i="10" s="1"/>
  <c r="B3002" i="10" a="1"/>
  <c r="B3002" i="10" s="1"/>
  <c r="B3003" i="10" a="1"/>
  <c r="B3003" i="10" s="1"/>
  <c r="B3004" i="10" a="1"/>
  <c r="B3004" i="10" s="1"/>
  <c r="B3005" i="10" a="1"/>
  <c r="B3005" i="10" s="1"/>
  <c r="B3006" i="10" a="1"/>
  <c r="B3006" i="10" s="1"/>
  <c r="B3007" i="10" a="1"/>
  <c r="B3007" i="10" s="1"/>
  <c r="B3008" i="10" a="1"/>
  <c r="B3008" i="10" s="1"/>
  <c r="B3009" i="10" a="1"/>
  <c r="B3009" i="10" s="1"/>
  <c r="B3010" i="10" a="1"/>
  <c r="B3010" i="10" s="1"/>
  <c r="B3011" i="10" a="1"/>
  <c r="B3011" i="10" s="1"/>
  <c r="B3012" i="10" a="1"/>
  <c r="B3012" i="10" s="1"/>
  <c r="B3013" i="10" a="1"/>
  <c r="B3013" i="10" s="1"/>
  <c r="B3014" i="10" a="1"/>
  <c r="B3014" i="10" s="1"/>
  <c r="B3015" i="10" a="1"/>
  <c r="B3015" i="10" s="1"/>
  <c r="B3016" i="10" a="1"/>
  <c r="B3016" i="10" s="1"/>
  <c r="B3017" i="10" a="1"/>
  <c r="B3017" i="10" s="1"/>
  <c r="B3018" i="10" a="1"/>
  <c r="B3018" i="10" s="1"/>
  <c r="B3019" i="10" a="1"/>
  <c r="B3019" i="10" s="1"/>
  <c r="B3020" i="10" a="1"/>
  <c r="B3020" i="10" s="1"/>
  <c r="B3021" i="10" a="1"/>
  <c r="B3021" i="10" s="1"/>
  <c r="B3022" i="10" a="1"/>
  <c r="B3022" i="10" s="1"/>
  <c r="B3023" i="10" a="1"/>
  <c r="B3023" i="10" s="1"/>
  <c r="B3024" i="10" a="1"/>
  <c r="B3024" i="10" s="1"/>
  <c r="B3025" i="10" a="1"/>
  <c r="B3025" i="10" s="1"/>
  <c r="B3026" i="10" a="1"/>
  <c r="B3026" i="10" s="1"/>
  <c r="B3027" i="10" a="1"/>
  <c r="B3027" i="10" s="1"/>
  <c r="B3028" i="10" a="1"/>
  <c r="B3028" i="10" s="1"/>
  <c r="B3029" i="10" a="1"/>
  <c r="B3029" i="10" s="1"/>
  <c r="B3030" i="10" a="1"/>
  <c r="B3030" i="10" s="1"/>
  <c r="B3031" i="10" a="1"/>
  <c r="B3031" i="10" s="1"/>
  <c r="B3032" i="10" a="1"/>
  <c r="B3032" i="10" s="1"/>
  <c r="B3033" i="10" a="1"/>
  <c r="B3033" i="10" s="1"/>
  <c r="B3034" i="10" a="1"/>
  <c r="B3034" i="10" s="1"/>
  <c r="B3035" i="10" a="1"/>
  <c r="B3035" i="10" s="1"/>
  <c r="B3036" i="10" a="1"/>
  <c r="B3036" i="10" s="1"/>
  <c r="B3037" i="10" a="1"/>
  <c r="B3037" i="10" s="1"/>
  <c r="B3038" i="10" a="1"/>
  <c r="B3038" i="10" s="1"/>
  <c r="B3039" i="10" a="1"/>
  <c r="B3039" i="10" s="1"/>
  <c r="B3040" i="10" a="1"/>
  <c r="B3040" i="10" s="1"/>
  <c r="B3041" i="10" a="1"/>
  <c r="B3041" i="10" s="1"/>
  <c r="B3042" i="10" a="1"/>
  <c r="B3042" i="10" s="1"/>
  <c r="B3043" i="10" a="1"/>
  <c r="B3043" i="10" s="1"/>
  <c r="B3044" i="10" a="1"/>
  <c r="B3044" i="10" s="1"/>
  <c r="B3045" i="10" a="1"/>
  <c r="B3045" i="10" s="1"/>
  <c r="B3046" i="10" a="1"/>
  <c r="B3046" i="10" s="1"/>
  <c r="B3047" i="10" a="1"/>
  <c r="B3047" i="10" s="1"/>
  <c r="B3048" i="10" a="1"/>
  <c r="B3048" i="10" s="1"/>
  <c r="B3049" i="10" a="1"/>
  <c r="B3049" i="10" s="1"/>
  <c r="B3050" i="10" a="1"/>
  <c r="B3050" i="10" s="1"/>
  <c r="B3051" i="10" a="1"/>
  <c r="B3051" i="10" s="1"/>
  <c r="B3052" i="10" a="1"/>
  <c r="B3052" i="10" s="1"/>
  <c r="B3053" i="10" a="1"/>
  <c r="B3053" i="10" s="1"/>
  <c r="B3054" i="10" a="1"/>
  <c r="B3054" i="10" s="1"/>
  <c r="B3055" i="10" a="1"/>
  <c r="B3055" i="10" s="1"/>
  <c r="B3056" i="10" a="1"/>
  <c r="B3056" i="10" s="1"/>
  <c r="B3057" i="10" a="1"/>
  <c r="B3057" i="10" s="1"/>
  <c r="B3058" i="10" a="1"/>
  <c r="B3058" i="10" s="1"/>
  <c r="B3059" i="10" a="1"/>
  <c r="B3059" i="10" s="1"/>
  <c r="B3060" i="10" a="1"/>
  <c r="B3060" i="10" s="1"/>
  <c r="B3061" i="10" a="1"/>
  <c r="B3061" i="10" s="1"/>
  <c r="B3062" i="10" a="1"/>
  <c r="B3062" i="10" s="1"/>
  <c r="B3063" i="10" a="1"/>
  <c r="B3063" i="10" s="1"/>
  <c r="B3064" i="10" a="1"/>
  <c r="B3064" i="10" s="1"/>
  <c r="B3065" i="10" a="1"/>
  <c r="B3065" i="10" s="1"/>
  <c r="B3066" i="10" a="1"/>
  <c r="B3066" i="10" s="1"/>
  <c r="B3067" i="10" a="1"/>
  <c r="B3067" i="10" s="1"/>
  <c r="B3068" i="10" a="1"/>
  <c r="B3068" i="10" s="1"/>
  <c r="B3069" i="10" a="1"/>
  <c r="B3069" i="10" s="1"/>
  <c r="B3070" i="10" a="1"/>
  <c r="B3070" i="10" s="1"/>
  <c r="B3071" i="10" a="1"/>
  <c r="B3071" i="10" s="1"/>
  <c r="B3072" i="10" a="1"/>
  <c r="B3072" i="10" s="1"/>
  <c r="B3073" i="10" a="1"/>
  <c r="B3073" i="10" s="1"/>
  <c r="B3074" i="10" a="1"/>
  <c r="B3074" i="10" s="1"/>
  <c r="B3075" i="10" a="1"/>
  <c r="B3075" i="10" s="1"/>
  <c r="B3076" i="10" a="1"/>
  <c r="B3076" i="10" s="1"/>
  <c r="B3077" i="10" a="1"/>
  <c r="B3077" i="10" s="1"/>
  <c r="B3078" i="10" a="1"/>
  <c r="B3078" i="10" s="1"/>
  <c r="B3079" i="10" a="1"/>
  <c r="B3079" i="10" s="1"/>
  <c r="B3080" i="10" a="1"/>
  <c r="B3080" i="10" s="1"/>
  <c r="B3081" i="10" a="1"/>
  <c r="B3081" i="10" s="1"/>
  <c r="B3082" i="10" a="1"/>
  <c r="B3082" i="10" s="1"/>
  <c r="B3083" i="10" a="1"/>
  <c r="B3083" i="10" s="1"/>
  <c r="B3084" i="10" a="1"/>
  <c r="B3084" i="10" s="1"/>
  <c r="B3085" i="10" a="1"/>
  <c r="B3085" i="10" s="1"/>
  <c r="B3086" i="10" a="1"/>
  <c r="B3086" i="10" s="1"/>
  <c r="B3087" i="10" a="1"/>
  <c r="B3087" i="10" s="1"/>
  <c r="B3088" i="10" a="1"/>
  <c r="B3088" i="10" s="1"/>
  <c r="B3089" i="10" a="1"/>
  <c r="B3089" i="10" s="1"/>
  <c r="B3090" i="10" a="1"/>
  <c r="B3090" i="10" s="1"/>
  <c r="B3091" i="10" a="1"/>
  <c r="B3091" i="10" s="1"/>
  <c r="B3092" i="10" a="1"/>
  <c r="B3092" i="10" s="1"/>
  <c r="B3093" i="10" a="1"/>
  <c r="B3093" i="10" s="1"/>
  <c r="B3094" i="10" a="1"/>
  <c r="B3094" i="10" s="1"/>
  <c r="B3095" i="10" a="1"/>
  <c r="B3095" i="10" s="1"/>
  <c r="B3096" i="10" a="1"/>
  <c r="B3096" i="10" s="1"/>
  <c r="B3097" i="10" a="1"/>
  <c r="B3097" i="10" s="1"/>
  <c r="B3098" i="10" a="1"/>
  <c r="B3098" i="10" s="1"/>
  <c r="B3099" i="10" a="1"/>
  <c r="B3099" i="10" s="1"/>
  <c r="B3100" i="10" a="1"/>
  <c r="B3100" i="10" s="1"/>
  <c r="B3101" i="10" a="1"/>
  <c r="B3101" i="10" s="1"/>
  <c r="B3102" i="10" a="1"/>
  <c r="B3102" i="10" s="1"/>
  <c r="B3103" i="10" a="1"/>
  <c r="B3103" i="10" s="1"/>
  <c r="B3104" i="10" a="1"/>
  <c r="B3104" i="10" s="1"/>
  <c r="B3105" i="10" a="1"/>
  <c r="B3105" i="10" s="1"/>
  <c r="B3106" i="10" a="1"/>
  <c r="B3106" i="10" s="1"/>
  <c r="B3107" i="10" a="1"/>
  <c r="B3107" i="10" s="1"/>
  <c r="B3108" i="10" a="1"/>
  <c r="B3108" i="10" s="1"/>
  <c r="B3109" i="10" a="1"/>
  <c r="B3109" i="10" s="1"/>
  <c r="B3110" i="10" a="1"/>
  <c r="B3110" i="10" s="1"/>
  <c r="B3111" i="10" a="1"/>
  <c r="B3111" i="10" s="1"/>
  <c r="B3112" i="10" a="1"/>
  <c r="B3112" i="10" s="1"/>
  <c r="B3113" i="10" a="1"/>
  <c r="B3113" i="10" s="1"/>
  <c r="B3114" i="10" a="1"/>
  <c r="B3114" i="10" s="1"/>
  <c r="B3115" i="10" a="1"/>
  <c r="B3115" i="10" s="1"/>
  <c r="B3116" i="10" a="1"/>
  <c r="B3116" i="10" s="1"/>
  <c r="B3117" i="10" a="1"/>
  <c r="B3117" i="10" s="1"/>
  <c r="B3118" i="10" a="1"/>
  <c r="B3118" i="10" s="1"/>
  <c r="B3119" i="10" a="1"/>
  <c r="B3119" i="10" s="1"/>
  <c r="B3120" i="10" a="1"/>
  <c r="B3120" i="10" s="1"/>
  <c r="B3121" i="10" a="1"/>
  <c r="B3121" i="10" s="1"/>
  <c r="B3122" i="10" a="1"/>
  <c r="B3122" i="10" s="1"/>
  <c r="B3123" i="10" a="1"/>
  <c r="B3123" i="10" s="1"/>
  <c r="B3124" i="10" a="1"/>
  <c r="B3124" i="10" s="1"/>
  <c r="B3125" i="10" a="1"/>
  <c r="B3125" i="10" s="1"/>
  <c r="B3126" i="10" a="1"/>
  <c r="B3126" i="10" s="1"/>
  <c r="B3127" i="10" a="1"/>
  <c r="B3127" i="10" s="1"/>
  <c r="B3128" i="10" a="1"/>
  <c r="B3128" i="10" s="1"/>
  <c r="B3129" i="10" a="1"/>
  <c r="B3129" i="10" s="1"/>
  <c r="B3130" i="10" a="1"/>
  <c r="B3130" i="10" s="1"/>
  <c r="B3131" i="10" a="1"/>
  <c r="B3131" i="10" s="1"/>
  <c r="B3132" i="10" a="1"/>
  <c r="B3132" i="10" s="1"/>
  <c r="B3133" i="10" a="1"/>
  <c r="B3133" i="10" s="1"/>
  <c r="B3134" i="10" a="1"/>
  <c r="B3134" i="10" s="1"/>
  <c r="B3135" i="10" a="1"/>
  <c r="B3135" i="10" s="1"/>
  <c r="B3136" i="10" a="1"/>
  <c r="B3136" i="10" s="1"/>
  <c r="B3137" i="10" a="1"/>
  <c r="B3137" i="10" s="1"/>
  <c r="B3138" i="10" a="1"/>
  <c r="B3138" i="10" s="1"/>
  <c r="B3139" i="10" a="1"/>
  <c r="B3139" i="10" s="1"/>
  <c r="B3140" i="10" a="1"/>
  <c r="B3140" i="10" s="1"/>
  <c r="B3141" i="10" a="1"/>
  <c r="B3141" i="10" s="1"/>
  <c r="B3142" i="10" a="1"/>
  <c r="B3142" i="10" s="1"/>
  <c r="B3143" i="10" a="1"/>
  <c r="B3143" i="10" s="1"/>
  <c r="B3144" i="10" a="1"/>
  <c r="B3144" i="10" s="1"/>
  <c r="B3145" i="10" a="1"/>
  <c r="B3145" i="10" s="1"/>
  <c r="B3146" i="10" a="1"/>
  <c r="B3146" i="10" s="1"/>
  <c r="B3147" i="10" a="1"/>
  <c r="B3147" i="10" s="1"/>
  <c r="B3148" i="10" a="1"/>
  <c r="B3148" i="10" s="1"/>
  <c r="B3149" i="10" a="1"/>
  <c r="B3149" i="10" s="1"/>
  <c r="B3150" i="10" a="1"/>
  <c r="B3150" i="10" s="1"/>
  <c r="B3151" i="10" a="1"/>
  <c r="B3151" i="10" s="1"/>
  <c r="B3152" i="10" a="1"/>
  <c r="B3152" i="10" s="1"/>
  <c r="B3153" i="10" a="1"/>
  <c r="B3153" i="10" s="1"/>
  <c r="B3154" i="10" a="1"/>
  <c r="B3154" i="10" s="1"/>
  <c r="B3155" i="10" a="1"/>
  <c r="B3155" i="10" s="1"/>
  <c r="B3156" i="10" a="1"/>
  <c r="B3156" i="10" s="1"/>
  <c r="B3157" i="10" a="1"/>
  <c r="B3157" i="10" s="1"/>
  <c r="B3158" i="10" a="1"/>
  <c r="B3158" i="10" s="1"/>
  <c r="B3159" i="10" a="1"/>
  <c r="B3159" i="10" s="1"/>
  <c r="B3160" i="10" a="1"/>
  <c r="B3160" i="10" s="1"/>
  <c r="B3161" i="10" a="1"/>
  <c r="B3161" i="10" s="1"/>
  <c r="B3162" i="10" a="1"/>
  <c r="B3162" i="10" s="1"/>
  <c r="B3163" i="10" a="1"/>
  <c r="B3163" i="10" s="1"/>
  <c r="B3164" i="10" a="1"/>
  <c r="B3164" i="10" s="1"/>
  <c r="B3165" i="10" a="1"/>
  <c r="B3165" i="10" s="1"/>
  <c r="B3166" i="10" a="1"/>
  <c r="B3166" i="10" s="1"/>
  <c r="B3167" i="10" a="1"/>
  <c r="B3167" i="10" s="1"/>
  <c r="B3168" i="10" a="1"/>
  <c r="B3168" i="10" s="1"/>
  <c r="B3169" i="10" a="1"/>
  <c r="B3169" i="10" s="1"/>
  <c r="B3170" i="10" a="1"/>
  <c r="B3170" i="10" s="1"/>
  <c r="B3171" i="10" a="1"/>
  <c r="B3171" i="10" s="1"/>
  <c r="B3172" i="10" a="1"/>
  <c r="B3172" i="10" s="1"/>
  <c r="B3173" i="10" a="1"/>
  <c r="B3173" i="10" s="1"/>
  <c r="B3174" i="10" a="1"/>
  <c r="B3174" i="10" s="1"/>
  <c r="B3175" i="10" a="1"/>
  <c r="B3175" i="10" s="1"/>
  <c r="B3176" i="10" a="1"/>
  <c r="B3176" i="10" s="1"/>
  <c r="B3177" i="10" a="1"/>
  <c r="B3177" i="10" s="1"/>
  <c r="B3178" i="10" a="1"/>
  <c r="B3178" i="10" s="1"/>
  <c r="B3179" i="10" a="1"/>
  <c r="B3179" i="10" s="1"/>
  <c r="B3180" i="10" a="1"/>
  <c r="B3180" i="10" s="1"/>
  <c r="B3181" i="10" a="1"/>
  <c r="B3181" i="10" s="1"/>
  <c r="B3182" i="10" a="1"/>
  <c r="B3182" i="10" s="1"/>
  <c r="B3183" i="10" a="1"/>
  <c r="B3183" i="10" s="1"/>
  <c r="B3184" i="10" a="1"/>
  <c r="B3184" i="10" s="1"/>
  <c r="B3185" i="10" a="1"/>
  <c r="B3185" i="10" s="1"/>
  <c r="B3186" i="10" a="1"/>
  <c r="B3186" i="10" s="1"/>
  <c r="B3187" i="10" a="1"/>
  <c r="B3187" i="10" s="1"/>
  <c r="B3188" i="10" a="1"/>
  <c r="B3188" i="10" s="1"/>
  <c r="B3189" i="10" a="1"/>
  <c r="B3189" i="10" s="1"/>
  <c r="B3190" i="10" a="1"/>
  <c r="B3190" i="10" s="1"/>
  <c r="A2" i="10" a="1"/>
  <c r="P2" i="10" l="1"/>
  <c r="O2" i="10" s="1"/>
  <c r="F4" i="10" a="1"/>
  <c r="F4" i="10" s="1"/>
  <c r="F8" i="10" a="1"/>
  <c r="F8" i="10" s="1"/>
  <c r="F11" i="10" a="1"/>
  <c r="F11" i="10" s="1"/>
  <c r="F5" i="10" a="1"/>
  <c r="F5" i="10" s="1"/>
  <c r="F9" i="10" a="1"/>
  <c r="F9" i="10" s="1"/>
  <c r="F12" i="10" a="1"/>
  <c r="F12" i="10" s="1"/>
  <c r="F6" i="10" a="1"/>
  <c r="F6" i="10" s="1"/>
  <c r="F10" i="10" a="1"/>
  <c r="F10" i="10" s="1"/>
  <c r="F13" i="10" a="1"/>
  <c r="F13" i="10" s="1"/>
  <c r="F3" i="10" a="1"/>
  <c r="F3" i="10" s="1"/>
  <c r="F7" i="10" a="1"/>
  <c r="F7" i="10" s="1"/>
  <c r="F14" i="10" a="1"/>
  <c r="F14" i="10" s="1"/>
  <c r="J24" i="10" a="1"/>
  <c r="J24" i="10" s="1"/>
  <c r="J18" i="10" a="1"/>
  <c r="J18" i="10" s="1"/>
  <c r="J14" i="10" a="1"/>
  <c r="J14" i="10" s="1"/>
  <c r="J11" i="10" a="1"/>
  <c r="J11" i="10" s="1"/>
  <c r="J8" i="10" a="1"/>
  <c r="J8" i="10" s="1"/>
  <c r="J23" i="10" a="1"/>
  <c r="J23" i="10" s="1"/>
  <c r="J20" i="10" a="1"/>
  <c r="J20" i="10" s="1"/>
  <c r="J17" i="10" a="1"/>
  <c r="J17" i="10" s="1"/>
  <c r="J13" i="10" a="1"/>
  <c r="J13" i="10" s="1"/>
  <c r="J7" i="10" a="1"/>
  <c r="J7" i="10" s="1"/>
  <c r="J4" i="10" a="1"/>
  <c r="J4" i="10" s="1"/>
  <c r="J22" i="10" a="1"/>
  <c r="J22" i="10" s="1"/>
  <c r="J19" i="10" a="1"/>
  <c r="J19" i="10" s="1"/>
  <c r="J16" i="10" a="1"/>
  <c r="J16" i="10" s="1"/>
  <c r="J10" i="10" a="1"/>
  <c r="J10" i="10" s="1"/>
  <c r="J6" i="10" a="1"/>
  <c r="J6" i="10" s="1"/>
  <c r="J3" i="10" a="1"/>
  <c r="J3" i="10" s="1"/>
  <c r="J21" i="10" a="1"/>
  <c r="J21" i="10" s="1"/>
  <c r="J15" i="10" a="1"/>
  <c r="J15" i="10" s="1"/>
  <c r="J12" i="10" a="1"/>
  <c r="J12" i="10" s="1"/>
  <c r="J9" i="10" a="1"/>
  <c r="J9" i="10" s="1"/>
  <c r="J5" i="10" a="1"/>
  <c r="J5" i="10" s="1"/>
  <c r="A2" i="10"/>
  <c r="B5" i="10" a="1"/>
  <c r="B5" i="10" s="1"/>
  <c r="B9" i="10" a="1"/>
  <c r="B9" i="10" s="1"/>
  <c r="B13" i="10" a="1"/>
  <c r="B13" i="10" s="1"/>
  <c r="B6" i="10" a="1"/>
  <c r="B6" i="10" s="1"/>
  <c r="B10" i="10" a="1"/>
  <c r="B10" i="10" s="1"/>
  <c r="B14" i="10" a="1"/>
  <c r="B14" i="10" s="1"/>
  <c r="B4" i="10" a="1"/>
  <c r="B4" i="10" s="1"/>
  <c r="B12" i="10" a="1"/>
  <c r="B12" i="10" s="1"/>
  <c r="B3" i="10" a="1"/>
  <c r="B3" i="10" s="1"/>
  <c r="B7" i="10" a="1"/>
  <c r="B7" i="10" s="1"/>
  <c r="B11" i="10" a="1"/>
  <c r="B11" i="10" s="1"/>
  <c r="B8" i="10" a="1"/>
  <c r="B8" i="10" s="1"/>
  <c r="K4" i="10" a="1"/>
  <c r="G4" i="10" a="1"/>
  <c r="K4" i="10" l="1"/>
  <c r="L2" i="10"/>
  <c r="K2" i="10" s="1"/>
  <c r="G4" i="10"/>
  <c r="H2" i="10"/>
  <c r="G2" i="10" s="1"/>
  <c r="B2" i="10" a="1"/>
  <c r="B2" i="10" s="1"/>
  <c r="D2" i="10" s="1"/>
  <c r="C2" i="10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C4" i="10" a="1"/>
  <c r="C4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F8352C-AA76-4183-891D-758E4ADD3ADE}" keepAlive="1" name="ThisWorkbookDataModel" description="Veri Model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DB1FFD4-77EA-4FA9-9A8D-0F7395A6F3E1}" name="WorksheetConnection_TNC_Veri_Seti.xlsx!Tablo3" type="102" refreshedVersion="8" minRefreshableVersion="5">
    <extLst>
      <ext xmlns:x15="http://schemas.microsoft.com/office/spreadsheetml/2010/11/main" uri="{DE250136-89BD-433C-8126-D09CA5730AF9}">
        <x15:connection id="Tablo3">
          <x15:rangePr sourceName="_xlcn.WorksheetConnection_TNC_Veri_Seti.xlsxTablo3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<sst xmlns="http://schemas.openxmlformats.org/spreadsheetml/2006/main" count="11820" uniqueCount="86">
  <si>
    <t>Personel Ad</t>
  </si>
  <si>
    <t>Urun Ad</t>
  </si>
  <si>
    <t>Satış Adet</t>
  </si>
  <si>
    <t>Birim Fiyat</t>
  </si>
  <si>
    <t>Toplam Sipariş Tutarı</t>
  </si>
  <si>
    <t>Ürün Kar Tutarı</t>
  </si>
  <si>
    <t>Ay</t>
  </si>
  <si>
    <t>Şehirler</t>
  </si>
  <si>
    <t>Özgür Ertekin</t>
  </si>
  <si>
    <t>Bulaşık Makinesi Beyaz</t>
  </si>
  <si>
    <t>Ocak</t>
  </si>
  <si>
    <t>Kocaeli</t>
  </si>
  <si>
    <t>Serdal Yücel</t>
  </si>
  <si>
    <t>Mikrodalga Fırın Beyaz</t>
  </si>
  <si>
    <t>Gaziantep</t>
  </si>
  <si>
    <t>Gülşah Akbulut</t>
  </si>
  <si>
    <t>Buzdolabı İki Kapaklı Beyaz</t>
  </si>
  <si>
    <t>Ankara</t>
  </si>
  <si>
    <t>Gamze Erkuran</t>
  </si>
  <si>
    <t>Ütü Siyah</t>
  </si>
  <si>
    <t>Konya</t>
  </si>
  <si>
    <t>Kahve Makinesi Y Marka</t>
  </si>
  <si>
    <t>Ali Kandemir</t>
  </si>
  <si>
    <t>Çamaşır Makinesi Gri</t>
  </si>
  <si>
    <t>Hatay</t>
  </si>
  <si>
    <t>Derin Dondurucu Gri</t>
  </si>
  <si>
    <t>Ocak Beyaz</t>
  </si>
  <si>
    <t>Antalya</t>
  </si>
  <si>
    <t>Tost Makinesi Gri X Marka</t>
  </si>
  <si>
    <t>Adana</t>
  </si>
  <si>
    <t>Reyhan Uyanık</t>
  </si>
  <si>
    <t>Mikrodalga Fırın Gri</t>
  </si>
  <si>
    <t>Tost Makinesi Gri Y Marka</t>
  </si>
  <si>
    <t>Yücel Öztürk</t>
  </si>
  <si>
    <t>Çamaşır Makinesi Beyaz</t>
  </si>
  <si>
    <t>Şanlıurfa</t>
  </si>
  <si>
    <t>Bedriye Vural</t>
  </si>
  <si>
    <t>Buzdolabı Dört Kapılı Gri</t>
  </si>
  <si>
    <t>Miraç Tüten</t>
  </si>
  <si>
    <t>Bursa</t>
  </si>
  <si>
    <t>İzmir</t>
  </si>
  <si>
    <t>Davlumbaz Gri X Marka</t>
  </si>
  <si>
    <t>Diyarbakır</t>
  </si>
  <si>
    <t>Fırın Beyaz</t>
  </si>
  <si>
    <t>Mersin</t>
  </si>
  <si>
    <t>Derin Dondurucu Beyaz</t>
  </si>
  <si>
    <t>Ferdi Dede</t>
  </si>
  <si>
    <t>Şubat</t>
  </si>
  <si>
    <t>Zeynep Şen</t>
  </si>
  <si>
    <t>Kahve Makinesi X Marka</t>
  </si>
  <si>
    <t>Ocak Siyah</t>
  </si>
  <si>
    <t>Ütü Mor</t>
  </si>
  <si>
    <t>İstanbul</t>
  </si>
  <si>
    <t>Buzdolabı İki Kapılı Gri</t>
  </si>
  <si>
    <t>Bulaşık Makinesi Gri</t>
  </si>
  <si>
    <t>Davlumbaz Gri Y Marka</t>
  </si>
  <si>
    <t>Fırın Siyah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</si>
  <si>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</si>
  <si>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</si>
  <si>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</si>
  <si>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</si>
  <si>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</si>
  <si>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</si>
  <si>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</si>
  <si>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</si>
  <si>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</si>
  <si>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</si>
  <si>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Mertcan Ülker</t>
  </si>
  <si>
    <t>Satır Etiketleri</t>
  </si>
  <si>
    <t>Genel Toplam</t>
  </si>
  <si>
    <t>Toplam Toplam Sipariş Tutarı</t>
  </si>
  <si>
    <t>Toplam veri: Toplam Sipariş Tutarı</t>
  </si>
  <si>
    <t>Toplam Ürün Kar Tutarı</t>
  </si>
  <si>
    <t>Toplam veri: Satış Adet</t>
  </si>
  <si>
    <r>
      <rPr>
        <b/>
        <sz val="14"/>
        <color theme="2"/>
        <rFont val="Calibri"/>
        <family val="2"/>
        <charset val="162"/>
      </rPr>
      <t>👥</t>
    </r>
    <r>
      <rPr>
        <b/>
        <sz val="12"/>
        <color theme="2"/>
        <rFont val="Calibri"/>
        <family val="2"/>
        <charset val="162"/>
      </rPr>
      <t xml:space="preserve"> PERSONELLERE GÖRE SATIŞ VE KÂR</t>
    </r>
  </si>
  <si>
    <t>📊 AYLARA GÖRE TOPLAM SATIŞLAR</t>
  </si>
  <si>
    <t>🏙️ ŞEHİRLERE GÖRE SATIŞ DAĞILIMI</t>
  </si>
  <si>
    <t>📦 ÜRÜNLERE GÖRE SATIŞ ADEDİ</t>
  </si>
  <si>
    <t>📊 Satış Performans Dashboardu</t>
  </si>
  <si>
    <t>Toplam Satış Adet</t>
  </si>
  <si>
    <t>Personel Analizi</t>
  </si>
  <si>
    <t>AY ANALİZİ</t>
  </si>
  <si>
    <t>Ürün Kar tutarına göre personel Sıralama</t>
  </si>
  <si>
    <t>Ürün Kar tutarına göre şehir Sıralama</t>
  </si>
  <si>
    <t>Ürün Kar tutarına göre ürün Sıralama</t>
  </si>
  <si>
    <t>Ürün Kar tutarına göre ay Sıralama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</si>
</sst>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-* #,##0\ &quot;₺&quot;_-;\-* #,##0\ &quot;₺&quot;_-;_-* &quot;-&quot;\ &quot;₺&quot;_-;_-@_-"/>
    <numFmt numFmtId="164" formatCode="_-[$₺-41F]* #,##0_-;\-[$₺-41F]* #,##0_-;_-[$₺-41F]* &quot;-&quot;??_-;_-@_-"/>
    <numFmt numFmtId="165" formatCode="_-&quot;₺&quot;* #,##0_-;\-&quot;₺&quot;* #,##0_-;_-&quot;₺&quot;* &quot;-&quot;??_-;_-@_-"/>
    <numFmt numFmtId="166" formatCode="_-* #,##0\ &quot;₺&quot;_-;\-* #,##0\ &quot;₺&quot;_-;_-* &quot;-&quot;??\ &quot;₺&quot;_-;_-@_-"/>
  </numFmts>
  <fonts count="11" x14ac:knownFonts="1">
    <font>
      <sz val="11"/>
      <color theme="1"/>
      <name val="Aptos Narrow"/>
      <family val="2"/>
      <charset val="162"/>
      <scheme val="minor"/>
    </font>
    <font>
      <i/>
      <sz val="11"/>
      <color theme="1"/>
      <name val="Aptos Narrow"/>
      <family val="2"/>
      <scheme val="minor"/>
    </font>
    <font>
      <sz val="11"/>
      <color theme="2"/>
      <name val="Aptos Narrow"/>
      <family val="2"/>
      <charset val="162"/>
      <scheme val="minor"/>
    </font>
    <font>
      <b/>
      <sz val="11"/>
      <color theme="2"/>
      <name val="Aptos Narrow"/>
      <family val="2"/>
      <scheme val="minor"/>
    </font>
    <font>
      <b/>
      <sz val="11"/>
      <color theme="2"/>
      <name val="Calibri"/>
      <family val="2"/>
      <charset val="162"/>
    </font>
    <font>
      <b/>
      <sz val="14"/>
      <color theme="2"/>
      <name val="Calibri"/>
      <family val="2"/>
      <charset val="162"/>
    </font>
    <font>
      <b/>
      <sz val="12"/>
      <color theme="2"/>
      <name val="Calibri"/>
      <family val="2"/>
      <charset val="162"/>
    </font>
    <font>
      <b/>
      <sz val="18"/>
      <color theme="1"/>
      <name val="Calibri"/>
      <family val="2"/>
      <charset val="162"/>
    </font>
    <font>
      <b/>
      <sz val="22"/>
      <color theme="1"/>
      <name val="Aptos Narrow"/>
      <family val="2"/>
      <scheme val="minor"/>
    </font>
    <font>
      <sz val="12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0" fillId="0" borderId="1" xfId="0" pivotButton="1" applyBorder="1"/>
    <xf numFmtId="165" fontId="0" fillId="0" borderId="1" xfId="0" applyNumberFormat="1" applyBorder="1"/>
    <xf numFmtId="0" fontId="0" fillId="0" borderId="1" xfId="0" applyBorder="1" applyAlignment="1">
      <alignment horizontal="left"/>
    </xf>
    <xf numFmtId="0" fontId="6" fillId="2" borderId="1" xfId="0" applyFont="1" applyFill="1" applyBorder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6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4" xfId="0" pivotButton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9" fillId="0" borderId="13" xfId="0" applyFont="1" applyBorder="1" applyAlignment="1">
      <alignment horizontal="left"/>
    </xf>
    <xf numFmtId="3" fontId="9" fillId="0" borderId="5" xfId="0" applyNumberFormat="1" applyFont="1" applyBorder="1"/>
    <xf numFmtId="42" fontId="9" fillId="0" borderId="6" xfId="0" applyNumberFormat="1" applyFont="1" applyBorder="1"/>
    <xf numFmtId="42" fontId="9" fillId="0" borderId="7" xfId="0" applyNumberFormat="1" applyFont="1" applyBorder="1"/>
    <xf numFmtId="0" fontId="9" fillId="0" borderId="14" xfId="0" applyFont="1" applyBorder="1" applyAlignment="1">
      <alignment horizontal="left"/>
    </xf>
    <xf numFmtId="3" fontId="9" fillId="0" borderId="8" xfId="0" applyNumberFormat="1" applyFont="1" applyBorder="1"/>
    <xf numFmtId="42" fontId="9" fillId="0" borderId="0" xfId="0" applyNumberFormat="1" applyFont="1"/>
    <xf numFmtId="42" fontId="9" fillId="0" borderId="9" xfId="0" applyNumberFormat="1" applyFont="1" applyBorder="1"/>
    <xf numFmtId="0" fontId="9" fillId="0" borderId="1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3" fontId="9" fillId="0" borderId="10" xfId="0" applyNumberFormat="1" applyFont="1" applyBorder="1"/>
    <xf numFmtId="42" fontId="9" fillId="0" borderId="11" xfId="0" applyNumberFormat="1" applyFont="1" applyBorder="1"/>
    <xf numFmtId="42" fontId="9" fillId="0" borderId="12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5" xfId="0" pivotButton="1" applyBorder="1"/>
    <xf numFmtId="0" fontId="0" fillId="0" borderId="10" xfId="0" applyBorder="1"/>
    <xf numFmtId="166" fontId="0" fillId="0" borderId="9" xfId="0" applyNumberFormat="1" applyBorder="1"/>
    <xf numFmtId="166" fontId="0" fillId="0" borderId="12" xfId="0" applyNumberFormat="1" applyBorder="1"/>
    <xf numFmtId="0" fontId="0" fillId="0" borderId="19" xfId="0" applyBorder="1"/>
    <xf numFmtId="166" fontId="0" fillId="0" borderId="11" xfId="0" applyNumberFormat="1" applyBorder="1"/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2" fontId="0" fillId="0" borderId="0" xfId="0" applyNumberFormat="1"/>
  </cellXfs>
  <cellStyles count="1">
    <cellStyle name="Normal" xfId="0" builtinId="0"/>
  </cellStyles>
  <dxfs count="107">
    <dxf>
      <fill>
        <patternFill>
          <bgColor theme="0" tint="-0.2499465926084170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₺-41F]* #,##0_-;\-[$₺-41F]* #,##0_-;_-[$₺-41F]* &quot;-&quot;??_-;_-@_-"/>
    </dxf>
    <dxf>
      <numFmt numFmtId="164" formatCode="_-[$₺-41F]* #,##0_-;\-[$₺-41F]* #,##0_-;_-[$₺-41F]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&quot;₺&quot;* #,##0_-;\-&quot;₺&quot;* #,##0_-;_-&quot;₺&quot;* &quot;-&quot;??_-;_-@_-"/>
    </dxf>
    <dxf>
      <numFmt numFmtId="165" formatCode="_-&quot;₺&quot;* #,##0_-;\-&quot;₺&quot;* #,##0_-;_-&quot;₺&quot;* &quot;-&quot;??_-;_-@_-"/>
    </dxf>
    <dxf>
      <numFmt numFmtId="166" formatCode="_-* #,##0\ &quot;₺&quot;_-;\-* #,##0\ &quot;₺&quot;_-;_-* &quot;-&quot;??\ &quot;₺&quot;_-;_-@_-"/>
    </dxf>
    <dxf>
      <numFmt numFmtId="166" formatCode="_-* #,##0\ &quot;₺&quot;_-;\-* #,##0\ &quot;₺&quot;_-;_-* &quot;-&quot;??\ &quot;₺&quot;_-;_-@_-"/>
    </dxf>
    <dxf>
      <numFmt numFmtId="3" formatCode="#,##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62"/>
        <scheme val="minor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2" tint="-9.9948118533890809E-2"/>
        </patternFill>
      </fill>
    </dxf>
  </dxfs>
  <tableStyles count="2" defaultTableStyle="TableStyleMedium2" defaultPivotStyle="PivotStyleLight16">
    <tableStyle name="Dilimleyici Stili 1" pivot="0" table="0" count="2" xr9:uid="{0D9E55DF-EA3C-4A6A-8813-9D2F75E8A530}">
      <tableStyleElement type="wholeTable" dxfId="106"/>
    </tableStyle>
    <tableStyle name="Dilimleyici Stili 2" pivot="0" table="0" count="5" xr9:uid="{15184987-072F-404A-8B0B-A074DC2F6D53}">
      <tableStyleElement type="wholeTable" dxfId="0"/>
    </tableStyle>
  </tableStyles>
  <extLst>
    <ext xmlns:x14="http://schemas.microsoft.com/office/spreadsheetml/2009/9/main" uri="{46F421CA-312F-682f-3DD2-61675219B42D}">
      <x14:dxfs count="5">
        <dxf>
          <fill>
            <patternFill>
              <bgColor theme="7" tint="0.79998168889431442"/>
            </patternFill>
          </fill>
        </dxf>
        <dxf>
          <fill>
            <patternFill>
              <bgColor theme="9" tint="0.59996337778862885"/>
            </patternFill>
          </fill>
        </dxf>
        <dxf>
          <fill>
            <patternFill>
              <bgColor theme="5" tint="0.79998168889431442"/>
            </patternFill>
          </fill>
        </dxf>
        <dxf>
          <fill>
            <patternFill>
              <bgColor theme="5" tint="0.79998168889431442"/>
            </patternFill>
          </fill>
        </dxf>
        <dxf>
          <fill>
            <patternFill>
              <bgColor theme="7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ilimleyici Stili 1">
          <x14:slicerStyleElements>
            <x14:slicerStyleElement type="selectedItemWithData" dxfId="4"/>
          </x14:slicerStyleElements>
        </x14:slicerStyle>
        <x14:slicerStyle name="Dilimleyici Stili 2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microsoft.com/office/2007/relationships/slicerCache" Target="slicerCaches/slicerCache5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07/relationships/slicerCache" Target="slicerCaches/slicerCache4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microsoft.com/office/2007/relationships/slicerCache" Target="slicerCaches/slicerCache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1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600" b="1"/>
              <a:t>Personel</a:t>
            </a:r>
            <a:r>
              <a:rPr lang="tr-TR" sz="1600" b="1" baseline="0"/>
              <a:t> Sıralaması</a:t>
            </a:r>
            <a:endParaRPr lang="tr-T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0"/>
              <c:layout>
                <c:manualLayout>
                  <c:x val="-6.890190972222222E-3"/>
                  <c:y val="1.64209981898112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0D-40DD-A737-2F963FCF88A4}"/>
                </c:ext>
              </c:extLst>
            </c:dLbl>
            <c:dLbl>
              <c:idx val="11"/>
              <c:layout>
                <c:manualLayout>
                  <c:x val="9.5462125056446773E-4"/>
                  <c:y val="-3.4722222222222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58399437096884"/>
                      <c:h val="0.187083333333333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40D-40DD-A737-2F963FCF8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'Genel DashboardHesap'!$C$4:$C$15</c:f>
              <c:strCache>
                <c:ptCount val="12"/>
                <c:pt idx="0">
                  <c:v>Gamze Erkuran</c:v>
                </c:pt>
                <c:pt idx="1">
                  <c:v>Ferdi Dede</c:v>
                </c:pt>
                <c:pt idx="2">
                  <c:v>Yücel Öztürk</c:v>
                </c:pt>
                <c:pt idx="3">
                  <c:v>Zeynep Şen</c:v>
                </c:pt>
                <c:pt idx="4">
                  <c:v>Ali Kandemir</c:v>
                </c:pt>
                <c:pt idx="5">
                  <c:v>Mertcan Ülker</c:v>
                </c:pt>
                <c:pt idx="6">
                  <c:v>Özgür Ertekin</c:v>
                </c:pt>
                <c:pt idx="7">
                  <c:v>Reyhan Uyanık</c:v>
                </c:pt>
                <c:pt idx="8">
                  <c:v>Miraç Tüten</c:v>
                </c:pt>
                <c:pt idx="9">
                  <c:v>Gülşah Akbulut</c:v>
                </c:pt>
                <c:pt idx="10">
                  <c:v>Serdal Yücel</c:v>
                </c:pt>
                <c:pt idx="11">
                  <c:v>Bedriye Vural</c:v>
                </c:pt>
              </c:strCache>
            </c:strRef>
          </c:cat>
          <c:val>
            <c:numRef>
              <c:f>'Genel DashboardHesap'!$D$4:$D$15</c:f>
              <c:numCache>
                <c:formatCode>_-* #,##0\ "₺"_-;\-* #,##0\ "₺"_-;_-* "-"??\ "₺"_-;_-@_-</c:formatCode>
                <c:ptCount val="12"/>
                <c:pt idx="0">
                  <c:v>332410</c:v>
                </c:pt>
                <c:pt idx="1">
                  <c:v>541115</c:v>
                </c:pt>
                <c:pt idx="2">
                  <c:v>550340</c:v>
                </c:pt>
                <c:pt idx="3">
                  <c:v>629970</c:v>
                </c:pt>
                <c:pt idx="4">
                  <c:v>655130</c:v>
                </c:pt>
                <c:pt idx="5">
                  <c:v>750940</c:v>
                </c:pt>
                <c:pt idx="6">
                  <c:v>833410</c:v>
                </c:pt>
                <c:pt idx="7">
                  <c:v>916070</c:v>
                </c:pt>
                <c:pt idx="8">
                  <c:v>929005</c:v>
                </c:pt>
                <c:pt idx="9">
                  <c:v>972270</c:v>
                </c:pt>
                <c:pt idx="10">
                  <c:v>1012925</c:v>
                </c:pt>
                <c:pt idx="11">
                  <c:v>1098330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D-40DD-A737-2F963FCF88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92454832"/>
        <c:axId val="292455312"/>
      </c:barChart>
      <c:catAx>
        <c:axId val="29245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92455312"/>
        <c:crosses val="autoZero"/>
        <c:auto val="1"/>
        <c:lblAlgn val="ctr"/>
        <c:lblOffset val="100"/>
        <c:noMultiLvlLbl val="0"/>
      </c:catAx>
      <c:valAx>
        <c:axId val="292455312"/>
        <c:scaling>
          <c:orientation val="minMax"/>
        </c:scaling>
        <c:delete val="1"/>
        <c:axPos val="b"/>
        <c:numFmt formatCode="_-* #,##0\ &quot;₺&quot;_-;\-* #,##0\ &quot;₺&quot;_-;_-* &quot;-&quot;??\ &quot;₺&quot;_-;_-@_-" sourceLinked="1"/>
        <c:majorTickMark val="none"/>
        <c:minorTickMark val="none"/>
        <c:tickLblPos val="nextTo"/>
        <c:crossAx val="29245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600" b="1"/>
              <a:t>Şehir Sıralaması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'Genel DashboardHesap'!$G$4:$G$16</c:f>
              <c:strCache>
                <c:ptCount val="13"/>
                <c:pt idx="0">
                  <c:v>Konya</c:v>
                </c:pt>
                <c:pt idx="1">
                  <c:v>Şanlıurfa</c:v>
                </c:pt>
                <c:pt idx="2">
                  <c:v>Gaziantep</c:v>
                </c:pt>
                <c:pt idx="3">
                  <c:v>Kocaeli</c:v>
                </c:pt>
                <c:pt idx="4">
                  <c:v>Ankara</c:v>
                </c:pt>
                <c:pt idx="5">
                  <c:v>Mersin</c:v>
                </c:pt>
                <c:pt idx="6">
                  <c:v>İzmir</c:v>
                </c:pt>
                <c:pt idx="7">
                  <c:v>İstanbul</c:v>
                </c:pt>
                <c:pt idx="8">
                  <c:v>Hatay</c:v>
                </c:pt>
                <c:pt idx="9">
                  <c:v>Bursa</c:v>
                </c:pt>
                <c:pt idx="10">
                  <c:v>Antalya</c:v>
                </c:pt>
                <c:pt idx="11">
                  <c:v>Diyarbakır</c:v>
                </c:pt>
                <c:pt idx="12">
                  <c:v>Adana</c:v>
                </c:pt>
              </c:strCache>
            </c:strRef>
          </c:cat>
          <c:val>
            <c:numRef>
              <c:f>'Genel DashboardHesap'!$H$4:$H$16</c:f>
              <c:numCache>
                <c:formatCode>_-* #,##0\ "₺"_-;\-* #,##0\ "₺"_-;_-* "-"??\ "₺"_-;_-@_-</c:formatCode>
                <c:ptCount val="13"/>
                <c:pt idx="0">
                  <c:v>601310</c:v>
                </c:pt>
                <c:pt idx="1">
                  <c:v>669965</c:v>
                </c:pt>
                <c:pt idx="2">
                  <c:v>679185</c:v>
                </c:pt>
                <c:pt idx="3">
                  <c:v>683740</c:v>
                </c:pt>
                <c:pt idx="4">
                  <c:v>686145</c:v>
                </c:pt>
                <c:pt idx="5">
                  <c:v>690730</c:v>
                </c:pt>
                <c:pt idx="6">
                  <c:v>694370</c:v>
                </c:pt>
                <c:pt idx="7">
                  <c:v>696705</c:v>
                </c:pt>
                <c:pt idx="8">
                  <c:v>700610</c:v>
                </c:pt>
                <c:pt idx="9">
                  <c:v>756385</c:v>
                </c:pt>
                <c:pt idx="10">
                  <c:v>760790</c:v>
                </c:pt>
                <c:pt idx="11">
                  <c:v>793740</c:v>
                </c:pt>
                <c:pt idx="12">
                  <c:v>808240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F-40A0-BAA8-7D7FB95FA6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1911151"/>
        <c:axId val="881891951"/>
      </c:barChart>
      <c:catAx>
        <c:axId val="88191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81891951"/>
        <c:crosses val="autoZero"/>
        <c:auto val="1"/>
        <c:lblAlgn val="ctr"/>
        <c:lblOffset val="100"/>
        <c:noMultiLvlLbl val="0"/>
      </c:catAx>
      <c:valAx>
        <c:axId val="881891951"/>
        <c:scaling>
          <c:orientation val="minMax"/>
        </c:scaling>
        <c:delete val="1"/>
        <c:axPos val="b"/>
        <c:numFmt formatCode="_-* #,##0\ &quot;₺&quot;_-;\-* #,##0\ &quot;₺&quot;_-;_-* &quot;-&quot;??\ &quot;₺&quot;_-;_-@_-" sourceLinked="1"/>
        <c:majorTickMark val="none"/>
        <c:minorTickMark val="none"/>
        <c:tickLblPos val="nextTo"/>
        <c:crossAx val="88191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600" b="1"/>
              <a:t>Ürün Sıralaması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1"/>
              <c:layout>
                <c:manualLayout>
                  <c:x val="0"/>
                  <c:y val="1.09481932787144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69-4E04-B886-1B4FA7635B79}"/>
                </c:ext>
              </c:extLst>
            </c:dLbl>
            <c:dLbl>
              <c:idx val="22"/>
              <c:layout>
                <c:manualLayout>
                  <c:x val="0"/>
                  <c:y val="-2.46334348771076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69-4E04-B886-1B4FA7635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'Genel DashboardHesap'!$K$4:$K$26</c:f>
              <c:strCache>
                <c:ptCount val="23"/>
                <c:pt idx="0">
                  <c:v>Kahve Makinesi X Marka</c:v>
                </c:pt>
                <c:pt idx="1">
                  <c:v>Ocak Siyah</c:v>
                </c:pt>
                <c:pt idx="2">
                  <c:v>Ocak Beyaz</c:v>
                </c:pt>
                <c:pt idx="3">
                  <c:v>Tost Makinesi Gri X Marka</c:v>
                </c:pt>
                <c:pt idx="4">
                  <c:v>Tost Makinesi Gri Y Marka</c:v>
                </c:pt>
                <c:pt idx="5">
                  <c:v>Ütü Mor</c:v>
                </c:pt>
                <c:pt idx="6">
                  <c:v>Davlumbaz Gri Y Marka</c:v>
                </c:pt>
                <c:pt idx="7">
                  <c:v>Fırın Siyah</c:v>
                </c:pt>
                <c:pt idx="8">
                  <c:v>Mikrodalga Fırın Beyaz</c:v>
                </c:pt>
                <c:pt idx="9">
                  <c:v>Ütü Siyah</c:v>
                </c:pt>
                <c:pt idx="10">
                  <c:v>Derin Dondurucu Beyaz</c:v>
                </c:pt>
                <c:pt idx="11">
                  <c:v>Çamaşır Makinesi Beyaz</c:v>
                </c:pt>
                <c:pt idx="12">
                  <c:v>Davlumbaz Gri X Marka</c:v>
                </c:pt>
                <c:pt idx="13">
                  <c:v>Bulaşık Makinesi Gri</c:v>
                </c:pt>
                <c:pt idx="14">
                  <c:v>Kahve Makinesi Y Marka</c:v>
                </c:pt>
                <c:pt idx="15">
                  <c:v>Mikrodalga Fırın Gri</c:v>
                </c:pt>
                <c:pt idx="16">
                  <c:v>Buzdolabı İki Kapılı Gri</c:v>
                </c:pt>
                <c:pt idx="17">
                  <c:v>Fırın Beyaz</c:v>
                </c:pt>
                <c:pt idx="18">
                  <c:v>Buzdolabı İki Kapaklı Beyaz</c:v>
                </c:pt>
                <c:pt idx="19">
                  <c:v>Bulaşık Makinesi Beyaz</c:v>
                </c:pt>
                <c:pt idx="20">
                  <c:v>Çamaşır Makinesi Gri</c:v>
                </c:pt>
                <c:pt idx="21">
                  <c:v>Buzdolabı Dört Kapılı Gri</c:v>
                </c:pt>
                <c:pt idx="22">
                  <c:v>Derin Dondurucu Gri</c:v>
                </c:pt>
              </c:strCache>
            </c:strRef>
          </c:cat>
          <c:val>
            <c:numRef>
              <c:f>'Genel DashboardHesap'!$L$4:$L$26</c:f>
              <c:numCache>
                <c:formatCode>_-* #,##0\ "₺"_-;\-* #,##0\ "₺"_-;_-* "-"??\ "₺"_-;_-@_-</c:formatCode>
                <c:ptCount val="23"/>
                <c:pt idx="0">
                  <c:v>65850</c:v>
                </c:pt>
                <c:pt idx="1">
                  <c:v>96750</c:v>
                </c:pt>
                <c:pt idx="2">
                  <c:v>115800</c:v>
                </c:pt>
                <c:pt idx="3">
                  <c:v>137380</c:v>
                </c:pt>
                <c:pt idx="4">
                  <c:v>142680</c:v>
                </c:pt>
                <c:pt idx="5">
                  <c:v>148800</c:v>
                </c:pt>
                <c:pt idx="6">
                  <c:v>187600</c:v>
                </c:pt>
                <c:pt idx="7">
                  <c:v>191300</c:v>
                </c:pt>
                <c:pt idx="8">
                  <c:v>206400</c:v>
                </c:pt>
                <c:pt idx="9">
                  <c:v>226050</c:v>
                </c:pt>
                <c:pt idx="10">
                  <c:v>237025</c:v>
                </c:pt>
                <c:pt idx="11">
                  <c:v>293000</c:v>
                </c:pt>
                <c:pt idx="12">
                  <c:v>293250</c:v>
                </c:pt>
                <c:pt idx="13">
                  <c:v>301600</c:v>
                </c:pt>
                <c:pt idx="14">
                  <c:v>306000</c:v>
                </c:pt>
                <c:pt idx="15">
                  <c:v>395000</c:v>
                </c:pt>
                <c:pt idx="16">
                  <c:v>414630</c:v>
                </c:pt>
                <c:pt idx="17">
                  <c:v>432000</c:v>
                </c:pt>
                <c:pt idx="18">
                  <c:v>570850</c:v>
                </c:pt>
                <c:pt idx="19">
                  <c:v>800000</c:v>
                </c:pt>
                <c:pt idx="20">
                  <c:v>1054400</c:v>
                </c:pt>
                <c:pt idx="21">
                  <c:v>1230800</c:v>
                </c:pt>
                <c:pt idx="22">
                  <c:v>1374750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9-4E04-B886-1B4FA7635B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1924591"/>
        <c:axId val="881923631"/>
      </c:barChart>
      <c:catAx>
        <c:axId val="88192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81923631"/>
        <c:crosses val="autoZero"/>
        <c:auto val="1"/>
        <c:lblAlgn val="ctr"/>
        <c:lblOffset val="100"/>
        <c:noMultiLvlLbl val="0"/>
      </c:catAx>
      <c:valAx>
        <c:axId val="881923631"/>
        <c:scaling>
          <c:orientation val="minMax"/>
        </c:scaling>
        <c:delete val="1"/>
        <c:axPos val="b"/>
        <c:numFmt formatCode="_-* #,##0\ &quot;₺&quot;_-;\-* #,##0\ &quot;₺&quot;_-;_-* &quot;-&quot;??\ &quot;₺&quot;_-;_-@_-" sourceLinked="1"/>
        <c:majorTickMark val="none"/>
        <c:minorTickMark val="none"/>
        <c:tickLblPos val="nextTo"/>
        <c:crossAx val="88192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600" b="1"/>
              <a:t>Ay Sıralaması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'Genel DashboardHesap'!$O$4:$O$15</c:f>
              <c:strCache>
                <c:ptCount val="12"/>
                <c:pt idx="0">
                  <c:v>Mart</c:v>
                </c:pt>
                <c:pt idx="1">
                  <c:v>Ocak</c:v>
                </c:pt>
                <c:pt idx="2">
                  <c:v>Şubat</c:v>
                </c:pt>
                <c:pt idx="3">
                  <c:v>Kasım</c:v>
                </c:pt>
                <c:pt idx="4">
                  <c:v>Temmuz</c:v>
                </c:pt>
                <c:pt idx="5">
                  <c:v>Nisan</c:v>
                </c:pt>
                <c:pt idx="6">
                  <c:v>Eylül</c:v>
                </c:pt>
                <c:pt idx="7">
                  <c:v>Ekim</c:v>
                </c:pt>
                <c:pt idx="8">
                  <c:v>Aralık</c:v>
                </c:pt>
                <c:pt idx="9">
                  <c:v>Mayıs</c:v>
                </c:pt>
                <c:pt idx="10">
                  <c:v>Haziran</c:v>
                </c:pt>
                <c:pt idx="11">
                  <c:v>Ağustos</c:v>
                </c:pt>
              </c:strCache>
            </c:strRef>
          </c:cat>
          <c:val>
            <c:numRef>
              <c:f>'Genel DashboardHesap'!$P$4:$P$15</c:f>
              <c:numCache>
                <c:formatCode>_-* #,##0\ "₺"_-;\-* #,##0\ "₺"_-;_-* "-"??\ "₺"_-;_-@_-</c:formatCode>
                <c:ptCount val="12"/>
                <c:pt idx="0">
                  <c:v>190510</c:v>
                </c:pt>
                <c:pt idx="1">
                  <c:v>407090</c:v>
                </c:pt>
                <c:pt idx="2">
                  <c:v>490410</c:v>
                </c:pt>
                <c:pt idx="3">
                  <c:v>590990</c:v>
                </c:pt>
                <c:pt idx="4">
                  <c:v>607410</c:v>
                </c:pt>
                <c:pt idx="5">
                  <c:v>742775</c:v>
                </c:pt>
                <c:pt idx="6">
                  <c:v>756740</c:v>
                </c:pt>
                <c:pt idx="7">
                  <c:v>802535</c:v>
                </c:pt>
                <c:pt idx="8">
                  <c:v>872765</c:v>
                </c:pt>
                <c:pt idx="9">
                  <c:v>1135070</c:v>
                </c:pt>
                <c:pt idx="10">
                  <c:v>1153720</c:v>
                </c:pt>
                <c:pt idx="11">
                  <c:v>1471900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C-4D7A-BB14-1993615F18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1860751"/>
        <c:axId val="881878031"/>
      </c:barChart>
      <c:catAx>
        <c:axId val="88186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81878031"/>
        <c:crosses val="autoZero"/>
        <c:auto val="1"/>
        <c:lblAlgn val="ctr"/>
        <c:lblOffset val="100"/>
        <c:noMultiLvlLbl val="0"/>
      </c:catAx>
      <c:valAx>
        <c:axId val="881878031"/>
        <c:scaling>
          <c:orientation val="minMax"/>
        </c:scaling>
        <c:delete val="1"/>
        <c:axPos val="b"/>
        <c:numFmt formatCode="_-* #,##0\ &quot;₺&quot;_-;\-* #,##0\ &quot;₺&quot;_-;_-* &quot;-&quot;??\ &quot;₺&quot;_-;_-@_-" sourceLinked="1"/>
        <c:majorTickMark val="none"/>
        <c:minorTickMark val="none"/>
        <c:tickLblPos val="nextTo"/>
        <c:crossAx val="88186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[Projem.xlsx]Per Dashboard Hesap!PerDashAy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AY SIRALAMASI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'Per Dashboard Hesap'!$H$3</c:f>
              <c:strCache>
                <c:ptCount val="1"/>
                <c:pt idx="0">
                  <c:v>Toplam Toplam Sipariş Tutarı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 Dashboard Hesap'!$F$4:$F$16</c:f>
              <c:strCache>
                <c:ptCount val="12"/>
                <c:pt idx="0">
                  <c:v>Ağustos</c:v>
                </c:pt>
                <c:pt idx="1">
                  <c:v>Mayıs</c:v>
                </c:pt>
                <c:pt idx="2">
                  <c:v>Haziran</c:v>
                </c:pt>
                <c:pt idx="3">
                  <c:v>Kasım</c:v>
                </c:pt>
                <c:pt idx="4">
                  <c:v>Aralık</c:v>
                </c:pt>
                <c:pt idx="5">
                  <c:v>Nisan</c:v>
                </c:pt>
                <c:pt idx="6">
                  <c:v>Ekim</c:v>
                </c:pt>
                <c:pt idx="7">
                  <c:v>Eylül</c:v>
                </c:pt>
                <c:pt idx="8">
                  <c:v>Ocak</c:v>
                </c:pt>
                <c:pt idx="9">
                  <c:v>Temmuz</c:v>
                </c:pt>
                <c:pt idx="10">
                  <c:v>Şubat</c:v>
                </c:pt>
                <c:pt idx="11">
                  <c:v>Mart</c:v>
                </c:pt>
              </c:strCache>
            </c:strRef>
          </c:cat>
          <c:val>
            <c:numRef>
              <c:f>'Per Dashboard Hesap'!$H$4:$H$16</c:f>
              <c:numCache>
                <c:formatCode>_("₺"* #,##0_);_("₺"* \(#,##0\);_("₺"* "-"_);_(@_)</c:formatCode>
                <c:ptCount val="12"/>
                <c:pt idx="0">
                  <c:v>391730</c:v>
                </c:pt>
                <c:pt idx="1">
                  <c:v>296840</c:v>
                </c:pt>
                <c:pt idx="2">
                  <c:v>267750</c:v>
                </c:pt>
                <c:pt idx="3">
                  <c:v>201310</c:v>
                </c:pt>
                <c:pt idx="4">
                  <c:v>194780</c:v>
                </c:pt>
                <c:pt idx="5">
                  <c:v>193950</c:v>
                </c:pt>
                <c:pt idx="6">
                  <c:v>193180</c:v>
                </c:pt>
                <c:pt idx="7">
                  <c:v>148300</c:v>
                </c:pt>
                <c:pt idx="8">
                  <c:v>146500</c:v>
                </c:pt>
                <c:pt idx="9">
                  <c:v>111870</c:v>
                </c:pt>
                <c:pt idx="10">
                  <c:v>56700</c:v>
                </c:pt>
                <c:pt idx="11">
                  <c:v>52220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1-4F58-B5F1-3A1E02FB65CE}"/>
            </c:ext>
          </c:extLst>
        </c:ser>
        <c:ser>
          <c:idx val="2"/>
          <c:order val="2"/>
          <c:tx>
            <c:strRef>
              <c:f>'Per Dashboard Hesap'!$I$3</c:f>
              <c:strCache>
                <c:ptCount val="1"/>
                <c:pt idx="0">
                  <c:v>Toplam Ürün Kar Tutarı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'Per Dashboard Hesap'!$F$4:$F$16</c:f>
              <c:strCache>
                <c:ptCount val="12"/>
                <c:pt idx="0">
                  <c:v>Ağustos</c:v>
                </c:pt>
                <c:pt idx="1">
                  <c:v>Mayıs</c:v>
                </c:pt>
                <c:pt idx="2">
                  <c:v>Haziran</c:v>
                </c:pt>
                <c:pt idx="3">
                  <c:v>Kasım</c:v>
                </c:pt>
                <c:pt idx="4">
                  <c:v>Aralık</c:v>
                </c:pt>
                <c:pt idx="5">
                  <c:v>Nisan</c:v>
                </c:pt>
                <c:pt idx="6">
                  <c:v>Ekim</c:v>
                </c:pt>
                <c:pt idx="7">
                  <c:v>Eylül</c:v>
                </c:pt>
                <c:pt idx="8">
                  <c:v>Ocak</c:v>
                </c:pt>
                <c:pt idx="9">
                  <c:v>Temmuz</c:v>
                </c:pt>
                <c:pt idx="10">
                  <c:v>Şubat</c:v>
                </c:pt>
                <c:pt idx="11">
                  <c:v>Mart</c:v>
                </c:pt>
              </c:strCache>
            </c:strRef>
          </c:cat>
          <c:val>
            <c:numRef>
              <c:f>'Per Dashboard Hesap'!$I$4:$I$16</c:f>
              <c:numCache>
                <c:formatCode>_("₺"* #,##0_);_("₺"* \(#,##0\);_("₺"* "-"_);_(@_)</c:formatCode>
                <c:ptCount val="12"/>
                <c:pt idx="0">
                  <c:v>111930</c:v>
                </c:pt>
                <c:pt idx="1">
                  <c:v>84840</c:v>
                </c:pt>
                <c:pt idx="2">
                  <c:v>76550</c:v>
                </c:pt>
                <c:pt idx="3">
                  <c:v>59310</c:v>
                </c:pt>
                <c:pt idx="4">
                  <c:v>57380</c:v>
                </c:pt>
                <c:pt idx="5">
                  <c:v>54250</c:v>
                </c:pt>
                <c:pt idx="6">
                  <c:v>53580</c:v>
                </c:pt>
                <c:pt idx="7">
                  <c:v>48000</c:v>
                </c:pt>
                <c:pt idx="8">
                  <c:v>37700</c:v>
                </c:pt>
                <c:pt idx="9">
                  <c:v>36470</c:v>
                </c:pt>
                <c:pt idx="10">
                  <c:v>18900</c:v>
                </c:pt>
                <c:pt idx="11">
                  <c:v>16220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11-4F58-B5F1-3A1E02FB6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352704"/>
        <c:axId val="295355584"/>
      </c:lineChart>
      <c:lineChart>
        <c:grouping val="standard"/>
        <c:varyColors val="0"/>
        <c:ser>
          <c:idx val="0"/>
          <c:order val="0"/>
          <c:tx>
            <c:strRef>
              <c:f>'Per Dashboard Hesap'!$G$3</c:f>
              <c:strCache>
                <c:ptCount val="1"/>
                <c:pt idx="0">
                  <c:v>Toplam Satış Adet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'Per Dashboard Hesap'!$F$4:$F$16</c:f>
              <c:strCache>
                <c:ptCount val="12"/>
                <c:pt idx="0">
                  <c:v>Ağustos</c:v>
                </c:pt>
                <c:pt idx="1">
                  <c:v>Mayıs</c:v>
                </c:pt>
                <c:pt idx="2">
                  <c:v>Haziran</c:v>
                </c:pt>
                <c:pt idx="3">
                  <c:v>Kasım</c:v>
                </c:pt>
                <c:pt idx="4">
                  <c:v>Aralık</c:v>
                </c:pt>
                <c:pt idx="5">
                  <c:v>Nisan</c:v>
                </c:pt>
                <c:pt idx="6">
                  <c:v>Ekim</c:v>
                </c:pt>
                <c:pt idx="7">
                  <c:v>Eylül</c:v>
                </c:pt>
                <c:pt idx="8">
                  <c:v>Ocak</c:v>
                </c:pt>
                <c:pt idx="9">
                  <c:v>Temmuz</c:v>
                </c:pt>
                <c:pt idx="10">
                  <c:v>Şubat</c:v>
                </c:pt>
                <c:pt idx="11">
                  <c:v>Mart</c:v>
                </c:pt>
              </c:strCache>
            </c:strRef>
          </c:cat>
          <c:val>
            <c:numRef>
              <c:f>'Per Dashboard Hesap'!$G$4:$G$16</c:f>
              <c:numCache>
                <c:formatCode>General</c:formatCode>
                <c:ptCount val="12"/>
                <c:pt idx="0">
                  <c:v>97</c:v>
                </c:pt>
                <c:pt idx="1">
                  <c:v>71</c:v>
                </c:pt>
                <c:pt idx="2">
                  <c:v>63</c:v>
                </c:pt>
                <c:pt idx="3">
                  <c:v>51</c:v>
                </c:pt>
                <c:pt idx="4">
                  <c:v>43</c:v>
                </c:pt>
                <c:pt idx="5">
                  <c:v>47</c:v>
                </c:pt>
                <c:pt idx="6">
                  <c:v>46</c:v>
                </c:pt>
                <c:pt idx="7">
                  <c:v>44</c:v>
                </c:pt>
                <c:pt idx="8">
                  <c:v>27</c:v>
                </c:pt>
                <c:pt idx="9">
                  <c:v>33</c:v>
                </c:pt>
                <c:pt idx="10">
                  <c:v>21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1-4F58-B5F1-3A1E02FB6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886191"/>
        <c:axId val="295346944"/>
      </c:lineChart>
      <c:catAx>
        <c:axId val="29535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95355584"/>
        <c:crosses val="autoZero"/>
        <c:auto val="1"/>
        <c:lblAlgn val="ctr"/>
        <c:lblOffset val="100"/>
        <c:noMultiLvlLbl val="0"/>
      </c:catAx>
      <c:valAx>
        <c:axId val="2953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0000"/>
                  <a:lumOff val="90000"/>
                </a:schemeClr>
              </a:solidFill>
              <a:round/>
            </a:ln>
            <a:effectLst/>
          </c:spPr>
        </c:majorGridlines>
        <c:numFmt formatCode="_(&quot;₺&quot;* #,##0_);_(&quot;₺&quot;* \(#,##0\);_(&quot;₺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95352704"/>
        <c:crosses val="autoZero"/>
        <c:crossBetween val="between"/>
      </c:valAx>
      <c:valAx>
        <c:axId val="295346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81886191"/>
        <c:crosses val="max"/>
        <c:crossBetween val="between"/>
      </c:valAx>
      <c:catAx>
        <c:axId val="881886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53469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[Projem.xlsx]Per Dashboard Hesap!PerDashAy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ŞEHİR SIRLAMASI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'Per Dashboard Hesap'!$H$3</c:f>
              <c:strCache>
                <c:ptCount val="1"/>
                <c:pt idx="0">
                  <c:v>Toplam Toplam Sipariş Tutarı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 Dashboard Hesap'!$F$4:$F$16</c:f>
              <c:strCache>
                <c:ptCount val="12"/>
                <c:pt idx="0">
                  <c:v>Ağustos</c:v>
                </c:pt>
                <c:pt idx="1">
                  <c:v>Mayıs</c:v>
                </c:pt>
                <c:pt idx="2">
                  <c:v>Haziran</c:v>
                </c:pt>
                <c:pt idx="3">
                  <c:v>Kasım</c:v>
                </c:pt>
                <c:pt idx="4">
                  <c:v>Aralık</c:v>
                </c:pt>
                <c:pt idx="5">
                  <c:v>Nisan</c:v>
                </c:pt>
                <c:pt idx="6">
                  <c:v>Ekim</c:v>
                </c:pt>
                <c:pt idx="7">
                  <c:v>Eylül</c:v>
                </c:pt>
                <c:pt idx="8">
                  <c:v>Ocak</c:v>
                </c:pt>
                <c:pt idx="9">
                  <c:v>Temmuz</c:v>
                </c:pt>
                <c:pt idx="10">
                  <c:v>Şubat</c:v>
                </c:pt>
                <c:pt idx="11">
                  <c:v>Mart</c:v>
                </c:pt>
              </c:strCache>
            </c:strRef>
          </c:cat>
          <c:val>
            <c:numRef>
              <c:f>'Per Dashboard Hesap'!$H$4:$H$16</c:f>
              <c:numCache>
                <c:formatCode>_("₺"* #,##0_);_("₺"* \(#,##0\);_("₺"* "-"_);_(@_)</c:formatCode>
                <c:ptCount val="12"/>
                <c:pt idx="0">
                  <c:v>391730</c:v>
                </c:pt>
                <c:pt idx="1">
                  <c:v>296840</c:v>
                </c:pt>
                <c:pt idx="2">
                  <c:v>267750</c:v>
                </c:pt>
                <c:pt idx="3">
                  <c:v>201310</c:v>
                </c:pt>
                <c:pt idx="4">
                  <c:v>194780</c:v>
                </c:pt>
                <c:pt idx="5">
                  <c:v>193950</c:v>
                </c:pt>
                <c:pt idx="6">
                  <c:v>193180</c:v>
                </c:pt>
                <c:pt idx="7">
                  <c:v>148300</c:v>
                </c:pt>
                <c:pt idx="8">
                  <c:v>146500</c:v>
                </c:pt>
                <c:pt idx="9">
                  <c:v>111870</c:v>
                </c:pt>
                <c:pt idx="10">
                  <c:v>56700</c:v>
                </c:pt>
                <c:pt idx="11">
                  <c:v>52220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9-4D50-930F-813DE3D1E2A3}"/>
            </c:ext>
          </c:extLst>
        </c:ser>
        <c:ser>
          <c:idx val="2"/>
          <c:order val="2"/>
          <c:tx>
            <c:strRef>
              <c:f>'Per Dashboard Hesap'!$I$3</c:f>
              <c:strCache>
                <c:ptCount val="1"/>
                <c:pt idx="0">
                  <c:v>Toplam Ürün Kar Tutarı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'Per Dashboard Hesap'!$F$4:$F$16</c:f>
              <c:strCache>
                <c:ptCount val="12"/>
                <c:pt idx="0">
                  <c:v>Ağustos</c:v>
                </c:pt>
                <c:pt idx="1">
                  <c:v>Mayıs</c:v>
                </c:pt>
                <c:pt idx="2">
                  <c:v>Haziran</c:v>
                </c:pt>
                <c:pt idx="3">
                  <c:v>Kasım</c:v>
                </c:pt>
                <c:pt idx="4">
                  <c:v>Aralık</c:v>
                </c:pt>
                <c:pt idx="5">
                  <c:v>Nisan</c:v>
                </c:pt>
                <c:pt idx="6">
                  <c:v>Ekim</c:v>
                </c:pt>
                <c:pt idx="7">
                  <c:v>Eylül</c:v>
                </c:pt>
                <c:pt idx="8">
                  <c:v>Ocak</c:v>
                </c:pt>
                <c:pt idx="9">
                  <c:v>Temmuz</c:v>
                </c:pt>
                <c:pt idx="10">
                  <c:v>Şubat</c:v>
                </c:pt>
                <c:pt idx="11">
                  <c:v>Mart</c:v>
                </c:pt>
              </c:strCache>
            </c:strRef>
          </c:cat>
          <c:val>
            <c:numRef>
              <c:f>'Per Dashboard Hesap'!$I$4:$I$16</c:f>
              <c:numCache>
                <c:formatCode>_("₺"* #,##0_);_("₺"* \(#,##0\);_("₺"* "-"_);_(@_)</c:formatCode>
                <c:ptCount val="12"/>
                <c:pt idx="0">
                  <c:v>111930</c:v>
                </c:pt>
                <c:pt idx="1">
                  <c:v>84840</c:v>
                </c:pt>
                <c:pt idx="2">
                  <c:v>76550</c:v>
                </c:pt>
                <c:pt idx="3">
                  <c:v>59310</c:v>
                </c:pt>
                <c:pt idx="4">
                  <c:v>57380</c:v>
                </c:pt>
                <c:pt idx="5">
                  <c:v>54250</c:v>
                </c:pt>
                <c:pt idx="6">
                  <c:v>53580</c:v>
                </c:pt>
                <c:pt idx="7">
                  <c:v>48000</c:v>
                </c:pt>
                <c:pt idx="8">
                  <c:v>37700</c:v>
                </c:pt>
                <c:pt idx="9">
                  <c:v>36470</c:v>
                </c:pt>
                <c:pt idx="10">
                  <c:v>18900</c:v>
                </c:pt>
                <c:pt idx="11">
                  <c:v>16220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9-4D50-930F-813DE3D1E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013055"/>
        <c:axId val="1115011615"/>
      </c:lineChart>
      <c:lineChart>
        <c:grouping val="standard"/>
        <c:varyColors val="0"/>
        <c:ser>
          <c:idx val="0"/>
          <c:order val="0"/>
          <c:tx>
            <c:strRef>
              <c:f>'Per Dashboard Hesap'!$G$3</c:f>
              <c:strCache>
                <c:ptCount val="1"/>
                <c:pt idx="0">
                  <c:v>Toplam Satış Adet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'Per Dashboard Hesap'!$F$4:$F$16</c:f>
              <c:strCache>
                <c:ptCount val="12"/>
                <c:pt idx="0">
                  <c:v>Ağustos</c:v>
                </c:pt>
                <c:pt idx="1">
                  <c:v>Mayıs</c:v>
                </c:pt>
                <c:pt idx="2">
                  <c:v>Haziran</c:v>
                </c:pt>
                <c:pt idx="3">
                  <c:v>Kasım</c:v>
                </c:pt>
                <c:pt idx="4">
                  <c:v>Aralık</c:v>
                </c:pt>
                <c:pt idx="5">
                  <c:v>Nisan</c:v>
                </c:pt>
                <c:pt idx="6">
                  <c:v>Ekim</c:v>
                </c:pt>
                <c:pt idx="7">
                  <c:v>Eylül</c:v>
                </c:pt>
                <c:pt idx="8">
                  <c:v>Ocak</c:v>
                </c:pt>
                <c:pt idx="9">
                  <c:v>Temmuz</c:v>
                </c:pt>
                <c:pt idx="10">
                  <c:v>Şubat</c:v>
                </c:pt>
                <c:pt idx="11">
                  <c:v>Mart</c:v>
                </c:pt>
              </c:strCache>
            </c:strRef>
          </c:cat>
          <c:val>
            <c:numRef>
              <c:f>'Per Dashboard Hesap'!$G$4:$G$16</c:f>
              <c:numCache>
                <c:formatCode>General</c:formatCode>
                <c:ptCount val="12"/>
                <c:pt idx="0">
                  <c:v>97</c:v>
                </c:pt>
                <c:pt idx="1">
                  <c:v>71</c:v>
                </c:pt>
                <c:pt idx="2">
                  <c:v>63</c:v>
                </c:pt>
                <c:pt idx="3">
                  <c:v>51</c:v>
                </c:pt>
                <c:pt idx="4">
                  <c:v>43</c:v>
                </c:pt>
                <c:pt idx="5">
                  <c:v>47</c:v>
                </c:pt>
                <c:pt idx="6">
                  <c:v>46</c:v>
                </c:pt>
                <c:pt idx="7">
                  <c:v>44</c:v>
                </c:pt>
                <c:pt idx="8">
                  <c:v>27</c:v>
                </c:pt>
                <c:pt idx="9">
                  <c:v>33</c:v>
                </c:pt>
                <c:pt idx="10">
                  <c:v>21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9-4D50-930F-813DE3D1E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032735"/>
        <c:axId val="1115039935"/>
      </c:lineChart>
      <c:catAx>
        <c:axId val="111501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5011615"/>
        <c:crosses val="autoZero"/>
        <c:auto val="1"/>
        <c:lblAlgn val="ctr"/>
        <c:lblOffset val="100"/>
        <c:noMultiLvlLbl val="0"/>
      </c:catAx>
      <c:valAx>
        <c:axId val="111501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0000"/>
                  <a:lumOff val="90000"/>
                </a:schemeClr>
              </a:solidFill>
              <a:round/>
            </a:ln>
            <a:effectLst/>
          </c:spPr>
        </c:majorGridlines>
        <c:numFmt formatCode="_(&quot;₺&quot;* #,##0_);_(&quot;₺&quot;* \(#,##0\);_(&quot;₺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5013055"/>
        <c:crosses val="autoZero"/>
        <c:crossBetween val="between"/>
      </c:valAx>
      <c:valAx>
        <c:axId val="11150399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15032735"/>
        <c:crosses val="max"/>
        <c:crossBetween val="between"/>
      </c:valAx>
      <c:catAx>
        <c:axId val="11150327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50399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[Projem.xlsx]AnalizEski!PivotTable4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 👥 PERSONELLERE GÖRE SATIŞ VE KÂR GRAFİĞİ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AnalizEski!$B$2</c:f>
              <c:strCache>
                <c:ptCount val="1"/>
                <c:pt idx="0">
                  <c:v>Toplam Toplam Sipariş Tutarı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AnalizEski!$A$3:$A$15</c:f>
              <c:strCache>
                <c:ptCount val="12"/>
                <c:pt idx="0">
                  <c:v>Ali Kandemir</c:v>
                </c:pt>
                <c:pt idx="1">
                  <c:v>Bedriye Vural</c:v>
                </c:pt>
                <c:pt idx="2">
                  <c:v>Ferdi Dede</c:v>
                </c:pt>
                <c:pt idx="3">
                  <c:v>Gamze Erkuran</c:v>
                </c:pt>
                <c:pt idx="4">
                  <c:v>Gülşah Akbulut</c:v>
                </c:pt>
                <c:pt idx="5">
                  <c:v>Mertcan Ülker</c:v>
                </c:pt>
                <c:pt idx="6">
                  <c:v>Miraç Tüten</c:v>
                </c:pt>
                <c:pt idx="7">
                  <c:v>Özgür Ertekin</c:v>
                </c:pt>
                <c:pt idx="8">
                  <c:v>Reyhan Uyanık</c:v>
                </c:pt>
                <c:pt idx="9">
                  <c:v>Serdal Yücel</c:v>
                </c:pt>
                <c:pt idx="10">
                  <c:v>Yücel Öztürk</c:v>
                </c:pt>
                <c:pt idx="11">
                  <c:v>Zeynep Şen</c:v>
                </c:pt>
              </c:strCache>
            </c:strRef>
          </c:cat>
          <c:val>
            <c:numRef>
              <c:f>AnalizEski!$B$3:$B$15</c:f>
              <c:numCache>
                <c:formatCode>_-"₺"* #,##0_-;\-"₺"* #,##0_-;_-"₺"* "-"??_-;_-@_-</c:formatCode>
                <c:ptCount val="12"/>
                <c:pt idx="0">
                  <c:v>2255130</c:v>
                </c:pt>
                <c:pt idx="1">
                  <c:v>3166730</c:v>
                </c:pt>
                <c:pt idx="2">
                  <c:v>1903115</c:v>
                </c:pt>
                <c:pt idx="3">
                  <c:v>1008710</c:v>
                </c:pt>
                <c:pt idx="4">
                  <c:v>3410970</c:v>
                </c:pt>
                <c:pt idx="5">
                  <c:v>2368440</c:v>
                </c:pt>
                <c:pt idx="6">
                  <c:v>2452505</c:v>
                </c:pt>
                <c:pt idx="7">
                  <c:v>2762610</c:v>
                </c:pt>
                <c:pt idx="8">
                  <c:v>2960670</c:v>
                </c:pt>
                <c:pt idx="9">
                  <c:v>3828925</c:v>
                </c:pt>
                <c:pt idx="10">
                  <c:v>1800540</c:v>
                </c:pt>
                <c:pt idx="11">
                  <c:v>2515870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4-4A6E-B96E-9537B9899C41}"/>
            </c:ext>
          </c:extLst>
        </c:ser>
        <c:ser>
          <c:idx val="1"/>
          <c:order val="1"/>
          <c:tx>
            <c:strRef>
              <c:f>AnalizEski!$C$2</c:f>
              <c:strCache>
                <c:ptCount val="1"/>
                <c:pt idx="0">
                  <c:v>Toplam Ürün Kar Tutarı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AnalizEski!$A$3:$A$15</c:f>
              <c:strCache>
                <c:ptCount val="12"/>
                <c:pt idx="0">
                  <c:v>Ali Kandemir</c:v>
                </c:pt>
                <c:pt idx="1">
                  <c:v>Bedriye Vural</c:v>
                </c:pt>
                <c:pt idx="2">
                  <c:v>Ferdi Dede</c:v>
                </c:pt>
                <c:pt idx="3">
                  <c:v>Gamze Erkuran</c:v>
                </c:pt>
                <c:pt idx="4">
                  <c:v>Gülşah Akbulut</c:v>
                </c:pt>
                <c:pt idx="5">
                  <c:v>Mertcan Ülker</c:v>
                </c:pt>
                <c:pt idx="6">
                  <c:v>Miraç Tüten</c:v>
                </c:pt>
                <c:pt idx="7">
                  <c:v>Özgür Ertekin</c:v>
                </c:pt>
                <c:pt idx="8">
                  <c:v>Reyhan Uyanık</c:v>
                </c:pt>
                <c:pt idx="9">
                  <c:v>Serdal Yücel</c:v>
                </c:pt>
                <c:pt idx="10">
                  <c:v>Yücel Öztürk</c:v>
                </c:pt>
                <c:pt idx="11">
                  <c:v>Zeynep Şen</c:v>
                </c:pt>
              </c:strCache>
            </c:strRef>
          </c:cat>
          <c:val>
            <c:numRef>
              <c:f>AnalizEski!$C$3:$C$15</c:f>
              <c:numCache>
                <c:formatCode>_-"₺"* #,##0_-;\-"₺"* #,##0_-;_-"₺"* "-"??_-;_-@_-</c:formatCode>
                <c:ptCount val="12"/>
                <c:pt idx="0">
                  <c:v>655130</c:v>
                </c:pt>
                <c:pt idx="1">
                  <c:v>1098330</c:v>
                </c:pt>
                <c:pt idx="2">
                  <c:v>541115</c:v>
                </c:pt>
                <c:pt idx="3">
                  <c:v>332410</c:v>
                </c:pt>
                <c:pt idx="4">
                  <c:v>972270</c:v>
                </c:pt>
                <c:pt idx="5">
                  <c:v>750940</c:v>
                </c:pt>
                <c:pt idx="6">
                  <c:v>929005</c:v>
                </c:pt>
                <c:pt idx="7">
                  <c:v>833410</c:v>
                </c:pt>
                <c:pt idx="8">
                  <c:v>916070</c:v>
                </c:pt>
                <c:pt idx="9">
                  <c:v>1012925</c:v>
                </c:pt>
                <c:pt idx="10">
                  <c:v>550340</c:v>
                </c:pt>
                <c:pt idx="11">
                  <c:v>629970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4-4A6E-B96E-9537B9899C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78706639"/>
        <c:axId val="1678709999"/>
      </c:barChart>
      <c:catAx>
        <c:axId val="167870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8709999"/>
        <c:crosses val="autoZero"/>
        <c:auto val="1"/>
        <c:lblAlgn val="ctr"/>
        <c:lblOffset val="100"/>
        <c:noMultiLvlLbl val="0"/>
      </c:catAx>
      <c:valAx>
        <c:axId val="16787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₺&quot;* #,##0_-;\-&quot;₺&quot;* #,##0_-;_-&quot;₺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870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[Projem.xlsx]AnalizEski!PivotTable3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🏙️ ŞEHİRLERE GÖRE SATIŞ DAĞILIMI GRAFİĞİ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AnalizEski!$I$2</c:f>
              <c:strCache>
                <c:ptCount val="1"/>
                <c:pt idx="0">
                  <c:v>Toplam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AnalizEski!$H$3:$H$16</c:f>
              <c:strCache>
                <c:ptCount val="13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Bursa</c:v>
                </c:pt>
                <c:pt idx="4">
                  <c:v>Diyarbakır</c:v>
                </c:pt>
                <c:pt idx="5">
                  <c:v>Gaziantep</c:v>
                </c:pt>
                <c:pt idx="6">
                  <c:v>Hatay</c:v>
                </c:pt>
                <c:pt idx="7">
                  <c:v>İstanbul</c:v>
                </c:pt>
                <c:pt idx="8">
                  <c:v>İzmir</c:v>
                </c:pt>
                <c:pt idx="9">
                  <c:v>Kocaeli</c:v>
                </c:pt>
                <c:pt idx="10">
                  <c:v>Konya</c:v>
                </c:pt>
                <c:pt idx="11">
                  <c:v>Mersin</c:v>
                </c:pt>
                <c:pt idx="12">
                  <c:v>Şanlıurfa</c:v>
                </c:pt>
              </c:strCache>
            </c:strRef>
          </c:cat>
          <c:val>
            <c:numRef>
              <c:f>AnalizEski!$I$3:$I$16</c:f>
              <c:numCache>
                <c:formatCode>_-"₺"* #,##0_-;\-"₺"* #,##0_-;_-"₺"* "-"??_-;_-@_-</c:formatCode>
                <c:ptCount val="13"/>
                <c:pt idx="0">
                  <c:v>2777940</c:v>
                </c:pt>
                <c:pt idx="1">
                  <c:v>2216245</c:v>
                </c:pt>
                <c:pt idx="2">
                  <c:v>2534590</c:v>
                </c:pt>
                <c:pt idx="3">
                  <c:v>2450585</c:v>
                </c:pt>
                <c:pt idx="4">
                  <c:v>2709440</c:v>
                </c:pt>
                <c:pt idx="5">
                  <c:v>2277785</c:v>
                </c:pt>
                <c:pt idx="6">
                  <c:v>2369710</c:v>
                </c:pt>
                <c:pt idx="7">
                  <c:v>2308105</c:v>
                </c:pt>
                <c:pt idx="8">
                  <c:v>2224770</c:v>
                </c:pt>
                <c:pt idx="9">
                  <c:v>2200840</c:v>
                </c:pt>
                <c:pt idx="10">
                  <c:v>2045210</c:v>
                </c:pt>
                <c:pt idx="11">
                  <c:v>2221530</c:v>
                </c:pt>
                <c:pt idx="12">
                  <c:v>2097465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7-46DE-872A-17BC3A9536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0528271"/>
        <c:axId val="1678660735"/>
      </c:barChart>
      <c:catAx>
        <c:axId val="144052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78660735"/>
        <c:crosses val="autoZero"/>
        <c:auto val="1"/>
        <c:lblAlgn val="ctr"/>
        <c:lblOffset val="100"/>
        <c:noMultiLvlLbl val="0"/>
      </c:catAx>
      <c:valAx>
        <c:axId val="16786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₺&quot;* #,##0_-;\-&quot;₺&quot;* #,##0_-;_-&quot;₺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4052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[Projem.xlsx]AnalizEski!PivotTable5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📦 ÜRÜNLERE GÖRE SATIŞ ADEDİ GRAFİĞİ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AnalizEski!$B$46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FDC-436C-BB47-BE57DF11B89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FDC-436C-BB47-BE57DF11B89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FDC-436C-BB47-BE57DF11B89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FDC-436C-BB47-BE57DF11B89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FDC-436C-BB47-BE57DF11B89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FDC-436C-BB47-BE57DF11B89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FDC-436C-BB47-BE57DF11B89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FDC-436C-BB47-BE57DF11B89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0FDC-436C-BB47-BE57DF11B89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0FDC-436C-BB47-BE57DF11B89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0FDC-436C-BB47-BE57DF11B89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0FDC-436C-BB47-BE57DF11B89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0FDC-436C-BB47-BE57DF11B89D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0FDC-436C-BB47-BE57DF11B89D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0FDC-436C-BB47-BE57DF11B89D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0FDC-436C-BB47-BE57DF11B89D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0FDC-436C-BB47-BE57DF11B89D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0FDC-436C-BB47-BE57DF11B89D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0FDC-436C-BB47-BE57DF11B89D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0FDC-436C-BB47-BE57DF11B89D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0FDC-436C-BB47-BE57DF11B89D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0FDC-436C-BB47-BE57DF11B89D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0FDC-436C-BB47-BE57DF11B8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AnalizEski!$A$47:$A$70</c:f>
              <c:strCache>
                <c:ptCount val="23"/>
                <c:pt idx="0">
                  <c:v>Bulaşık Makinesi Beyaz</c:v>
                </c:pt>
                <c:pt idx="1">
                  <c:v>Bulaşık Makinesi Gri</c:v>
                </c:pt>
                <c:pt idx="2">
                  <c:v>Buzdolabı Dört Kapılı Gri</c:v>
                </c:pt>
                <c:pt idx="3">
                  <c:v>Buzdolabı İki Kapaklı Beyaz</c:v>
                </c:pt>
                <c:pt idx="4">
                  <c:v>Buzdolabı İki Kapılı Gri</c:v>
                </c:pt>
                <c:pt idx="5">
                  <c:v>Çamaşır Makinesi Beyaz</c:v>
                </c:pt>
                <c:pt idx="6">
                  <c:v>Çamaşır Makinesi Gri</c:v>
                </c:pt>
                <c:pt idx="7">
                  <c:v>Davlumbaz Gri X Marka</c:v>
                </c:pt>
                <c:pt idx="8">
                  <c:v>Davlumbaz Gri Y Marka</c:v>
                </c:pt>
                <c:pt idx="9">
                  <c:v>Derin Dondurucu Beyaz</c:v>
                </c:pt>
                <c:pt idx="10">
                  <c:v>Derin Dondurucu Gri</c:v>
                </c:pt>
                <c:pt idx="11">
                  <c:v>Fırın Beyaz</c:v>
                </c:pt>
                <c:pt idx="12">
                  <c:v>Fırın Siyah</c:v>
                </c:pt>
                <c:pt idx="13">
                  <c:v>Kahve Makinesi X Marka</c:v>
                </c:pt>
                <c:pt idx="14">
                  <c:v>Kahve Makinesi Y Marka</c:v>
                </c:pt>
                <c:pt idx="15">
                  <c:v>Mikrodalga Fırın Beyaz</c:v>
                </c:pt>
                <c:pt idx="16">
                  <c:v>Mikrodalga Fırın Gri</c:v>
                </c:pt>
                <c:pt idx="17">
                  <c:v>Ocak Beyaz</c:v>
                </c:pt>
                <c:pt idx="18">
                  <c:v>Ocak Siyah</c:v>
                </c:pt>
                <c:pt idx="19">
                  <c:v>Tost Makinesi Gri X Marka</c:v>
                </c:pt>
                <c:pt idx="20">
                  <c:v>Tost Makinesi Gri Y Marka</c:v>
                </c:pt>
                <c:pt idx="21">
                  <c:v>Ütü Mor</c:v>
                </c:pt>
                <c:pt idx="22">
                  <c:v>Ütü Siyah</c:v>
                </c:pt>
              </c:strCache>
            </c:strRef>
          </c:cat>
          <c:val>
            <c:numRef>
              <c:f>AnalizEski!$B$47:$B$70</c:f>
              <c:numCache>
                <c:formatCode>General</c:formatCode>
                <c:ptCount val="23"/>
                <c:pt idx="0">
                  <c:v>400</c:v>
                </c:pt>
                <c:pt idx="1">
                  <c:v>232</c:v>
                </c:pt>
                <c:pt idx="2">
                  <c:v>269</c:v>
                </c:pt>
                <c:pt idx="3">
                  <c:v>233</c:v>
                </c:pt>
                <c:pt idx="4">
                  <c:v>271</c:v>
                </c:pt>
                <c:pt idx="5">
                  <c:v>148</c:v>
                </c:pt>
                <c:pt idx="6">
                  <c:v>659</c:v>
                </c:pt>
                <c:pt idx="7">
                  <c:v>425</c:v>
                </c:pt>
                <c:pt idx="8">
                  <c:v>268</c:v>
                </c:pt>
                <c:pt idx="9">
                  <c:v>133</c:v>
                </c:pt>
                <c:pt idx="10">
                  <c:v>611</c:v>
                </c:pt>
                <c:pt idx="11">
                  <c:v>360</c:v>
                </c:pt>
                <c:pt idx="12">
                  <c:v>275</c:v>
                </c:pt>
                <c:pt idx="13">
                  <c:v>69</c:v>
                </c:pt>
                <c:pt idx="14">
                  <c:v>450</c:v>
                </c:pt>
                <c:pt idx="15">
                  <c:v>344</c:v>
                </c:pt>
                <c:pt idx="16">
                  <c:v>395</c:v>
                </c:pt>
                <c:pt idx="17">
                  <c:v>386</c:v>
                </c:pt>
                <c:pt idx="18">
                  <c:v>215</c:v>
                </c:pt>
                <c:pt idx="19">
                  <c:v>344</c:v>
                </c:pt>
                <c:pt idx="20">
                  <c:v>492</c:v>
                </c:pt>
                <c:pt idx="21">
                  <c:v>372</c:v>
                </c:pt>
                <c:pt idx="2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2-4513-A471-E3E82111F4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[Projem.xlsx]AnalizEski!PivotTable2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📊 AYLARA GÖRE TOPLAM SATIŞLAR</a:t>
            </a:r>
            <a:r>
              <a:rPr lang="tr-TR"/>
              <a:t> GRAFİĞİ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AnalizEski!$I$46</c:f>
              <c:strCache>
                <c:ptCount val="1"/>
                <c:pt idx="0">
                  <c:v>Toplam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AnalizEski!$H$47:$H$59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AnalizEski!$I$47:$I$59</c:f>
              <c:numCache>
                <c:formatCode>_-[$₺-41F]* #,##0_-;\-[$₺-41F]* #,##0_-;_-[$₺-41F]* "-"??_-;_-@_-</c:formatCode>
                <c:ptCount val="12"/>
                <c:pt idx="0">
                  <c:v>1274290</c:v>
                </c:pt>
                <c:pt idx="1">
                  <c:v>1582010</c:v>
                </c:pt>
                <c:pt idx="2">
                  <c:v>668410</c:v>
                </c:pt>
                <c:pt idx="3">
                  <c:v>2405475</c:v>
                </c:pt>
                <c:pt idx="4">
                  <c:v>3756370</c:v>
                </c:pt>
                <c:pt idx="5">
                  <c:v>3857420</c:v>
                </c:pt>
                <c:pt idx="6">
                  <c:v>2057110</c:v>
                </c:pt>
                <c:pt idx="7">
                  <c:v>4706900</c:v>
                </c:pt>
                <c:pt idx="8">
                  <c:v>2635840</c:v>
                </c:pt>
                <c:pt idx="9">
                  <c:v>2571535</c:v>
                </c:pt>
                <c:pt idx="10">
                  <c:v>2075190</c:v>
                </c:pt>
                <c:pt idx="11">
                  <c:v>2843665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8-4A6B-9512-F828E879BC4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5853247"/>
        <c:axId val="1715848927"/>
      </c:lineChart>
      <c:catAx>
        <c:axId val="171585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15848927"/>
        <c:crosses val="autoZero"/>
        <c:auto val="1"/>
        <c:lblAlgn val="ctr"/>
        <c:lblOffset val="100"/>
        <c:noMultiLvlLbl val="0"/>
      </c:catAx>
      <c:valAx>
        <c:axId val="171584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₺-41F]* #,##0_-;\-[$₺-41F]* #,##0_-;_-[$₺-41F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1585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hyperlink" Target="#'Personel Dashboard'!A1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Genel Dashboard'!A1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31375</xdr:colOff>
      <xdr:row>0</xdr:row>
      <xdr:rowOff>0</xdr:rowOff>
    </xdr:from>
    <xdr:to>
      <xdr:col>7</xdr:col>
      <xdr:colOff>13607</xdr:colOff>
      <xdr:row>2</xdr:row>
      <xdr:rowOff>353785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ersonel Ad 1">
              <a:extLst>
                <a:ext uri="{FF2B5EF4-FFF2-40B4-BE49-F238E27FC236}">
                  <a16:creationId xmlns:a16="http://schemas.microsoft.com/office/drawing/2014/main" id="{08A5A023-C03A-8976-D7D2-566AF137E0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onel 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75" y="0"/>
              <a:ext cx="9221482" cy="10885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35</xdr:row>
      <xdr:rowOff>25855</xdr:rowOff>
    </xdr:from>
    <xdr:to>
      <xdr:col>7</xdr:col>
      <xdr:colOff>0</xdr:colOff>
      <xdr:row>39</xdr:row>
      <xdr:rowOff>163286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y 1">
              <a:extLst>
                <a:ext uri="{FF2B5EF4-FFF2-40B4-BE49-F238E27FC236}">
                  <a16:creationId xmlns:a16="http://schemas.microsoft.com/office/drawing/2014/main" id="{8427BA1A-9EE3-A747-8217-63F869A741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618641"/>
              <a:ext cx="9239250" cy="14301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34635</xdr:colOff>
      <xdr:row>35</xdr:row>
      <xdr:rowOff>86591</xdr:rowOff>
    </xdr:to>
    <xdr:sp macro="" textlink="">
      <xdr:nvSpPr>
        <xdr:cNvPr id="24" name="Dikdörtgen 23">
          <a:extLst>
            <a:ext uri="{FF2B5EF4-FFF2-40B4-BE49-F238E27FC236}">
              <a16:creationId xmlns:a16="http://schemas.microsoft.com/office/drawing/2014/main" id="{269A7898-32E3-40AF-8ABC-6AE3FA125BCC}"/>
            </a:ext>
          </a:extLst>
        </xdr:cNvPr>
        <xdr:cNvSpPr/>
      </xdr:nvSpPr>
      <xdr:spPr>
        <a:xfrm>
          <a:off x="0" y="0"/>
          <a:ext cx="15188044" cy="675409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244928</xdr:colOff>
      <xdr:row>4</xdr:row>
      <xdr:rowOff>149679</xdr:rowOff>
    </xdr:from>
    <xdr:to>
      <xdr:col>5</xdr:col>
      <xdr:colOff>231322</xdr:colOff>
      <xdr:row>10</xdr:row>
      <xdr:rowOff>27215</xdr:rowOff>
    </xdr:to>
    <xdr:grpSp>
      <xdr:nvGrpSpPr>
        <xdr:cNvPr id="18" name="Grup 17">
          <a:extLst>
            <a:ext uri="{FF2B5EF4-FFF2-40B4-BE49-F238E27FC236}">
              <a16:creationId xmlns:a16="http://schemas.microsoft.com/office/drawing/2014/main" id="{3A64A490-089E-775B-AB61-FF875D710C8E}"/>
            </a:ext>
          </a:extLst>
        </xdr:cNvPr>
        <xdr:cNvGrpSpPr/>
      </xdr:nvGrpSpPr>
      <xdr:grpSpPr>
        <a:xfrm>
          <a:off x="244928" y="911679"/>
          <a:ext cx="3017076" cy="1020536"/>
          <a:chOff x="244928" y="380999"/>
          <a:chExt cx="3048001" cy="1020536"/>
        </a:xfrm>
      </xdr:grpSpPr>
      <xdr:sp macro="" textlink="">
        <xdr:nvSpPr>
          <xdr:cNvPr id="2" name="Dikdörtgen: Köşeleri Yuvarlatılmış 1">
            <a:extLst>
              <a:ext uri="{FF2B5EF4-FFF2-40B4-BE49-F238E27FC236}">
                <a16:creationId xmlns:a16="http://schemas.microsoft.com/office/drawing/2014/main" id="{D9A2277E-DEBF-5169-E9A3-26021630BB48}"/>
              </a:ext>
            </a:extLst>
          </xdr:cNvPr>
          <xdr:cNvSpPr/>
        </xdr:nvSpPr>
        <xdr:spPr>
          <a:xfrm>
            <a:off x="244928" y="380999"/>
            <a:ext cx="3048001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tr-TR" sz="1400" b="1">
                <a:solidFill>
                  <a:sysClr val="windowText" lastClr="000000"/>
                </a:solidFill>
              </a:rPr>
              <a:t>EN FAZLA KAR GETİREN PERSONEL</a:t>
            </a:r>
          </a:p>
        </xdr:txBody>
      </xdr:sp>
      <xdr:sp macro="" textlink="'Genel DashboardHesap'!$C$2">
        <xdr:nvSpPr>
          <xdr:cNvPr id="5" name="Metin kutusu 4">
            <a:extLst>
              <a:ext uri="{FF2B5EF4-FFF2-40B4-BE49-F238E27FC236}">
                <a16:creationId xmlns:a16="http://schemas.microsoft.com/office/drawing/2014/main" id="{198CBF4D-6FA7-CB69-1A0D-F79B71281A65}"/>
              </a:ext>
            </a:extLst>
          </xdr:cNvPr>
          <xdr:cNvSpPr txBox="1"/>
        </xdr:nvSpPr>
        <xdr:spPr>
          <a:xfrm>
            <a:off x="449036" y="791936"/>
            <a:ext cx="1401535" cy="35378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38C1D41-A6AF-4D07-A157-DC5EC2C2A596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/>
              <a:t>Bedriye Vural</a:t>
            </a:fld>
            <a:endParaRPr lang="tr-TR" sz="1600" b="1"/>
          </a:p>
        </xdr:txBody>
      </xdr:sp>
      <xdr:sp macro="" textlink="'Genel DashboardHesap'!$D$2">
        <xdr:nvSpPr>
          <xdr:cNvPr id="6" name="Metin kutusu 5">
            <a:extLst>
              <a:ext uri="{FF2B5EF4-FFF2-40B4-BE49-F238E27FC236}">
                <a16:creationId xmlns:a16="http://schemas.microsoft.com/office/drawing/2014/main" id="{7961B517-6646-45DB-800D-9E301C68A9CA}"/>
              </a:ext>
            </a:extLst>
          </xdr:cNvPr>
          <xdr:cNvSpPr txBox="1"/>
        </xdr:nvSpPr>
        <xdr:spPr>
          <a:xfrm>
            <a:off x="1853293" y="791936"/>
            <a:ext cx="1401535" cy="35378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878D840-05AC-47D5-8664-B1AE71844F1B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pPr/>
              <a:t> 1.098.330 ₺ </a:t>
            </a:fld>
            <a:endParaRPr lang="tr-TR" sz="1600" b="1"/>
          </a:p>
        </xdr:txBody>
      </xdr:sp>
    </xdr:grpSp>
    <xdr:clientData/>
  </xdr:twoCellAnchor>
  <xdr:twoCellAnchor>
    <xdr:from>
      <xdr:col>6</xdr:col>
      <xdr:colOff>444499</xdr:colOff>
      <xdr:row>4</xdr:row>
      <xdr:rowOff>149679</xdr:rowOff>
    </xdr:from>
    <xdr:to>
      <xdr:col>11</xdr:col>
      <xdr:colOff>430893</xdr:colOff>
      <xdr:row>10</xdr:row>
      <xdr:rowOff>27215</xdr:rowOff>
    </xdr:to>
    <xdr:grpSp>
      <xdr:nvGrpSpPr>
        <xdr:cNvPr id="19" name="Grup 18">
          <a:extLst>
            <a:ext uri="{FF2B5EF4-FFF2-40B4-BE49-F238E27FC236}">
              <a16:creationId xmlns:a16="http://schemas.microsoft.com/office/drawing/2014/main" id="{479D62D8-77C4-D7AF-6F58-77DE4F4293FF}"/>
            </a:ext>
          </a:extLst>
        </xdr:cNvPr>
        <xdr:cNvGrpSpPr/>
      </xdr:nvGrpSpPr>
      <xdr:grpSpPr>
        <a:xfrm>
          <a:off x="4081317" y="911679"/>
          <a:ext cx="3017076" cy="1020536"/>
          <a:chOff x="4288971" y="370114"/>
          <a:chExt cx="3048001" cy="1020536"/>
        </a:xfrm>
      </xdr:grpSpPr>
      <xdr:sp macro="" textlink="">
        <xdr:nvSpPr>
          <xdr:cNvPr id="7" name="Dikdörtgen: Köşeleri Yuvarlatılmış 6">
            <a:extLst>
              <a:ext uri="{FF2B5EF4-FFF2-40B4-BE49-F238E27FC236}">
                <a16:creationId xmlns:a16="http://schemas.microsoft.com/office/drawing/2014/main" id="{CB510B7C-62A3-4CD6-9571-5221F26D4941}"/>
              </a:ext>
            </a:extLst>
          </xdr:cNvPr>
          <xdr:cNvSpPr/>
        </xdr:nvSpPr>
        <xdr:spPr>
          <a:xfrm>
            <a:off x="4288971" y="370114"/>
            <a:ext cx="3048001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tr-TR" sz="1400" b="1">
                <a:solidFill>
                  <a:sysClr val="windowText" lastClr="000000"/>
                </a:solidFill>
              </a:rPr>
              <a:t>EN FAZLA KAR GETİREN ŞEHİR</a:t>
            </a:r>
          </a:p>
        </xdr:txBody>
      </xdr:sp>
      <xdr:sp macro="" textlink="'Genel DashboardHesap'!$G$2">
        <xdr:nvSpPr>
          <xdr:cNvPr id="8" name="Metin kutusu 7">
            <a:extLst>
              <a:ext uri="{FF2B5EF4-FFF2-40B4-BE49-F238E27FC236}">
                <a16:creationId xmlns:a16="http://schemas.microsoft.com/office/drawing/2014/main" id="{E78EC602-3FB5-4C6E-AA6D-B8C19987A750}"/>
              </a:ext>
            </a:extLst>
          </xdr:cNvPr>
          <xdr:cNvSpPr txBox="1"/>
        </xdr:nvSpPr>
        <xdr:spPr>
          <a:xfrm>
            <a:off x="4395108" y="710293"/>
            <a:ext cx="1662792" cy="41910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D18BEA1-4176-4823-8304-1B64CD737B3F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Adana</a:t>
            </a:fld>
            <a:endParaRPr lang="tr-TR" sz="3600" b="1"/>
          </a:p>
        </xdr:txBody>
      </xdr:sp>
      <xdr:sp macro="" textlink="'Genel DashboardHesap'!$H$2">
        <xdr:nvSpPr>
          <xdr:cNvPr id="9" name="Metin kutusu 8">
            <a:extLst>
              <a:ext uri="{FF2B5EF4-FFF2-40B4-BE49-F238E27FC236}">
                <a16:creationId xmlns:a16="http://schemas.microsoft.com/office/drawing/2014/main" id="{DB46374F-DD5E-498E-8D4A-D57E37A68A2A}"/>
              </a:ext>
            </a:extLst>
          </xdr:cNvPr>
          <xdr:cNvSpPr txBox="1"/>
        </xdr:nvSpPr>
        <xdr:spPr>
          <a:xfrm>
            <a:off x="5965371" y="723900"/>
            <a:ext cx="1273629" cy="35378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C9D0199-A43B-4ACF-9860-D81E1653C485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 808.240 ₺ </a:t>
            </a:fld>
            <a:endParaRPr lang="tr-TR" sz="3600" b="1"/>
          </a:p>
        </xdr:txBody>
      </xdr:sp>
    </xdr:grpSp>
    <xdr:clientData/>
  </xdr:twoCellAnchor>
  <xdr:twoCellAnchor>
    <xdr:from>
      <xdr:col>13</xdr:col>
      <xdr:colOff>31749</xdr:colOff>
      <xdr:row>4</xdr:row>
      <xdr:rowOff>149679</xdr:rowOff>
    </xdr:from>
    <xdr:to>
      <xdr:col>18</xdr:col>
      <xdr:colOff>18143</xdr:colOff>
      <xdr:row>10</xdr:row>
      <xdr:rowOff>27215</xdr:rowOff>
    </xdr:to>
    <xdr:grpSp>
      <xdr:nvGrpSpPr>
        <xdr:cNvPr id="20" name="Grup 19">
          <a:extLst>
            <a:ext uri="{FF2B5EF4-FFF2-40B4-BE49-F238E27FC236}">
              <a16:creationId xmlns:a16="http://schemas.microsoft.com/office/drawing/2014/main" id="{F128BD60-C425-BC0E-8F7D-2BD5A70C632A}"/>
            </a:ext>
          </a:extLst>
        </xdr:cNvPr>
        <xdr:cNvGrpSpPr/>
      </xdr:nvGrpSpPr>
      <xdr:grpSpPr>
        <a:xfrm>
          <a:off x="7911522" y="911679"/>
          <a:ext cx="3017076" cy="1020536"/>
          <a:chOff x="7987393" y="340179"/>
          <a:chExt cx="3048001" cy="1020536"/>
        </a:xfrm>
      </xdr:grpSpPr>
      <xdr:sp macro="" textlink="">
        <xdr:nvSpPr>
          <xdr:cNvPr id="10" name="Dikdörtgen: Köşeleri Yuvarlatılmış 9">
            <a:extLst>
              <a:ext uri="{FF2B5EF4-FFF2-40B4-BE49-F238E27FC236}">
                <a16:creationId xmlns:a16="http://schemas.microsoft.com/office/drawing/2014/main" id="{1275EE7F-129E-4DC4-B82A-6EC402D79080}"/>
              </a:ext>
            </a:extLst>
          </xdr:cNvPr>
          <xdr:cNvSpPr/>
        </xdr:nvSpPr>
        <xdr:spPr>
          <a:xfrm>
            <a:off x="7987393" y="340179"/>
            <a:ext cx="3048001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tr-TR" sz="1400" b="1">
                <a:solidFill>
                  <a:sysClr val="windowText" lastClr="000000"/>
                </a:solidFill>
              </a:rPr>
              <a:t>EN FAZLA KAR GETİREN ÜRÜN</a:t>
            </a:r>
          </a:p>
        </xdr:txBody>
      </xdr:sp>
      <xdr:sp macro="" textlink="'Genel DashboardHesap'!$K$2">
        <xdr:nvSpPr>
          <xdr:cNvPr id="11" name="Metin kutusu 10">
            <a:extLst>
              <a:ext uri="{FF2B5EF4-FFF2-40B4-BE49-F238E27FC236}">
                <a16:creationId xmlns:a16="http://schemas.microsoft.com/office/drawing/2014/main" id="{45B2F0A6-9CC6-4D71-99B0-E11DF739119B}"/>
              </a:ext>
            </a:extLst>
          </xdr:cNvPr>
          <xdr:cNvSpPr txBox="1"/>
        </xdr:nvSpPr>
        <xdr:spPr>
          <a:xfrm>
            <a:off x="8041822" y="693965"/>
            <a:ext cx="1673677" cy="625928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51E425E-D7E8-43C4-828B-E4BCA6B82154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Derin Dondurucu Gri</a:t>
            </a:fld>
            <a:endParaRPr lang="tr-TR" sz="4400" b="1"/>
          </a:p>
        </xdr:txBody>
      </xdr:sp>
      <xdr:sp macro="" textlink="'Genel DashboardHesap'!$L$2">
        <xdr:nvSpPr>
          <xdr:cNvPr id="12" name="Metin kutusu 11">
            <a:extLst>
              <a:ext uri="{FF2B5EF4-FFF2-40B4-BE49-F238E27FC236}">
                <a16:creationId xmlns:a16="http://schemas.microsoft.com/office/drawing/2014/main" id="{11F52CFC-1EFD-484B-94CC-998DD70D25AB}"/>
              </a:ext>
            </a:extLst>
          </xdr:cNvPr>
          <xdr:cNvSpPr txBox="1"/>
        </xdr:nvSpPr>
        <xdr:spPr>
          <a:xfrm>
            <a:off x="9622971" y="707572"/>
            <a:ext cx="1398815" cy="35378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C3F9010-ABBE-42F9-806D-B3DE1DEE412A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 1.374.750 ₺ </a:t>
            </a:fld>
            <a:endParaRPr lang="tr-TR" sz="4400" b="1"/>
          </a:p>
        </xdr:txBody>
      </xdr:sp>
    </xdr:grpSp>
    <xdr:clientData/>
  </xdr:twoCellAnchor>
  <xdr:twoCellAnchor>
    <xdr:from>
      <xdr:col>19</xdr:col>
      <xdr:colOff>231322</xdr:colOff>
      <xdr:row>4</xdr:row>
      <xdr:rowOff>149679</xdr:rowOff>
    </xdr:from>
    <xdr:to>
      <xdr:col>24</xdr:col>
      <xdr:colOff>217716</xdr:colOff>
      <xdr:row>10</xdr:row>
      <xdr:rowOff>27215</xdr:rowOff>
    </xdr:to>
    <xdr:grpSp>
      <xdr:nvGrpSpPr>
        <xdr:cNvPr id="21" name="Grup 20">
          <a:extLst>
            <a:ext uri="{FF2B5EF4-FFF2-40B4-BE49-F238E27FC236}">
              <a16:creationId xmlns:a16="http://schemas.microsoft.com/office/drawing/2014/main" id="{D3BF6C5C-AFB8-0789-D3EF-AB3618C22607}"/>
            </a:ext>
          </a:extLst>
        </xdr:cNvPr>
        <xdr:cNvGrpSpPr/>
      </xdr:nvGrpSpPr>
      <xdr:grpSpPr>
        <a:xfrm>
          <a:off x="11747913" y="911679"/>
          <a:ext cx="3017076" cy="1020536"/>
          <a:chOff x="11865429" y="353786"/>
          <a:chExt cx="3048001" cy="1020536"/>
        </a:xfrm>
      </xdr:grpSpPr>
      <xdr:sp macro="" textlink="">
        <xdr:nvSpPr>
          <xdr:cNvPr id="13" name="Dikdörtgen: Köşeleri Yuvarlatılmış 12">
            <a:extLst>
              <a:ext uri="{FF2B5EF4-FFF2-40B4-BE49-F238E27FC236}">
                <a16:creationId xmlns:a16="http://schemas.microsoft.com/office/drawing/2014/main" id="{15885118-5681-4FBD-ACCB-09D4EB5CC033}"/>
              </a:ext>
            </a:extLst>
          </xdr:cNvPr>
          <xdr:cNvSpPr/>
        </xdr:nvSpPr>
        <xdr:spPr>
          <a:xfrm>
            <a:off x="11865429" y="353786"/>
            <a:ext cx="3048001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tr-TR" sz="1400" b="1">
                <a:solidFill>
                  <a:sysClr val="windowText" lastClr="000000"/>
                </a:solidFill>
              </a:rPr>
              <a:t>EN FAZLA KAZANÇ SAĞLANAN AY</a:t>
            </a:r>
          </a:p>
        </xdr:txBody>
      </xdr:sp>
      <xdr:sp macro="" textlink="'Genel DashboardHesap'!$O$2">
        <xdr:nvSpPr>
          <xdr:cNvPr id="14" name="Metin kutusu 13">
            <a:extLst>
              <a:ext uri="{FF2B5EF4-FFF2-40B4-BE49-F238E27FC236}">
                <a16:creationId xmlns:a16="http://schemas.microsoft.com/office/drawing/2014/main" id="{8554D531-F000-4CE9-A62C-AC49B6044140}"/>
              </a:ext>
            </a:extLst>
          </xdr:cNvPr>
          <xdr:cNvSpPr txBox="1"/>
        </xdr:nvSpPr>
        <xdr:spPr>
          <a:xfrm>
            <a:off x="12314464" y="680358"/>
            <a:ext cx="1197429" cy="625928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08EEA56-0640-4CB0-9EBE-A245C54EC42E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Ağustos</a:t>
            </a:fld>
            <a:endParaRPr lang="tr-TR" sz="6000" b="1"/>
          </a:p>
        </xdr:txBody>
      </xdr:sp>
      <xdr:sp macro="" textlink="'Genel DashboardHesap'!$P$2">
        <xdr:nvSpPr>
          <xdr:cNvPr id="15" name="Metin kutusu 14">
            <a:extLst>
              <a:ext uri="{FF2B5EF4-FFF2-40B4-BE49-F238E27FC236}">
                <a16:creationId xmlns:a16="http://schemas.microsoft.com/office/drawing/2014/main" id="{91D13C2A-214E-4C1D-BE75-6605428CA7B2}"/>
              </a:ext>
            </a:extLst>
          </xdr:cNvPr>
          <xdr:cNvSpPr txBox="1"/>
        </xdr:nvSpPr>
        <xdr:spPr>
          <a:xfrm>
            <a:off x="13487399" y="707572"/>
            <a:ext cx="1398815" cy="35378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E6DD026-997E-4255-9147-2891C4C13906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 1.471.900 ₺ </a:t>
            </a:fld>
            <a:endParaRPr lang="tr-TR" sz="6000" b="1"/>
          </a:p>
        </xdr:txBody>
      </xdr:sp>
    </xdr:grpSp>
    <xdr:clientData/>
  </xdr:twoCellAnchor>
  <xdr:twoCellAnchor>
    <xdr:from>
      <xdr:col>0</xdr:col>
      <xdr:colOff>0</xdr:colOff>
      <xdr:row>10</xdr:row>
      <xdr:rowOff>80406</xdr:rowOff>
    </xdr:from>
    <xdr:to>
      <xdr:col>6</xdr:col>
      <xdr:colOff>12471</xdr:colOff>
      <xdr:row>34</xdr:row>
      <xdr:rowOff>121228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DC98A31-9302-49A1-B054-96B1B9D3E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181049</xdr:colOff>
      <xdr:row>10</xdr:row>
      <xdr:rowOff>80406</xdr:rowOff>
    </xdr:from>
    <xdr:to>
      <xdr:col>12</xdr:col>
      <xdr:colOff>193521</xdr:colOff>
      <xdr:row>34</xdr:row>
      <xdr:rowOff>121228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D7894A4B-1C81-4998-85BC-C873624D4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362099</xdr:colOff>
      <xdr:row>10</xdr:row>
      <xdr:rowOff>80406</xdr:rowOff>
    </xdr:from>
    <xdr:to>
      <xdr:col>18</xdr:col>
      <xdr:colOff>375706</xdr:colOff>
      <xdr:row>34</xdr:row>
      <xdr:rowOff>121228</xdr:rowOff>
    </xdr:to>
    <xdr:graphicFrame macro="">
      <xdr:nvGraphicFramePr>
        <xdr:cNvPr id="16" name="Grafik 15">
          <a:extLst>
            <a:ext uri="{FF2B5EF4-FFF2-40B4-BE49-F238E27FC236}">
              <a16:creationId xmlns:a16="http://schemas.microsoft.com/office/drawing/2014/main" id="{569E09B7-7C29-4D86-8F27-A31C8E209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544284</xdr:colOff>
      <xdr:row>10</xdr:row>
      <xdr:rowOff>80406</xdr:rowOff>
    </xdr:from>
    <xdr:to>
      <xdr:col>24</xdr:col>
      <xdr:colOff>556756</xdr:colOff>
      <xdr:row>34</xdr:row>
      <xdr:rowOff>121228</xdr:rowOff>
    </xdr:to>
    <xdr:graphicFrame macro="">
      <xdr:nvGraphicFramePr>
        <xdr:cNvPr id="17" name="Grafik 16">
          <a:extLst>
            <a:ext uri="{FF2B5EF4-FFF2-40B4-BE49-F238E27FC236}">
              <a16:creationId xmlns:a16="http://schemas.microsoft.com/office/drawing/2014/main" id="{8DA627AB-8C99-4586-8983-D94DB9D70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367393</xdr:colOff>
      <xdr:row>0</xdr:row>
      <xdr:rowOff>40821</xdr:rowOff>
    </xdr:from>
    <xdr:to>
      <xdr:col>20</xdr:col>
      <xdr:colOff>176892</xdr:colOff>
      <xdr:row>4</xdr:row>
      <xdr:rowOff>0</xdr:rowOff>
    </xdr:to>
    <xdr:sp macro="" textlink="">
      <xdr:nvSpPr>
        <xdr:cNvPr id="22" name="Metin kutusu 21">
          <a:extLst>
            <a:ext uri="{FF2B5EF4-FFF2-40B4-BE49-F238E27FC236}">
              <a16:creationId xmlns:a16="http://schemas.microsoft.com/office/drawing/2014/main" id="{FC447FA8-7E87-A53B-99A7-E0A7082CA861}"/>
            </a:ext>
          </a:extLst>
        </xdr:cNvPr>
        <xdr:cNvSpPr txBox="1"/>
      </xdr:nvSpPr>
      <xdr:spPr>
        <a:xfrm>
          <a:off x="2204357" y="40821"/>
          <a:ext cx="10218964" cy="721179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2800" b="1"/>
            <a:t>GENEL SATIŞ</a:t>
          </a:r>
          <a:r>
            <a:rPr lang="tr-TR" sz="2800" b="1" baseline="0"/>
            <a:t> PERFORMANS DURUMU</a:t>
          </a:r>
          <a:endParaRPr lang="tr-TR" sz="2800" b="1"/>
        </a:p>
      </xdr:txBody>
    </xdr:sp>
    <xdr:clientData/>
  </xdr:twoCellAnchor>
  <xdr:twoCellAnchor>
    <xdr:from>
      <xdr:col>20</xdr:col>
      <xdr:colOff>311727</xdr:colOff>
      <xdr:row>0</xdr:row>
      <xdr:rowOff>0</xdr:rowOff>
    </xdr:from>
    <xdr:to>
      <xdr:col>24</xdr:col>
      <xdr:colOff>230781</xdr:colOff>
      <xdr:row>4</xdr:row>
      <xdr:rowOff>148800</xdr:rowOff>
    </xdr:to>
    <xdr:sp macro="" textlink="">
      <xdr:nvSpPr>
        <xdr:cNvPr id="25" name="Ok: Sağ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FBC9EF-6284-2617-4D9B-57AEC286251A}"/>
            </a:ext>
          </a:extLst>
        </xdr:cNvPr>
        <xdr:cNvSpPr/>
      </xdr:nvSpPr>
      <xdr:spPr>
        <a:xfrm>
          <a:off x="12434454" y="0"/>
          <a:ext cx="2343600" cy="910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r-TR" sz="1400" b="1"/>
            <a:t>PERSONEL 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585107</xdr:colOff>
      <xdr:row>37</xdr:row>
      <xdr:rowOff>136072</xdr:rowOff>
    </xdr:to>
    <xdr:sp macro="" textlink="">
      <xdr:nvSpPr>
        <xdr:cNvPr id="41" name="Dikdörtgen 40">
          <a:extLst>
            <a:ext uri="{FF2B5EF4-FFF2-40B4-BE49-F238E27FC236}">
              <a16:creationId xmlns:a16="http://schemas.microsoft.com/office/drawing/2014/main" id="{E032282C-F696-69C7-FEA9-EAA7AB203A81}"/>
            </a:ext>
          </a:extLst>
        </xdr:cNvPr>
        <xdr:cNvSpPr/>
      </xdr:nvSpPr>
      <xdr:spPr>
        <a:xfrm>
          <a:off x="0" y="0"/>
          <a:ext cx="11742964" cy="718457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870856</xdr:colOff>
      <xdr:row>6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ersonelAd2">
              <a:extLst>
                <a:ext uri="{FF2B5EF4-FFF2-40B4-BE49-F238E27FC236}">
                  <a16:creationId xmlns:a16="http://schemas.microsoft.com/office/drawing/2014/main" id="{278C54F1-6907-DA8C-61CB-A6CEA8F539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onelA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8750629" cy="1266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0</xdr:col>
      <xdr:colOff>13606</xdr:colOff>
      <xdr:row>7</xdr:row>
      <xdr:rowOff>146276</xdr:rowOff>
    </xdr:from>
    <xdr:to>
      <xdr:col>4</xdr:col>
      <xdr:colOff>258536</xdr:colOff>
      <xdr:row>22</xdr:row>
      <xdr:rowOff>31976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876C5FD4-FD32-4BB0-AF8A-64A045B60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435428</xdr:colOff>
      <xdr:row>8</xdr:row>
      <xdr:rowOff>13606</xdr:rowOff>
    </xdr:from>
    <xdr:to>
      <xdr:col>7</xdr:col>
      <xdr:colOff>802821</xdr:colOff>
      <xdr:row>13</xdr:row>
      <xdr:rowOff>81642</xdr:rowOff>
    </xdr:to>
    <xdr:grpSp>
      <xdr:nvGrpSpPr>
        <xdr:cNvPr id="17" name="Grup 16">
          <a:extLst>
            <a:ext uri="{FF2B5EF4-FFF2-40B4-BE49-F238E27FC236}">
              <a16:creationId xmlns:a16="http://schemas.microsoft.com/office/drawing/2014/main" id="{99CD0B25-0347-429B-1A83-13A278D8D995}"/>
            </a:ext>
          </a:extLst>
        </xdr:cNvPr>
        <xdr:cNvGrpSpPr/>
      </xdr:nvGrpSpPr>
      <xdr:grpSpPr>
        <a:xfrm>
          <a:off x="5942610" y="1537606"/>
          <a:ext cx="2739984" cy="1020536"/>
          <a:chOff x="12450536" y="13607"/>
          <a:chExt cx="2789464" cy="1020536"/>
        </a:xfrm>
      </xdr:grpSpPr>
      <xdr:sp macro="" textlink="">
        <xdr:nvSpPr>
          <xdr:cNvPr id="6" name="Dikdörtgen: Köşeleri Yuvarlatılmış 5">
            <a:extLst>
              <a:ext uri="{FF2B5EF4-FFF2-40B4-BE49-F238E27FC236}">
                <a16:creationId xmlns:a16="http://schemas.microsoft.com/office/drawing/2014/main" id="{FE4DE6AC-8379-7EDF-75D5-AD4F2D77BCD4}"/>
              </a:ext>
            </a:extLst>
          </xdr:cNvPr>
          <xdr:cNvSpPr/>
        </xdr:nvSpPr>
        <xdr:spPr>
          <a:xfrm>
            <a:off x="12450536" y="13607"/>
            <a:ext cx="2789464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tr-TR" sz="1400" b="1">
                <a:solidFill>
                  <a:sysClr val="windowText" lastClr="000000"/>
                </a:solidFill>
              </a:rPr>
              <a:t>EN FAZLA SATIŞ YAPTIĞI ŞEHİR</a:t>
            </a:r>
          </a:p>
        </xdr:txBody>
      </xdr:sp>
      <xdr:grpSp>
        <xdr:nvGrpSpPr>
          <xdr:cNvPr id="12" name="Grup 11">
            <a:extLst>
              <a:ext uri="{FF2B5EF4-FFF2-40B4-BE49-F238E27FC236}">
                <a16:creationId xmlns:a16="http://schemas.microsoft.com/office/drawing/2014/main" id="{C8B8145C-1730-4460-1DC4-786733FD956C}"/>
              </a:ext>
            </a:extLst>
          </xdr:cNvPr>
          <xdr:cNvGrpSpPr/>
        </xdr:nvGrpSpPr>
        <xdr:grpSpPr>
          <a:xfrm>
            <a:off x="12584538" y="574222"/>
            <a:ext cx="2641855" cy="405491"/>
            <a:chOff x="6393288" y="2247901"/>
            <a:chExt cx="2641855" cy="405491"/>
          </a:xfrm>
        </xdr:grpSpPr>
        <xdr:sp macro="" textlink="'Per Dashboard Hesap'!$B$1">
          <xdr:nvSpPr>
            <xdr:cNvPr id="7" name="Metin kutusu 6">
              <a:extLst>
                <a:ext uri="{FF2B5EF4-FFF2-40B4-BE49-F238E27FC236}">
                  <a16:creationId xmlns:a16="http://schemas.microsoft.com/office/drawing/2014/main" id="{2B9DD9E1-A4AC-4531-34C0-7C315150D2DD}"/>
                </a:ext>
              </a:extLst>
            </xdr:cNvPr>
            <xdr:cNvSpPr txBox="1"/>
          </xdr:nvSpPr>
          <xdr:spPr>
            <a:xfrm>
              <a:off x="6393288" y="2247901"/>
              <a:ext cx="1213106" cy="35378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2EC4DA3-D8AB-4729-8C9D-79A54C5B317F}" type="TxLink">
                <a:rPr lang="en-US" sz="1800" b="1" i="0" u="none" strike="noStrike">
                  <a:solidFill>
                    <a:srgbClr val="000000"/>
                  </a:solidFill>
                  <a:latin typeface="Aptos Narrow"/>
                </a:rPr>
                <a:t>Diyarbakır</a:t>
              </a:fld>
              <a:endParaRPr lang="tr-TR" sz="2800" b="1"/>
            </a:p>
          </xdr:txBody>
        </xdr:sp>
        <xdr:sp macro="" textlink="'Per Dashboard Hesap'!$B$2">
          <xdr:nvSpPr>
            <xdr:cNvPr id="9" name="Metin kutusu 8">
              <a:extLst>
                <a:ext uri="{FF2B5EF4-FFF2-40B4-BE49-F238E27FC236}">
                  <a16:creationId xmlns:a16="http://schemas.microsoft.com/office/drawing/2014/main" id="{F9A0AF70-D806-4461-80E4-355D47D84AA9}"/>
                </a:ext>
              </a:extLst>
            </xdr:cNvPr>
            <xdr:cNvSpPr txBox="1"/>
          </xdr:nvSpPr>
          <xdr:spPr>
            <a:xfrm>
              <a:off x="7579830" y="2264228"/>
              <a:ext cx="666098" cy="35378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15B8E0C5-231D-470F-872E-5426DEF4C36F}" type="TxLink">
                <a:rPr lang="en-US" sz="1800" b="1" i="0" u="none" strike="noStrike">
                  <a:solidFill>
                    <a:srgbClr val="000000"/>
                  </a:solidFill>
                  <a:latin typeface="Aptos Narrow"/>
                </a:rPr>
                <a:t>71</a:t>
              </a:fld>
              <a:endParaRPr lang="tr-TR" sz="4400" b="1"/>
            </a:p>
          </xdr:txBody>
        </xdr:sp>
        <xdr:sp macro="" textlink="">
          <xdr:nvSpPr>
            <xdr:cNvPr id="11" name="Metin kutusu 10">
              <a:extLst>
                <a:ext uri="{FF2B5EF4-FFF2-40B4-BE49-F238E27FC236}">
                  <a16:creationId xmlns:a16="http://schemas.microsoft.com/office/drawing/2014/main" id="{636CEA0D-3672-1B7B-732A-CADBD9C7653C}"/>
                </a:ext>
              </a:extLst>
            </xdr:cNvPr>
            <xdr:cNvSpPr txBox="1"/>
          </xdr:nvSpPr>
          <xdr:spPr>
            <a:xfrm>
              <a:off x="7973786" y="2272391"/>
              <a:ext cx="1061357" cy="381001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r-TR" sz="1800" b="1"/>
                <a:t>Adet</a:t>
              </a:r>
            </a:p>
          </xdr:txBody>
        </xdr:sp>
      </xdr:grpSp>
    </xdr:grpSp>
    <xdr:clientData/>
  </xdr:twoCellAnchor>
  <xdr:twoCellAnchor>
    <xdr:from>
      <xdr:col>4</xdr:col>
      <xdr:colOff>435428</xdr:colOff>
      <xdr:row>14</xdr:row>
      <xdr:rowOff>132443</xdr:rowOff>
    </xdr:from>
    <xdr:to>
      <xdr:col>7</xdr:col>
      <xdr:colOff>802821</xdr:colOff>
      <xdr:row>20</xdr:row>
      <xdr:rowOff>9979</xdr:rowOff>
    </xdr:to>
    <xdr:grpSp>
      <xdr:nvGrpSpPr>
        <xdr:cNvPr id="18" name="Grup 17">
          <a:extLst>
            <a:ext uri="{FF2B5EF4-FFF2-40B4-BE49-F238E27FC236}">
              <a16:creationId xmlns:a16="http://schemas.microsoft.com/office/drawing/2014/main" id="{B1C1F8FA-FB8D-32E1-A622-64BE61453A8A}"/>
            </a:ext>
          </a:extLst>
        </xdr:cNvPr>
        <xdr:cNvGrpSpPr/>
      </xdr:nvGrpSpPr>
      <xdr:grpSpPr>
        <a:xfrm>
          <a:off x="5942610" y="2799443"/>
          <a:ext cx="2739984" cy="1020536"/>
          <a:chOff x="12477750" y="1387928"/>
          <a:chExt cx="2789464" cy="1020536"/>
        </a:xfrm>
      </xdr:grpSpPr>
      <xdr:sp macro="" textlink="">
        <xdr:nvSpPr>
          <xdr:cNvPr id="13" name="Dikdörtgen: Köşeleri Yuvarlatılmış 12">
            <a:extLst>
              <a:ext uri="{FF2B5EF4-FFF2-40B4-BE49-F238E27FC236}">
                <a16:creationId xmlns:a16="http://schemas.microsoft.com/office/drawing/2014/main" id="{48050513-6375-48DA-A4C5-D9D7450D5B75}"/>
              </a:ext>
            </a:extLst>
          </xdr:cNvPr>
          <xdr:cNvSpPr/>
        </xdr:nvSpPr>
        <xdr:spPr>
          <a:xfrm>
            <a:off x="12477750" y="1387928"/>
            <a:ext cx="2789464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tr-TR" sz="1400" b="1">
                <a:solidFill>
                  <a:sysClr val="windowText" lastClr="000000"/>
                </a:solidFill>
              </a:rPr>
              <a:t>EN FAZLA KAZANÇ</a:t>
            </a:r>
            <a:r>
              <a:rPr lang="tr-TR" sz="1400" b="1" baseline="0">
                <a:solidFill>
                  <a:sysClr val="windowText" lastClr="000000"/>
                </a:solidFill>
              </a:rPr>
              <a:t> SAĞLADIĞI </a:t>
            </a:r>
            <a:r>
              <a:rPr lang="tr-TR" sz="1400" b="1">
                <a:solidFill>
                  <a:sysClr val="windowText" lastClr="000000"/>
                </a:solidFill>
              </a:rPr>
              <a:t>ŞEHİR</a:t>
            </a:r>
          </a:p>
        </xdr:txBody>
      </xdr:sp>
      <xdr:sp macro="" textlink="'Per Dashboard Hesap'!$D$1">
        <xdr:nvSpPr>
          <xdr:cNvPr id="14" name="Metin kutusu 13">
            <a:extLst>
              <a:ext uri="{FF2B5EF4-FFF2-40B4-BE49-F238E27FC236}">
                <a16:creationId xmlns:a16="http://schemas.microsoft.com/office/drawing/2014/main" id="{B406867A-F5FD-4D41-A40F-D5135E8327DA}"/>
              </a:ext>
            </a:extLst>
          </xdr:cNvPr>
          <xdr:cNvSpPr txBox="1"/>
        </xdr:nvSpPr>
        <xdr:spPr>
          <a:xfrm>
            <a:off x="12681857" y="1932213"/>
            <a:ext cx="1213106" cy="35378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7E4561E-4446-4667-8A3B-EEEED7F9571C}" type="TxLink">
              <a:rPr lang="en-US" sz="1650" b="1" i="0" u="none" strike="noStrike">
                <a:solidFill>
                  <a:srgbClr val="000000"/>
                </a:solidFill>
                <a:latin typeface="Aptos Narrow"/>
              </a:rPr>
              <a:t>Diyarbakır</a:t>
            </a:fld>
            <a:endParaRPr lang="tr-TR" sz="1650" b="1"/>
          </a:p>
        </xdr:txBody>
      </xdr:sp>
      <xdr:sp macro="" textlink="'Per Dashboard Hesap'!$D$2">
        <xdr:nvSpPr>
          <xdr:cNvPr id="15" name="Metin kutusu 14">
            <a:extLst>
              <a:ext uri="{FF2B5EF4-FFF2-40B4-BE49-F238E27FC236}">
                <a16:creationId xmlns:a16="http://schemas.microsoft.com/office/drawing/2014/main" id="{4C648DEB-E28B-4DA0-8152-5A7886B98235}"/>
              </a:ext>
            </a:extLst>
          </xdr:cNvPr>
          <xdr:cNvSpPr txBox="1"/>
        </xdr:nvSpPr>
        <xdr:spPr>
          <a:xfrm>
            <a:off x="13756820" y="1945821"/>
            <a:ext cx="1102179" cy="394607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125DC93-674F-4DD5-84D2-D5E417439CD1}" type="TxLink">
              <a:rPr lang="en-US" sz="1650" b="1" i="0" u="none" strike="noStrike">
                <a:solidFill>
                  <a:srgbClr val="000000"/>
                </a:solidFill>
                <a:latin typeface="Aptos Narrow"/>
              </a:rPr>
              <a:t> 86.010 ₺ </a:t>
            </a:fld>
            <a:endParaRPr lang="tr-TR" sz="1650" b="1"/>
          </a:p>
        </xdr:txBody>
      </xdr:sp>
    </xdr:grpSp>
    <xdr:clientData/>
  </xdr:twoCellAnchor>
  <xdr:twoCellAnchor>
    <xdr:from>
      <xdr:col>0</xdr:col>
      <xdr:colOff>13606</xdr:colOff>
      <xdr:row>22</xdr:row>
      <xdr:rowOff>187098</xdr:rowOff>
    </xdr:from>
    <xdr:to>
      <xdr:col>4</xdr:col>
      <xdr:colOff>259113</xdr:colOff>
      <xdr:row>37</xdr:row>
      <xdr:rowOff>72798</xdr:rowOff>
    </xdr:to>
    <xdr:graphicFrame macro="">
      <xdr:nvGraphicFramePr>
        <xdr:cNvPr id="16" name="Grafik 15">
          <a:extLst>
            <a:ext uri="{FF2B5EF4-FFF2-40B4-BE49-F238E27FC236}">
              <a16:creationId xmlns:a16="http://schemas.microsoft.com/office/drawing/2014/main" id="{4518EEA8-32E5-4DCA-BE6A-43FCFE985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435428</xdr:colOff>
      <xdr:row>21</xdr:row>
      <xdr:rowOff>60780</xdr:rowOff>
    </xdr:from>
    <xdr:to>
      <xdr:col>7</xdr:col>
      <xdr:colOff>802821</xdr:colOff>
      <xdr:row>26</xdr:row>
      <xdr:rowOff>128816</xdr:rowOff>
    </xdr:to>
    <xdr:grpSp>
      <xdr:nvGrpSpPr>
        <xdr:cNvPr id="36" name="Grup 35">
          <a:extLst>
            <a:ext uri="{FF2B5EF4-FFF2-40B4-BE49-F238E27FC236}">
              <a16:creationId xmlns:a16="http://schemas.microsoft.com/office/drawing/2014/main" id="{61BA5F0F-2CDA-588B-F287-29005B74F9CC}"/>
            </a:ext>
          </a:extLst>
        </xdr:cNvPr>
        <xdr:cNvGrpSpPr/>
      </xdr:nvGrpSpPr>
      <xdr:grpSpPr>
        <a:xfrm>
          <a:off x="5942610" y="4061280"/>
          <a:ext cx="2739984" cy="1020536"/>
          <a:chOff x="6082393" y="4109358"/>
          <a:chExt cx="2748643" cy="1020536"/>
        </a:xfrm>
      </xdr:grpSpPr>
      <xdr:sp macro="" textlink="">
        <xdr:nvSpPr>
          <xdr:cNvPr id="20" name="Dikdörtgen: Köşeleri Yuvarlatılmış 19">
            <a:extLst>
              <a:ext uri="{FF2B5EF4-FFF2-40B4-BE49-F238E27FC236}">
                <a16:creationId xmlns:a16="http://schemas.microsoft.com/office/drawing/2014/main" id="{2A4A0813-062F-A962-1EC7-E19A76460ABE}"/>
              </a:ext>
            </a:extLst>
          </xdr:cNvPr>
          <xdr:cNvSpPr/>
        </xdr:nvSpPr>
        <xdr:spPr>
          <a:xfrm>
            <a:off x="6082393" y="4109358"/>
            <a:ext cx="2748643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tr-TR" sz="1400" b="1">
                <a:solidFill>
                  <a:sysClr val="windowText" lastClr="000000"/>
                </a:solidFill>
              </a:rPr>
              <a:t>EN FAZLA SATIŞ YAPTIĞI ÜRÜN</a:t>
            </a:r>
          </a:p>
        </xdr:txBody>
      </xdr:sp>
      <xdr:sp macro="" textlink="'Per Dashboard Hesap'!$L$1">
        <xdr:nvSpPr>
          <xdr:cNvPr id="21" name="Metin kutusu 20">
            <a:extLst>
              <a:ext uri="{FF2B5EF4-FFF2-40B4-BE49-F238E27FC236}">
                <a16:creationId xmlns:a16="http://schemas.microsoft.com/office/drawing/2014/main" id="{5D5F307C-A5A6-804D-C35B-BC13262FB1BD}"/>
              </a:ext>
            </a:extLst>
          </xdr:cNvPr>
          <xdr:cNvSpPr txBox="1"/>
        </xdr:nvSpPr>
        <xdr:spPr>
          <a:xfrm>
            <a:off x="6120228" y="4476750"/>
            <a:ext cx="1540593" cy="612321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5146A80-A3B3-4460-8A2B-18604B08C223}" type="TxLink">
              <a:rPr lang="en-US" sz="1600" b="1" i="0" u="none" strike="noStrike">
                <a:solidFill>
                  <a:sysClr val="windowText" lastClr="000000"/>
                </a:solidFill>
                <a:latin typeface="Aptos Narrow"/>
              </a:rPr>
              <a:t>Kahve Makinesi Y Marka</a:t>
            </a:fld>
            <a:endParaRPr lang="tr-TR" sz="2400" b="1">
              <a:solidFill>
                <a:sysClr val="windowText" lastClr="000000"/>
              </a:solidFill>
            </a:endParaRPr>
          </a:p>
        </xdr:txBody>
      </xdr:sp>
      <xdr:sp macro="" textlink="'Per Dashboard Hesap'!$L$2">
        <xdr:nvSpPr>
          <xdr:cNvPr id="22" name="Metin kutusu 21">
            <a:extLst>
              <a:ext uri="{FF2B5EF4-FFF2-40B4-BE49-F238E27FC236}">
                <a16:creationId xmlns:a16="http://schemas.microsoft.com/office/drawing/2014/main" id="{05E74CF2-46BA-97ED-9A1F-56D97E508AFC}"/>
              </a:ext>
            </a:extLst>
          </xdr:cNvPr>
          <xdr:cNvSpPr txBox="1"/>
        </xdr:nvSpPr>
        <xdr:spPr>
          <a:xfrm>
            <a:off x="7506031" y="4599215"/>
            <a:ext cx="671862" cy="394607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470FBDE-8A3A-40C3-B7DE-8291FFEA0D33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116</a:t>
            </a:fld>
            <a:endParaRPr lang="tr-TR" sz="2400" b="1"/>
          </a:p>
        </xdr:txBody>
      </xdr:sp>
      <xdr:sp macro="" textlink="">
        <xdr:nvSpPr>
          <xdr:cNvPr id="23" name="Metin kutusu 22">
            <a:extLst>
              <a:ext uri="{FF2B5EF4-FFF2-40B4-BE49-F238E27FC236}">
                <a16:creationId xmlns:a16="http://schemas.microsoft.com/office/drawing/2014/main" id="{1CA8C394-14DA-4ECC-B5E9-06503D139E05}"/>
              </a:ext>
            </a:extLst>
          </xdr:cNvPr>
          <xdr:cNvSpPr txBox="1"/>
        </xdr:nvSpPr>
        <xdr:spPr>
          <a:xfrm>
            <a:off x="7919358" y="4572001"/>
            <a:ext cx="761999" cy="381001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tr-TR" sz="1800" b="1"/>
              <a:t>Adet</a:t>
            </a:r>
          </a:p>
        </xdr:txBody>
      </xdr:sp>
    </xdr:grpSp>
    <xdr:clientData/>
  </xdr:twoCellAnchor>
  <xdr:twoCellAnchor>
    <xdr:from>
      <xdr:col>4</xdr:col>
      <xdr:colOff>435428</xdr:colOff>
      <xdr:row>27</xdr:row>
      <xdr:rowOff>179616</xdr:rowOff>
    </xdr:from>
    <xdr:to>
      <xdr:col>7</xdr:col>
      <xdr:colOff>802821</xdr:colOff>
      <xdr:row>33</xdr:row>
      <xdr:rowOff>57152</xdr:rowOff>
    </xdr:to>
    <xdr:grpSp>
      <xdr:nvGrpSpPr>
        <xdr:cNvPr id="37" name="Grup 36">
          <a:extLst>
            <a:ext uri="{FF2B5EF4-FFF2-40B4-BE49-F238E27FC236}">
              <a16:creationId xmlns:a16="http://schemas.microsoft.com/office/drawing/2014/main" id="{0D0A594F-D2E7-890A-6E33-3EAE34BC46C7}"/>
            </a:ext>
          </a:extLst>
        </xdr:cNvPr>
        <xdr:cNvGrpSpPr/>
      </xdr:nvGrpSpPr>
      <xdr:grpSpPr>
        <a:xfrm>
          <a:off x="5942610" y="5323116"/>
          <a:ext cx="2739984" cy="1020536"/>
          <a:chOff x="6098722" y="5323116"/>
          <a:chExt cx="2748643" cy="1020536"/>
        </a:xfrm>
      </xdr:grpSpPr>
      <xdr:sp macro="" textlink="">
        <xdr:nvSpPr>
          <xdr:cNvPr id="24" name="Dikdörtgen: Köşeleri Yuvarlatılmış 23">
            <a:extLst>
              <a:ext uri="{FF2B5EF4-FFF2-40B4-BE49-F238E27FC236}">
                <a16:creationId xmlns:a16="http://schemas.microsoft.com/office/drawing/2014/main" id="{9E94BFE6-49D4-4B73-A423-62F573C5371B}"/>
              </a:ext>
            </a:extLst>
          </xdr:cNvPr>
          <xdr:cNvSpPr/>
        </xdr:nvSpPr>
        <xdr:spPr>
          <a:xfrm>
            <a:off x="6098722" y="5323116"/>
            <a:ext cx="2748643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r>
              <a:rPr lang="tr-TR" sz="1400" b="1">
                <a:solidFill>
                  <a:sysClr val="windowText" lastClr="000000"/>
                </a:solidFill>
              </a:rPr>
              <a:t>EN FAZLA KAZANÇ</a:t>
            </a:r>
            <a:r>
              <a:rPr lang="tr-TR" sz="1400" b="1" baseline="0">
                <a:solidFill>
                  <a:sysClr val="windowText" lastClr="000000"/>
                </a:solidFill>
              </a:rPr>
              <a:t> SAĞLADIĞI </a:t>
            </a:r>
            <a:r>
              <a:rPr lang="tr-TR" sz="1400" b="1">
                <a:solidFill>
                  <a:sysClr val="windowText" lastClr="000000"/>
                </a:solidFill>
              </a:rPr>
              <a:t>ÜRÜN</a:t>
            </a:r>
          </a:p>
        </xdr:txBody>
      </xdr:sp>
      <xdr:sp macro="" textlink="'Per Dashboard Hesap'!$N$1">
        <xdr:nvSpPr>
          <xdr:cNvPr id="25" name="Metin kutusu 24">
            <a:extLst>
              <a:ext uri="{FF2B5EF4-FFF2-40B4-BE49-F238E27FC236}">
                <a16:creationId xmlns:a16="http://schemas.microsoft.com/office/drawing/2014/main" id="{DBA0D18A-4C0B-4EED-AB10-81D7F4A3A8DD}"/>
              </a:ext>
            </a:extLst>
          </xdr:cNvPr>
          <xdr:cNvSpPr txBox="1"/>
        </xdr:nvSpPr>
        <xdr:spPr>
          <a:xfrm>
            <a:off x="6139544" y="5633356"/>
            <a:ext cx="1630136" cy="666751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C1EAAEC-C63D-47D5-9CFE-A3BCC252FF2A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Derin Dondurucu Gri</a:t>
            </a:fld>
            <a:endParaRPr lang="tr-TR" sz="3600" b="1">
              <a:solidFill>
                <a:sysClr val="windowText" lastClr="000000"/>
              </a:solidFill>
            </a:endParaRPr>
          </a:p>
        </xdr:txBody>
      </xdr:sp>
      <xdr:sp macro="" textlink="'Per Dashboard Hesap'!$N$2">
        <xdr:nvSpPr>
          <xdr:cNvPr id="26" name="Metin kutusu 25">
            <a:extLst>
              <a:ext uri="{FF2B5EF4-FFF2-40B4-BE49-F238E27FC236}">
                <a16:creationId xmlns:a16="http://schemas.microsoft.com/office/drawing/2014/main" id="{91BBB157-5517-4002-8AF5-93439664AF2D}"/>
              </a:ext>
            </a:extLst>
          </xdr:cNvPr>
          <xdr:cNvSpPr txBox="1"/>
        </xdr:nvSpPr>
        <xdr:spPr>
          <a:xfrm>
            <a:off x="7810500" y="5812973"/>
            <a:ext cx="1034143" cy="394607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89C34F6-3DB6-4986-9FDB-B6514E9081DA}" type="TxLink">
              <a:rPr lang="en-US" sz="1600" b="1" i="0" u="none" strike="noStrike">
                <a:solidFill>
                  <a:sysClr val="windowText" lastClr="000000"/>
                </a:solidFill>
                <a:latin typeface="Aptos Narrow"/>
              </a:rPr>
              <a:t> 256.500 ₺ </a:t>
            </a:fld>
            <a:endParaRPr lang="tr-TR" sz="16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</xdr:col>
      <xdr:colOff>1061357</xdr:colOff>
      <xdr:row>8</xdr:row>
      <xdr:rowOff>13606</xdr:rowOff>
    </xdr:from>
    <xdr:to>
      <xdr:col>9</xdr:col>
      <xdr:colOff>544286</xdr:colOff>
      <xdr:row>13</xdr:row>
      <xdr:rowOff>81642</xdr:rowOff>
    </xdr:to>
    <xdr:grpSp>
      <xdr:nvGrpSpPr>
        <xdr:cNvPr id="40" name="Grup 39">
          <a:extLst>
            <a:ext uri="{FF2B5EF4-FFF2-40B4-BE49-F238E27FC236}">
              <a16:creationId xmlns:a16="http://schemas.microsoft.com/office/drawing/2014/main" id="{115E83C1-F928-C8AF-11B8-A9107DD72A18}"/>
            </a:ext>
          </a:extLst>
        </xdr:cNvPr>
        <xdr:cNvGrpSpPr/>
      </xdr:nvGrpSpPr>
      <xdr:grpSpPr>
        <a:xfrm>
          <a:off x="8941130" y="1537606"/>
          <a:ext cx="2738747" cy="1020536"/>
          <a:chOff x="8953500" y="1510393"/>
          <a:chExt cx="2748643" cy="1020536"/>
        </a:xfrm>
      </xdr:grpSpPr>
      <xdr:sp macro="" textlink="">
        <xdr:nvSpPr>
          <xdr:cNvPr id="28" name="Dikdörtgen: Köşeleri Yuvarlatılmış 27">
            <a:extLst>
              <a:ext uri="{FF2B5EF4-FFF2-40B4-BE49-F238E27FC236}">
                <a16:creationId xmlns:a16="http://schemas.microsoft.com/office/drawing/2014/main" id="{06D3C0FA-DAE9-4EF2-B2B8-8A1D2F641C61}"/>
              </a:ext>
            </a:extLst>
          </xdr:cNvPr>
          <xdr:cNvSpPr/>
        </xdr:nvSpPr>
        <xdr:spPr>
          <a:xfrm>
            <a:off x="8953500" y="1510393"/>
            <a:ext cx="2748643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tr-TR" sz="1400" b="1">
                <a:solidFill>
                  <a:sysClr val="windowText" lastClr="000000"/>
                </a:solidFill>
              </a:rPr>
              <a:t>EN FAZLA SATIŞ YAPTIĞI AY</a:t>
            </a:r>
          </a:p>
        </xdr:txBody>
      </xdr:sp>
      <xdr:grpSp>
        <xdr:nvGrpSpPr>
          <xdr:cNvPr id="39" name="Grup 38">
            <a:extLst>
              <a:ext uri="{FF2B5EF4-FFF2-40B4-BE49-F238E27FC236}">
                <a16:creationId xmlns:a16="http://schemas.microsoft.com/office/drawing/2014/main" id="{E0459DD0-B1B0-5C3E-B0D7-CF3B3A9AC1F2}"/>
              </a:ext>
            </a:extLst>
          </xdr:cNvPr>
          <xdr:cNvGrpSpPr/>
        </xdr:nvGrpSpPr>
        <xdr:grpSpPr>
          <a:xfrm>
            <a:off x="9071934" y="2033647"/>
            <a:ext cx="2431570" cy="380259"/>
            <a:chOff x="9085541" y="2060861"/>
            <a:chExt cx="2431570" cy="380259"/>
          </a:xfrm>
        </xdr:grpSpPr>
        <xdr:sp macro="" textlink="'Per Dashboard Hesap'!$G$1">
          <xdr:nvSpPr>
            <xdr:cNvPr id="30" name="Metin kutusu 29">
              <a:extLst>
                <a:ext uri="{FF2B5EF4-FFF2-40B4-BE49-F238E27FC236}">
                  <a16:creationId xmlns:a16="http://schemas.microsoft.com/office/drawing/2014/main" id="{8414F9F8-934D-3E67-431D-859802EF5E5F}"/>
                </a:ext>
              </a:extLst>
            </xdr:cNvPr>
            <xdr:cNvSpPr txBox="1"/>
          </xdr:nvSpPr>
          <xdr:spPr>
            <a:xfrm>
              <a:off x="9085541" y="2071008"/>
              <a:ext cx="1195353" cy="35378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83AD29F0-A809-49E2-991A-28D28936FFEB}" type="TxLink">
                <a:rPr lang="en-US" sz="1800" b="1" i="0" u="none" strike="noStrike">
                  <a:solidFill>
                    <a:srgbClr val="000000"/>
                  </a:solidFill>
                  <a:latin typeface="Aptos Narrow"/>
                </a:rPr>
                <a:t>Ağustos</a:t>
              </a:fld>
              <a:endParaRPr lang="tr-TR" sz="1800" b="1"/>
            </a:p>
          </xdr:txBody>
        </xdr:sp>
        <xdr:sp macro="" textlink="'Per Dashboard Hesap'!$G$2">
          <xdr:nvSpPr>
            <xdr:cNvPr id="31" name="Metin kutusu 30">
              <a:extLst>
                <a:ext uri="{FF2B5EF4-FFF2-40B4-BE49-F238E27FC236}">
                  <a16:creationId xmlns:a16="http://schemas.microsoft.com/office/drawing/2014/main" id="{073A18AD-9CCA-FBE9-04A5-09EC6367F964}"/>
                </a:ext>
              </a:extLst>
            </xdr:cNvPr>
            <xdr:cNvSpPr txBox="1"/>
          </xdr:nvSpPr>
          <xdr:spPr>
            <a:xfrm>
              <a:off x="10185196" y="2087335"/>
              <a:ext cx="656350" cy="35378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19C660BC-6F4F-4C1E-BF99-B99945EEFE27}" type="TxLink">
                <a:rPr lang="en-US" sz="1800" b="1" i="0" u="none" strike="noStrike">
                  <a:solidFill>
                    <a:srgbClr val="000000"/>
                  </a:solidFill>
                  <a:latin typeface="Aptos Narrow"/>
                </a:rPr>
                <a:t>97</a:t>
              </a:fld>
              <a:endParaRPr lang="tr-TR" sz="1800" b="1"/>
            </a:p>
          </xdr:txBody>
        </xdr:sp>
        <xdr:sp macro="" textlink="">
          <xdr:nvSpPr>
            <xdr:cNvPr id="32" name="Metin kutusu 31">
              <a:extLst>
                <a:ext uri="{FF2B5EF4-FFF2-40B4-BE49-F238E27FC236}">
                  <a16:creationId xmlns:a16="http://schemas.microsoft.com/office/drawing/2014/main" id="{E5A7606C-79F5-492E-722C-0A3AC9023706}"/>
                </a:ext>
              </a:extLst>
            </xdr:cNvPr>
            <xdr:cNvSpPr txBox="1"/>
          </xdr:nvSpPr>
          <xdr:spPr>
            <a:xfrm>
              <a:off x="10764574" y="2060861"/>
              <a:ext cx="752537" cy="36368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r-TR" sz="1800" b="1"/>
                <a:t>Adet</a:t>
              </a:r>
            </a:p>
          </xdr:txBody>
        </xdr:sp>
      </xdr:grpSp>
    </xdr:grpSp>
    <xdr:clientData/>
  </xdr:twoCellAnchor>
  <xdr:twoCellAnchor>
    <xdr:from>
      <xdr:col>7</xdr:col>
      <xdr:colOff>1061357</xdr:colOff>
      <xdr:row>14</xdr:row>
      <xdr:rowOff>132443</xdr:rowOff>
    </xdr:from>
    <xdr:to>
      <xdr:col>9</xdr:col>
      <xdr:colOff>544286</xdr:colOff>
      <xdr:row>20</xdr:row>
      <xdr:rowOff>9979</xdr:rowOff>
    </xdr:to>
    <xdr:grpSp>
      <xdr:nvGrpSpPr>
        <xdr:cNvPr id="38" name="Grup 37">
          <a:extLst>
            <a:ext uri="{FF2B5EF4-FFF2-40B4-BE49-F238E27FC236}">
              <a16:creationId xmlns:a16="http://schemas.microsoft.com/office/drawing/2014/main" id="{5F69FBC4-0331-4C37-B88F-1EA39CE49B44}"/>
            </a:ext>
          </a:extLst>
        </xdr:cNvPr>
        <xdr:cNvGrpSpPr/>
      </xdr:nvGrpSpPr>
      <xdr:grpSpPr>
        <a:xfrm>
          <a:off x="8941130" y="2799443"/>
          <a:ext cx="2738747" cy="1020536"/>
          <a:chOff x="9035143" y="2830286"/>
          <a:chExt cx="2748643" cy="1020536"/>
        </a:xfrm>
      </xdr:grpSpPr>
      <xdr:sp macro="" textlink="">
        <xdr:nvSpPr>
          <xdr:cNvPr id="33" name="Dikdörtgen: Köşeleri Yuvarlatılmış 32">
            <a:extLst>
              <a:ext uri="{FF2B5EF4-FFF2-40B4-BE49-F238E27FC236}">
                <a16:creationId xmlns:a16="http://schemas.microsoft.com/office/drawing/2014/main" id="{C4E2BAA4-3069-4033-BEA1-C5DFDF0292F3}"/>
              </a:ext>
            </a:extLst>
          </xdr:cNvPr>
          <xdr:cNvSpPr/>
        </xdr:nvSpPr>
        <xdr:spPr>
          <a:xfrm>
            <a:off x="9035143" y="2830286"/>
            <a:ext cx="2748643" cy="1020536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tr-TR" sz="1400" b="1">
                <a:solidFill>
                  <a:sysClr val="windowText" lastClr="000000"/>
                </a:solidFill>
              </a:rPr>
              <a:t>EN FAZLA KAZANÇ YAPTIĞI AY</a:t>
            </a:r>
          </a:p>
        </xdr:txBody>
      </xdr:sp>
      <xdr:sp macro="" textlink="'Per Dashboard Hesap'!$I$1">
        <xdr:nvSpPr>
          <xdr:cNvPr id="34" name="Metin kutusu 33">
            <a:extLst>
              <a:ext uri="{FF2B5EF4-FFF2-40B4-BE49-F238E27FC236}">
                <a16:creationId xmlns:a16="http://schemas.microsoft.com/office/drawing/2014/main" id="{A77FAD48-FF5F-4716-A9FD-0416A22A5402}"/>
              </a:ext>
            </a:extLst>
          </xdr:cNvPr>
          <xdr:cNvSpPr txBox="1"/>
        </xdr:nvSpPr>
        <xdr:spPr>
          <a:xfrm>
            <a:off x="9198429" y="3306536"/>
            <a:ext cx="1195353" cy="353785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52ABDAB-35AB-4863-80A2-E223E2419047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Ağustos</a:t>
            </a:fld>
            <a:endParaRPr lang="tr-TR" sz="1600" b="1"/>
          </a:p>
        </xdr:txBody>
      </xdr:sp>
      <xdr:sp macro="" textlink="'Per Dashboard Hesap'!$I$2">
        <xdr:nvSpPr>
          <xdr:cNvPr id="35" name="Metin kutusu 34">
            <a:extLst>
              <a:ext uri="{FF2B5EF4-FFF2-40B4-BE49-F238E27FC236}">
                <a16:creationId xmlns:a16="http://schemas.microsoft.com/office/drawing/2014/main" id="{4884D5F1-9478-43E1-85FE-7F04CDAEA619}"/>
              </a:ext>
            </a:extLst>
          </xdr:cNvPr>
          <xdr:cNvSpPr txBox="1"/>
        </xdr:nvSpPr>
        <xdr:spPr>
          <a:xfrm>
            <a:off x="10273393" y="3292929"/>
            <a:ext cx="1086050" cy="394607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CFBF1A7-C129-4FE2-9628-31495CC372B9}" type="TxLink">
              <a:rPr lang="en-US" sz="1600" b="1" i="0" u="none" strike="noStrike">
                <a:solidFill>
                  <a:srgbClr val="000000"/>
                </a:solidFill>
                <a:latin typeface="Aptos Narrow"/>
              </a:rPr>
              <a:t> 111.930 ₺ </a:t>
            </a:fld>
            <a:endParaRPr lang="tr-TR" sz="1600" b="1"/>
          </a:p>
        </xdr:txBody>
      </xdr:sp>
    </xdr:grpSp>
    <xdr:clientData/>
  </xdr:twoCellAnchor>
  <xdr:twoCellAnchor>
    <xdr:from>
      <xdr:col>7</xdr:col>
      <xdr:colOff>1211034</xdr:colOff>
      <xdr:row>0</xdr:row>
      <xdr:rowOff>149679</xdr:rowOff>
    </xdr:from>
    <xdr:to>
      <xdr:col>9</xdr:col>
      <xdr:colOff>484909</xdr:colOff>
      <xdr:row>5</xdr:row>
      <xdr:rowOff>108857</xdr:rowOff>
    </xdr:to>
    <xdr:sp macro="" textlink="">
      <xdr:nvSpPr>
        <xdr:cNvPr id="42" name="Ok: Sol 4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88C84E-B201-C071-B1D9-0F4D84C6A6AB}"/>
            </a:ext>
          </a:extLst>
        </xdr:cNvPr>
        <xdr:cNvSpPr/>
      </xdr:nvSpPr>
      <xdr:spPr>
        <a:xfrm>
          <a:off x="9090807" y="149679"/>
          <a:ext cx="2529693" cy="91167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/>
            <a:t>GENEL</a:t>
          </a:r>
          <a:r>
            <a:rPr lang="tr-TR" sz="1400" b="1" baseline="0"/>
            <a:t> DURUM DASHBOARD</a:t>
          </a:r>
          <a:endParaRPr lang="tr-TR" sz="14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103919</xdr:colOff>
      <xdr:row>0</xdr:row>
      <xdr:rowOff>140694</xdr:rowOff>
    </xdr:from>
    <xdr:to>
      <xdr:col>4</xdr:col>
      <xdr:colOff>784197</xdr:colOff>
      <xdr:row>14</xdr:row>
      <xdr:rowOff>51751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ersonel Ad">
              <a:extLst>
                <a:ext uri="{FF2B5EF4-FFF2-40B4-BE49-F238E27FC236}">
                  <a16:creationId xmlns:a16="http://schemas.microsoft.com/office/drawing/2014/main" id="{82924DCB-B34E-07FA-7AC7-BCCA73504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onel 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1182" y="140694"/>
              <a:ext cx="1829962" cy="25713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7414</xdr:colOff>
      <xdr:row>1</xdr:row>
      <xdr:rowOff>89275</xdr:rowOff>
    </xdr:from>
    <xdr:to>
      <xdr:col>10</xdr:col>
      <xdr:colOff>670247</xdr:colOff>
      <xdr:row>15</xdr:row>
      <xdr:rowOff>42567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Şehirler">
              <a:extLst>
                <a:ext uri="{FF2B5EF4-FFF2-40B4-BE49-F238E27FC236}">
                  <a16:creationId xmlns:a16="http://schemas.microsoft.com/office/drawing/2014/main" id="{588C5429-5746-98E4-D8B1-251AEF11CE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Şehirl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5309" y="316538"/>
              <a:ext cx="1812517" cy="25735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1781</xdr:colOff>
      <xdr:row>45</xdr:row>
      <xdr:rowOff>44394</xdr:rowOff>
    </xdr:from>
    <xdr:to>
      <xdr:col>10</xdr:col>
      <xdr:colOff>663055</xdr:colOff>
      <xdr:row>59</xdr:row>
      <xdr:rowOff>366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y">
              <a:extLst>
                <a:ext uri="{FF2B5EF4-FFF2-40B4-BE49-F238E27FC236}">
                  <a16:creationId xmlns:a16="http://schemas.microsoft.com/office/drawing/2014/main" id="{8A480350-9F6C-AE83-EA6A-FBF93CC80F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99676" y="8519973"/>
              <a:ext cx="1810958" cy="25761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1372193</xdr:colOff>
      <xdr:row>49</xdr:row>
      <xdr:rowOff>6387</xdr:rowOff>
    </xdr:from>
    <xdr:to>
      <xdr:col>3</xdr:col>
      <xdr:colOff>287997</xdr:colOff>
      <xdr:row>62</xdr:row>
      <xdr:rowOff>139435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Urun Ad">
              <a:extLst>
                <a:ext uri="{FF2B5EF4-FFF2-40B4-BE49-F238E27FC236}">
                  <a16:creationId xmlns:a16="http://schemas.microsoft.com/office/drawing/2014/main" id="{17D48D1A-C485-2625-3FE9-70E1FF893F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run 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5140" y="9230598"/>
              <a:ext cx="1830120" cy="256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15</xdr:row>
      <xdr:rowOff>12492</xdr:rowOff>
    </xdr:from>
    <xdr:to>
      <xdr:col>6</xdr:col>
      <xdr:colOff>399737</xdr:colOff>
      <xdr:row>41</xdr:row>
      <xdr:rowOff>12492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E312ED0C-3750-1D62-E391-A87F3F0BE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967067</xdr:colOff>
      <xdr:row>16</xdr:row>
      <xdr:rowOff>53474</xdr:rowOff>
    </xdr:from>
    <xdr:to>
      <xdr:col>14</xdr:col>
      <xdr:colOff>561473</xdr:colOff>
      <xdr:row>41</xdr:row>
      <xdr:rowOff>173789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89E66193-2DAD-A0C0-F070-C9FB3EF04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70</xdr:row>
      <xdr:rowOff>185821</xdr:rowOff>
    </xdr:from>
    <xdr:to>
      <xdr:col>6</xdr:col>
      <xdr:colOff>347579</xdr:colOff>
      <xdr:row>100</xdr:row>
      <xdr:rowOff>133683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DE9926AD-6245-E355-B4CD-38FBAF19E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1056104</xdr:colOff>
      <xdr:row>61</xdr:row>
      <xdr:rowOff>105610</xdr:rowOff>
    </xdr:from>
    <xdr:to>
      <xdr:col>15</xdr:col>
      <xdr:colOff>173789</xdr:colOff>
      <xdr:row>89</xdr:row>
      <xdr:rowOff>160420</xdr:rowOff>
    </xdr:to>
    <xdr:graphicFrame macro="">
      <xdr:nvGraphicFramePr>
        <xdr:cNvPr id="13" name="Grafik 12">
          <a:extLst>
            <a:ext uri="{FF2B5EF4-FFF2-40B4-BE49-F238E27FC236}">
              <a16:creationId xmlns:a16="http://schemas.microsoft.com/office/drawing/2014/main" id="{30BE4395-8AF9-23E2-3BCA-30462DF45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2</xdr:row>
      <xdr:rowOff>30480</xdr:rowOff>
    </xdr:from>
    <xdr:to>
      <xdr:col>2</xdr:col>
      <xdr:colOff>480060</xdr:colOff>
      <xdr:row>6</xdr:row>
      <xdr:rowOff>83820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D798BCAF-A409-C1E3-455F-5775900688AC}"/>
            </a:ext>
          </a:extLst>
        </xdr:cNvPr>
        <xdr:cNvSpPr/>
      </xdr:nvSpPr>
      <xdr:spPr>
        <a:xfrm>
          <a:off x="121920" y="396240"/>
          <a:ext cx="1577340" cy="78486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r-TR"/>
            <a:t>Toplam Satış Tutarı</a:t>
          </a:r>
          <a:endParaRPr lang="tr-TR" sz="1100"/>
        </a:p>
      </xdr:txBody>
    </xdr:sp>
    <xdr:clientData/>
  </xdr:twoCellAnchor>
  <xdr:twoCellAnchor>
    <xdr:from>
      <xdr:col>3</xdr:col>
      <xdr:colOff>338667</xdr:colOff>
      <xdr:row>2</xdr:row>
      <xdr:rowOff>16282</xdr:rowOff>
    </xdr:from>
    <xdr:to>
      <xdr:col>6</xdr:col>
      <xdr:colOff>280052</xdr:colOff>
      <xdr:row>6</xdr:row>
      <xdr:rowOff>97692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1F2E8CD9-A794-D59C-A54B-193207A4C64D}"/>
            </a:ext>
          </a:extLst>
        </xdr:cNvPr>
        <xdr:cNvSpPr/>
      </xdr:nvSpPr>
      <xdr:spPr>
        <a:xfrm>
          <a:off x="2165513" y="381000"/>
          <a:ext cx="1768231" cy="810846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r-TR"/>
            <a:t>Toplam Sipariş Sayısı</a:t>
          </a:r>
          <a:endParaRPr lang="tr-TR" sz="1100"/>
        </a:p>
      </xdr:txBody>
    </xdr:sp>
    <xdr:clientData/>
  </xdr:twoCellAnchor>
  <xdr:twoCellAnchor>
    <xdr:from>
      <xdr:col>0</xdr:col>
      <xdr:colOff>123743</xdr:colOff>
      <xdr:row>7</xdr:row>
      <xdr:rowOff>29308</xdr:rowOff>
    </xdr:from>
    <xdr:to>
      <xdr:col>2</xdr:col>
      <xdr:colOff>452641</xdr:colOff>
      <xdr:row>11</xdr:row>
      <xdr:rowOff>74898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819C8C1A-A97D-5CA2-D850-5008173E54D7}"/>
            </a:ext>
          </a:extLst>
        </xdr:cNvPr>
        <xdr:cNvSpPr/>
      </xdr:nvSpPr>
      <xdr:spPr>
        <a:xfrm>
          <a:off x="123743" y="1305821"/>
          <a:ext cx="1546795" cy="775026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r-TR"/>
            <a:t>Ortalama Sipariş</a:t>
          </a:r>
          <a:endParaRPr lang="tr-TR" sz="1100"/>
        </a:p>
      </xdr:txBody>
    </xdr:sp>
    <xdr:clientData/>
  </xdr:twoCellAnchor>
  <xdr:twoCellAnchor>
    <xdr:from>
      <xdr:col>3</xdr:col>
      <xdr:colOff>377744</xdr:colOff>
      <xdr:row>7</xdr:row>
      <xdr:rowOff>13025</xdr:rowOff>
    </xdr:from>
    <xdr:to>
      <xdr:col>6</xdr:col>
      <xdr:colOff>273539</xdr:colOff>
      <xdr:row>11</xdr:row>
      <xdr:rowOff>48846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928654CE-B5DD-01F9-3C9B-39FFB3F60802}"/>
            </a:ext>
          </a:extLst>
        </xdr:cNvPr>
        <xdr:cNvSpPr/>
      </xdr:nvSpPr>
      <xdr:spPr>
        <a:xfrm>
          <a:off x="2204590" y="1289538"/>
          <a:ext cx="1722641" cy="765257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an Akdeniz" refreshedDate="45941.396442939818" createdVersion="8" refreshedVersion="8" minRefreshableVersion="3" recordCount="2889" xr:uid="{D44D3B7A-2999-4FE3-8D43-F84579E94948}">
  <cacheSource type="worksheet">
    <worksheetSource name="Tablo3"/>
  </cacheSource>
  <cacheFields count="8">
    <cacheField name="Personel Ad" numFmtId="0">
      <sharedItems count="12">
        <s v="Özgür Ertekin"/>
        <s v="Serdal Yücel"/>
        <s v="Gülşah Akbulut"/>
        <s v="Gamze Erkuran"/>
        <s v="Ali Kandemir"/>
        <s v="Mertcan Ülker"/>
        <s v="Reyhan Uyanık"/>
        <s v="Yücel Öztürk"/>
        <s v="Bedriye Vural"/>
        <s v="Miraç Tüten"/>
        <s v="Ferdi Dede"/>
        <s v="Zeynep Şen"/>
      </sharedItems>
    </cacheField>
    <cacheField name="Urun Ad" numFmtId="0">
      <sharedItems count="23">
        <s v="Bulaşık Makinesi Beyaz"/>
        <s v="Mikrodalga Fırın Beyaz"/>
        <s v="Buzdolabı İki Kapaklı Beyaz"/>
        <s v="Ütü Siyah"/>
        <s v="Kahve Makinesi Y Marka"/>
        <s v="Çamaşır Makinesi Gri"/>
        <s v="Derin Dondurucu Gri"/>
        <s v="Ocak Beyaz"/>
        <s v="Tost Makinesi Gri X Marka"/>
        <s v="Mikrodalga Fırın Gri"/>
        <s v="Tost Makinesi Gri Y Marka"/>
        <s v="Çamaşır Makinesi Beyaz"/>
        <s v="Buzdolabı Dört Kapılı Gri"/>
        <s v="Davlumbaz Gri X Marka"/>
        <s v="Fırın Beyaz"/>
        <s v="Derin Dondurucu Beyaz"/>
        <s v="Kahve Makinesi X Marka"/>
        <s v="Ocak Siyah"/>
        <s v="Ütü Mor"/>
        <s v="Buzdolabı İki Kapılı Gri"/>
        <s v="Bulaşık Makinesi Gri"/>
        <s v="Davlumbaz Gri Y Marka"/>
        <s v="Fırın Siyah"/>
      </sharedItems>
    </cacheField>
    <cacheField name="Satış Adet" numFmtId="0">
      <sharedItems containsSemiMixedTypes="0" containsString="0" containsNumber="1" containsInteger="1" minValue="1" maxValue="5"/>
    </cacheField>
    <cacheField name="Birim Fiyat" numFmtId="0">
      <sharedItems containsSemiMixedTypes="0" containsString="0" containsNumber="1" containsInteger="1" minValue="1090" maxValue="10590"/>
    </cacheField>
    <cacheField name="Toplam Sipariş Tutarı" numFmtId="0">
      <sharedItems containsSemiMixedTypes="0" containsString="0" containsNumber="1" containsInteger="1" minValue="1090" maxValue="52950" count="99">
        <n v="12000"/>
        <n v="2800"/>
        <n v="16900"/>
        <n v="4050"/>
        <n v="4360"/>
        <n v="15200"/>
        <n v="14500"/>
        <n v="3300"/>
        <n v="1200"/>
        <n v="3600"/>
        <n v="2180"/>
        <n v="6540"/>
        <n v="5400"/>
        <n v="24000"/>
        <n v="1400"/>
        <n v="10590"/>
        <n v="2700"/>
        <n v="6000"/>
        <n v="2200"/>
        <n v="1490"/>
        <n v="21180"/>
        <n v="1100"/>
        <n v="8400"/>
        <n v="17325"/>
        <n v="22800"/>
        <n v="21750"/>
        <n v="1350"/>
        <n v="7600"/>
        <n v="4470"/>
        <n v="5800"/>
        <n v="2400"/>
        <n v="12600"/>
        <n v="1250"/>
        <n v="1800"/>
        <n v="7530"/>
        <n v="2980"/>
        <n v="5300"/>
        <n v="1090"/>
        <n v="7250"/>
        <n v="4200"/>
        <n v="1500"/>
        <n v="22590"/>
        <n v="8000"/>
        <n v="31770"/>
        <n v="15060"/>
        <n v="5775"/>
        <n v="15900"/>
        <n v="10600"/>
        <n v="25350"/>
        <n v="7400"/>
        <n v="3700"/>
        <n v="3750"/>
        <n v="2500"/>
        <n v="4500"/>
        <n v="18000"/>
        <n v="7000"/>
        <n v="33800"/>
        <n v="10900"/>
        <n v="36250"/>
        <n v="4400"/>
        <n v="8720"/>
        <n v="40000"/>
        <n v="52950"/>
        <n v="5500"/>
        <n v="21000"/>
        <n v="30400"/>
        <n v="11600"/>
        <n v="5960"/>
        <n v="5450"/>
        <n v="16800"/>
        <n v="5000"/>
        <n v="4800"/>
        <n v="38000"/>
        <n v="37650"/>
        <n v="7450"/>
        <n v="21200"/>
        <n v="3270"/>
        <n v="29000"/>
        <n v="16000"/>
        <n v="26500"/>
        <n v="42360"/>
        <n v="30120"/>
        <n v="28875"/>
        <n v="30000"/>
        <n v="11100"/>
        <n v="7500"/>
        <n v="7200"/>
        <n v="3000"/>
        <n v="5600"/>
        <n v="9000"/>
        <n v="32000"/>
        <n v="11550"/>
        <n v="6750"/>
        <n v="6250"/>
        <n v="18500"/>
        <n v="42250"/>
        <n v="14800"/>
        <n v="8700"/>
        <n v="23100"/>
      </sharedItems>
    </cacheField>
    <cacheField name="Ürün Kar Tutarı" numFmtId="0">
      <sharedItems containsSemiMixedTypes="0" containsString="0" containsNumber="1" containsInteger="1" minValue="290" maxValue="22950" count="78">
        <n v="4000"/>
        <n v="1200"/>
        <n v="4900"/>
        <n v="1650"/>
        <n v="1360"/>
        <n v="3200"/>
        <n v="4500"/>
        <n v="900"/>
        <n v="400"/>
        <n v="2000"/>
        <n v="580"/>
        <n v="2040"/>
        <n v="3000"/>
        <n v="6000"/>
        <n v="600"/>
        <n v="4590"/>
        <n v="1100"/>
        <n v="690"/>
        <n v="9180"/>
        <n v="300"/>
        <n v="2400"/>
        <n v="5325"/>
        <n v="4800"/>
        <n v="6750"/>
        <n v="550"/>
        <n v="1600"/>
        <n v="2070"/>
        <n v="1800"/>
        <n v="800"/>
        <n v="3600"/>
        <n v="450"/>
        <n v="1000"/>
        <n v="1530"/>
        <n v="1380"/>
        <n v="1300"/>
        <n v="290"/>
        <n v="2250"/>
        <n v="700"/>
        <n v="13770"/>
        <n v="3060"/>
        <n v="680"/>
        <n v="1775"/>
        <n v="3900"/>
        <n v="2600"/>
        <n v="7350"/>
        <n v="1400"/>
        <n v="1350"/>
        <n v="2100"/>
        <n v="9800"/>
        <n v="2200"/>
        <n v="3400"/>
        <n v="11250"/>
        <n v="1160"/>
        <n v="2720"/>
        <n v="10000"/>
        <n v="22950"/>
        <n v="8000"/>
        <n v="1500"/>
        <n v="6400"/>
        <n v="2760"/>
        <n v="1450"/>
        <n v="7650"/>
        <n v="3450"/>
        <n v="5200"/>
        <n v="870"/>
        <n v="9000"/>
        <n v="2800"/>
        <n v="6500"/>
        <n v="18360"/>
        <n v="6120"/>
        <n v="8875"/>
        <n v="3500"/>
        <n v="5000"/>
        <n v="3550"/>
        <n v="2750"/>
        <n v="12250"/>
        <n v="2700"/>
        <n v="7100"/>
      </sharedItems>
    </cacheField>
    <cacheField name="Ay" numFmtId="0">
      <sharedItems count="12">
        <s v="Ocak"/>
        <s v="Şubat"/>
        <s v="Mart"/>
        <s v="Nisan"/>
        <s v="Mayıs"/>
        <s v="Haziran"/>
        <s v="Temmuz"/>
        <s v="Ağustos"/>
        <s v="Eylül"/>
        <s v="Ekim"/>
        <s v="Kasım"/>
        <s v="Aralık"/>
      </sharedItems>
    </cacheField>
    <cacheField name="Şehirler" numFmtId="0">
      <sharedItems count="13">
        <s v="Kocaeli"/>
        <s v="Gaziantep"/>
        <s v="Ankara"/>
        <s v="Konya"/>
        <s v="Hatay"/>
        <s v="Antalya"/>
        <s v="Adana"/>
        <s v="Şanlıurfa"/>
        <s v="Bursa"/>
        <s v="İzmir"/>
        <s v="Diyarbakır"/>
        <s v="Mersin"/>
        <s v="İstanbul"/>
      </sharedItems>
    </cacheField>
  </cacheFields>
  <extLst>
    <ext xmlns:x14="http://schemas.microsoft.com/office/spreadsheetml/2009/9/main" uri="{725AE2AE-9491-48be-B2B4-4EB974FC3084}">
      <x14:pivotCacheDefinition pivotCacheId="182219254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an Akdeniz" refreshedDate="45947.531488310182" backgroundQuery="1" createdVersion="8" refreshedVersion="8" minRefreshableVersion="3" recordCount="0" supportSubquery="1" supportAdvancedDrill="1" xr:uid="{A3C6DE5C-0E33-4844-B1EF-F86DEF8D9E8B}">
  <cacheSource type="external" connectionId="1"/>
  <cacheFields count="2">
    <cacheField name="[Tablo3].[Şehirler].[Şehirler]" caption="Şehirler" numFmtId="0" hierarchy="7" level="1">
      <sharedItems count="13">
        <s v="Adana"/>
        <s v="Ankara"/>
        <s v="Antalya"/>
        <s v="Bursa"/>
        <s v="Diyarbakır"/>
        <s v="Gaziantep"/>
        <s v="Hatay"/>
        <s v="İstanbul"/>
        <s v="İzmir"/>
        <s v="Kocaeli"/>
        <s v="Konya"/>
        <s v="Mersin"/>
        <s v="Şanlıurfa"/>
      </sharedItems>
    </cacheField>
    <cacheField name="[Measures].[Toplam veri: Toplam Sipariş Tutarı]" caption="Toplam veri: Toplam Sipariş Tutarı" numFmtId="0" hierarchy="10" level="32767"/>
  </cacheFields>
  <cacheHierarchies count="12">
    <cacheHierarchy uniqueName="[Tablo3].[Personel Ad]" caption="Personel Ad" attribute="1" defaultMemberUniqueName="[Tablo3].[Personel Ad].[All]" allUniqueName="[Tablo3].[Personel Ad].[All]" dimensionUniqueName="[Tablo3]" displayFolder="" count="2" memberValueDatatype="130" unbalanced="0"/>
    <cacheHierarchy uniqueName="[Tablo3].[Urun Ad]" caption="Urun Ad" attribute="1" defaultMemberUniqueName="[Tablo3].[Urun Ad].[All]" allUniqueName="[Tablo3].[Urun Ad].[All]" dimensionUniqueName="[Tablo3]" displayFolder="" count="2" memberValueDatatype="130" unbalanced="0"/>
    <cacheHierarchy uniqueName="[Tablo3].[Satış Adet]" caption="Satış Adet" attribute="1" defaultMemberUniqueName="[Tablo3].[Satış Adet].[All]" allUniqueName="[Tablo3].[Satış Adet].[All]" dimensionUniqueName="[Tablo3]" displayFolder="" count="2" memberValueDatatype="20" unbalanced="0"/>
    <cacheHierarchy uniqueName="[Tablo3].[Birim Fiyat]" caption="Birim Fiyat" attribute="1" defaultMemberUniqueName="[Tablo3].[Birim Fiyat].[All]" allUniqueName="[Tablo3].[Birim Fiyat].[All]" dimensionUniqueName="[Tablo3]" displayFolder="" count="2" memberValueDatatype="20" unbalanced="0"/>
    <cacheHierarchy uniqueName="[Tablo3].[Toplam Sipariş Tutarı]" caption="Toplam Sipariş Tutarı" attribute="1" defaultMemberUniqueName="[Tablo3].[Toplam Sipariş Tutarı].[All]" allUniqueName="[Tablo3].[Toplam Sipariş Tutarı].[All]" dimensionUniqueName="[Tablo3]" displayFolder="" count="2" memberValueDatatype="20" unbalanced="0"/>
    <cacheHierarchy uniqueName="[Tablo3].[Ürün Kar Tutarı]" caption="Ürün Kar Tutarı" attribute="1" defaultMemberUniqueName="[Tablo3].[Ürün Kar Tutarı].[All]" allUniqueName="[Tablo3].[Ürün Kar Tutarı].[All]" dimensionUniqueName="[Tablo3]" displayFolder="" count="2" memberValueDatatype="20" unbalanced="0"/>
    <cacheHierarchy uniqueName="[Tablo3].[Ay]" caption="Ay" attribute="1" defaultMemberUniqueName="[Tablo3].[Ay].[All]" allUniqueName="[Tablo3].[Ay].[All]" dimensionUniqueName="[Tablo3]" displayFolder="" count="2" memberValueDatatype="130" unbalanced="0"/>
    <cacheHierarchy uniqueName="[Tablo3].[Şehirler]" caption="Şehirler" attribute="1" defaultMemberUniqueName="[Tablo3].[Şehirler].[All]" allUniqueName="[Tablo3].[Şehirler].[All]" dimensionUniqueName="[Tablo3]" displayFolder="" count="2" memberValueDatatype="130" unbalanced="0">
      <fieldsUsage count="2">
        <fieldUsage x="-1"/>
        <fieldUsage x="0"/>
      </fieldsUsage>
    </cacheHierarchy>
    <cacheHierarchy uniqueName="[Measures].[__XL_Count Tablo3]" caption="__XL_Count Tablo3" measure="1" displayFolder="" measureGroup="Tablo3" count="0" hidden="1"/>
    <cacheHierarchy uniqueName="[Measures].[__No measures defined]" caption="__No measures defined" measure="1" displayFolder="" count="0" hidden="1"/>
    <cacheHierarchy uniqueName="[Measures].[Toplam veri: Toplam Sipariş Tutarı]" caption="Toplam veri: Toplam Sipariş Tutarı" measure="1" displayFolder="" measureGroup="Tablo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Toplam veri: Satış Adet]" caption="Toplam veri: Satış Adet" measure="1" displayFolder="" measureGroup="Tablo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o3" uniqueName="[Tablo3]" caption="Tablo3"/>
  </dimensions>
  <measureGroups count="1">
    <measureGroup name="Tablo3" caption="Tablo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an Akdeniz" refreshedDate="45947.531647916665" backgroundQuery="1" createdVersion="8" refreshedVersion="8" minRefreshableVersion="3" recordCount="0" supportSubquery="1" supportAdvancedDrill="1" xr:uid="{C37D0CA1-FC53-4907-B087-6FE532645EFB}">
  <cacheSource type="external" connectionId="1"/>
  <cacheFields count="2">
    <cacheField name="[Tablo3].[Ay].[Ay]" caption="Ay" numFmtId="0" hierarchy="6" level="1">
      <sharedItems count="12">
        <s v="Ağustos"/>
        <s v="Aralık"/>
        <s v="Ekim"/>
        <s v="Eylül"/>
        <s v="Haziran"/>
        <s v="Kasım"/>
        <s v="Mart"/>
        <s v="Mayıs"/>
        <s v="Nisan"/>
        <s v="Ocak"/>
        <s v="Şubat"/>
        <s v="Temmuz"/>
      </sharedItems>
    </cacheField>
    <cacheField name="[Measures].[Toplam veri: Toplam Sipariş Tutarı]" caption="Toplam veri: Toplam Sipariş Tutarı" numFmtId="0" hierarchy="10" level="32767"/>
  </cacheFields>
  <cacheHierarchies count="12">
    <cacheHierarchy uniqueName="[Tablo3].[Personel Ad]" caption="Personel Ad" attribute="1" defaultMemberUniqueName="[Tablo3].[Personel Ad].[All]" allUniqueName="[Tablo3].[Personel Ad].[All]" dimensionUniqueName="[Tablo3]" displayFolder="" count="2" memberValueDatatype="130" unbalanced="0"/>
    <cacheHierarchy uniqueName="[Tablo3].[Urun Ad]" caption="Urun Ad" attribute="1" defaultMemberUniqueName="[Tablo3].[Urun Ad].[All]" allUniqueName="[Tablo3].[Urun Ad].[All]" dimensionUniqueName="[Tablo3]" displayFolder="" count="2" memberValueDatatype="130" unbalanced="0"/>
    <cacheHierarchy uniqueName="[Tablo3].[Satış Adet]" caption="Satış Adet" attribute="1" defaultMemberUniqueName="[Tablo3].[Satış Adet].[All]" allUniqueName="[Tablo3].[Satış Adet].[All]" dimensionUniqueName="[Tablo3]" displayFolder="" count="2" memberValueDatatype="20" unbalanced="0"/>
    <cacheHierarchy uniqueName="[Tablo3].[Birim Fiyat]" caption="Birim Fiyat" attribute="1" defaultMemberUniqueName="[Tablo3].[Birim Fiyat].[All]" allUniqueName="[Tablo3].[Birim Fiyat].[All]" dimensionUniqueName="[Tablo3]" displayFolder="" count="2" memberValueDatatype="20" unbalanced="0"/>
    <cacheHierarchy uniqueName="[Tablo3].[Toplam Sipariş Tutarı]" caption="Toplam Sipariş Tutarı" attribute="1" defaultMemberUniqueName="[Tablo3].[Toplam Sipariş Tutarı].[All]" allUniqueName="[Tablo3].[Toplam Sipariş Tutarı].[All]" dimensionUniqueName="[Tablo3]" displayFolder="" count="2" memberValueDatatype="20" unbalanced="0"/>
    <cacheHierarchy uniqueName="[Tablo3].[Ürün Kar Tutarı]" caption="Ürün Kar Tutarı" attribute="1" defaultMemberUniqueName="[Tablo3].[Ürün Kar Tutarı].[All]" allUniqueName="[Tablo3].[Ürün Kar Tutarı].[All]" dimensionUniqueName="[Tablo3]" displayFolder="" count="2" memberValueDatatype="20" unbalanced="0"/>
    <cacheHierarchy uniqueName="[Tablo3].[Ay]" caption="Ay" attribute="1" defaultMemberUniqueName="[Tablo3].[Ay].[All]" allUniqueName="[Tablo3].[Ay].[All]" dimensionUniqueName="[Tablo3]" displayFolder="" count="2" memberValueDatatype="130" unbalanced="0">
      <fieldsUsage count="2">
        <fieldUsage x="-1"/>
        <fieldUsage x="0"/>
      </fieldsUsage>
    </cacheHierarchy>
    <cacheHierarchy uniqueName="[Tablo3].[Şehirler]" caption="Şehirler" attribute="1" defaultMemberUniqueName="[Tablo3].[Şehirler].[All]" allUniqueName="[Tablo3].[Şehirler].[All]" dimensionUniqueName="[Tablo3]" displayFolder="" count="2" memberValueDatatype="130" unbalanced="0"/>
    <cacheHierarchy uniqueName="[Measures].[__XL_Count Tablo3]" caption="__XL_Count Tablo3" measure="1" displayFolder="" measureGroup="Tablo3" count="0" hidden="1"/>
    <cacheHierarchy uniqueName="[Measures].[__No measures defined]" caption="__No measures defined" measure="1" displayFolder="" count="0" hidden="1"/>
    <cacheHierarchy uniqueName="[Measures].[Toplam veri: Toplam Sipariş Tutarı]" caption="Toplam veri: Toplam Sipariş Tutarı" measure="1" displayFolder="" measureGroup="Tablo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Toplam veri: Satış Adet]" caption="Toplam veri: Satış Adet" measure="1" displayFolder="" measureGroup="Tablo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o3" uniqueName="[Tablo3]" caption="Tablo3"/>
  </dimensions>
  <measureGroups count="1">
    <measureGroup name="Tablo3" caption="Tablo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an Akdeniz" refreshedDate="45947.533309375001" backgroundQuery="1" createdVersion="8" refreshedVersion="8" minRefreshableVersion="3" recordCount="0" supportSubquery="1" supportAdvancedDrill="1" xr:uid="{259D1165-8F2F-4426-9C6C-C83E2E2C1FAB}">
  <cacheSource type="external" connectionId="1"/>
  <cacheFields count="2">
    <cacheField name="[Tablo3].[Urun Ad].[Urun Ad]" caption="Urun Ad" numFmtId="0" hierarchy="1" level="1">
      <sharedItems count="23">
        <s v="Bulaşık Makinesi Beyaz"/>
        <s v="Bulaşık Makinesi Gri"/>
        <s v="Buzdolabı Dört Kapılı Gri"/>
        <s v="Buzdolabı İki Kapaklı Beyaz"/>
        <s v="Buzdolabı İki Kapılı Gri"/>
        <s v="Çamaşır Makinesi Beyaz"/>
        <s v="Çamaşır Makinesi Gri"/>
        <s v="Davlumbaz Gri X Marka"/>
        <s v="Davlumbaz Gri Y Marka"/>
        <s v="Derin Dondurucu Beyaz"/>
        <s v="Derin Dondurucu Gri"/>
        <s v="Fırın Beyaz"/>
        <s v="Fırın Siyah"/>
        <s v="Kahve Makinesi X Marka"/>
        <s v="Kahve Makinesi Y Marka"/>
        <s v="Mikrodalga Fırın Beyaz"/>
        <s v="Mikrodalga Fırın Gri"/>
        <s v="Ocak Beyaz"/>
        <s v="Ocak Siyah"/>
        <s v="Tost Makinesi Gri X Marka"/>
        <s v="Tost Makinesi Gri Y Marka"/>
        <s v="Ütü Mor"/>
        <s v="Ütü Siyah"/>
      </sharedItems>
    </cacheField>
    <cacheField name="[Measures].[Toplam veri: Satış Adet]" caption="Toplam veri: Satış Adet" numFmtId="0" hierarchy="11" level="32767"/>
  </cacheFields>
  <cacheHierarchies count="12">
    <cacheHierarchy uniqueName="[Tablo3].[Personel Ad]" caption="Personel Ad" attribute="1" defaultMemberUniqueName="[Tablo3].[Personel Ad].[All]" allUniqueName="[Tablo3].[Personel Ad].[All]" dimensionUniqueName="[Tablo3]" displayFolder="" count="2" memberValueDatatype="130" unbalanced="0"/>
    <cacheHierarchy uniqueName="[Tablo3].[Urun Ad]" caption="Urun Ad" attribute="1" defaultMemberUniqueName="[Tablo3].[Urun Ad].[All]" allUniqueName="[Tablo3].[Urun Ad].[All]" dimensionUniqueName="[Tablo3]" displayFolder="" count="2" memberValueDatatype="130" unbalanced="0">
      <fieldsUsage count="2">
        <fieldUsage x="-1"/>
        <fieldUsage x="0"/>
      </fieldsUsage>
    </cacheHierarchy>
    <cacheHierarchy uniqueName="[Tablo3].[Satış Adet]" caption="Satış Adet" attribute="1" defaultMemberUniqueName="[Tablo3].[Satış Adet].[All]" allUniqueName="[Tablo3].[Satış Adet].[All]" dimensionUniqueName="[Tablo3]" displayFolder="" count="2" memberValueDatatype="20" unbalanced="0"/>
    <cacheHierarchy uniqueName="[Tablo3].[Birim Fiyat]" caption="Birim Fiyat" attribute="1" defaultMemberUniqueName="[Tablo3].[Birim Fiyat].[All]" allUniqueName="[Tablo3].[Birim Fiyat].[All]" dimensionUniqueName="[Tablo3]" displayFolder="" count="2" memberValueDatatype="20" unbalanced="0"/>
    <cacheHierarchy uniqueName="[Tablo3].[Toplam Sipariş Tutarı]" caption="Toplam Sipariş Tutarı" attribute="1" defaultMemberUniqueName="[Tablo3].[Toplam Sipariş Tutarı].[All]" allUniqueName="[Tablo3].[Toplam Sipariş Tutarı].[All]" dimensionUniqueName="[Tablo3]" displayFolder="" count="2" memberValueDatatype="20" unbalanced="0"/>
    <cacheHierarchy uniqueName="[Tablo3].[Ürün Kar Tutarı]" caption="Ürün Kar Tutarı" attribute="1" defaultMemberUniqueName="[Tablo3].[Ürün Kar Tutarı].[All]" allUniqueName="[Tablo3].[Ürün Kar Tutarı].[All]" dimensionUniqueName="[Tablo3]" displayFolder="" count="2" memberValueDatatype="20" unbalanced="0"/>
    <cacheHierarchy uniqueName="[Tablo3].[Ay]" caption="Ay" attribute="1" defaultMemberUniqueName="[Tablo3].[Ay].[All]" allUniqueName="[Tablo3].[Ay].[All]" dimensionUniqueName="[Tablo3]" displayFolder="" count="2" memberValueDatatype="130" unbalanced="0"/>
    <cacheHierarchy uniqueName="[Tablo3].[Şehirler]" caption="Şehirler" attribute="1" defaultMemberUniqueName="[Tablo3].[Şehirler].[All]" allUniqueName="[Tablo3].[Şehirler].[All]" dimensionUniqueName="[Tablo3]" displayFolder="" count="2" memberValueDatatype="130" unbalanced="0"/>
    <cacheHierarchy uniqueName="[Measures].[__XL_Count Tablo3]" caption="__XL_Count Tablo3" measure="1" displayFolder="" measureGroup="Tablo3" count="0" hidden="1"/>
    <cacheHierarchy uniqueName="[Measures].[__No measures defined]" caption="__No measures defined" measure="1" displayFolder="" count="0" hidden="1"/>
    <cacheHierarchy uniqueName="[Measures].[Toplam veri: Toplam Sipariş Tutarı]" caption="Toplam veri: Toplam Sipariş Tutarı" measure="1" displayFolder="" measureGroup="Tablo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Toplam veri: Satış Adet]" caption="Toplam veri: Satış Adet" measure="1" displayFolder="" measureGroup="Tablo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o3" uniqueName="[Tablo3]" caption="Tablo3"/>
  </dimensions>
  <measureGroups count="1">
    <measureGroup name="Tablo3" caption="Tablo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san Akdeniz" refreshedDate="45947.531392824072" backgroundQuery="1" createdVersion="3" refreshedVersion="8" minRefreshableVersion="3" recordCount="0" supportSubquery="1" supportAdvancedDrill="1" xr:uid="{4E99DEEA-8CEA-4513-8C35-FF0D30B056CE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">
    <cacheHierarchy uniqueName="[Tablo3].[Personel Ad]" caption="Personel Ad" attribute="1" defaultMemberUniqueName="[Tablo3].[Personel Ad].[All]" allUniqueName="[Tablo3].[Personel Ad].[All]" dimensionUniqueName="[Tablo3]" displayFolder="" count="0" memberValueDatatype="130" unbalanced="0"/>
    <cacheHierarchy uniqueName="[Tablo3].[Urun Ad]" caption="Urun Ad" attribute="1" defaultMemberUniqueName="[Tablo3].[Urun Ad].[All]" allUniqueName="[Tablo3].[Urun Ad].[All]" dimensionUniqueName="[Tablo3]" displayFolder="" count="2" memberValueDatatype="130" unbalanced="0"/>
    <cacheHierarchy uniqueName="[Tablo3].[Satış Adet]" caption="Satış Adet" attribute="1" defaultMemberUniqueName="[Tablo3].[Satış Adet].[All]" allUniqueName="[Tablo3].[Satış Adet].[All]" dimensionUniqueName="[Tablo3]" displayFolder="" count="0" memberValueDatatype="20" unbalanced="0"/>
    <cacheHierarchy uniqueName="[Tablo3].[Birim Fiyat]" caption="Birim Fiyat" attribute="1" defaultMemberUniqueName="[Tablo3].[Birim Fiyat].[All]" allUniqueName="[Tablo3].[Birim Fiyat].[All]" dimensionUniqueName="[Tablo3]" displayFolder="" count="0" memberValueDatatype="20" unbalanced="0"/>
    <cacheHierarchy uniqueName="[Tablo3].[Toplam Sipariş Tutarı]" caption="Toplam Sipariş Tutarı" attribute="1" defaultMemberUniqueName="[Tablo3].[Toplam Sipariş Tutarı].[All]" allUniqueName="[Tablo3].[Toplam Sipariş Tutarı].[All]" dimensionUniqueName="[Tablo3]" displayFolder="" count="0" memberValueDatatype="20" unbalanced="0"/>
    <cacheHierarchy uniqueName="[Tablo3].[Ürün Kar Tutarı]" caption="Ürün Kar Tutarı" attribute="1" defaultMemberUniqueName="[Tablo3].[Ürün Kar Tutarı].[All]" allUniqueName="[Tablo3].[Ürün Kar Tutarı].[All]" dimensionUniqueName="[Tablo3]" displayFolder="" count="0" memberValueDatatype="20" unbalanced="0"/>
    <cacheHierarchy uniqueName="[Tablo3].[Ay]" caption="Ay" attribute="1" defaultMemberUniqueName="[Tablo3].[Ay].[All]" allUniqueName="[Tablo3].[Ay].[All]" dimensionUniqueName="[Tablo3]" displayFolder="" count="2" memberValueDatatype="130" unbalanced="0"/>
    <cacheHierarchy uniqueName="[Tablo3].[Şehirler]" caption="Şehirler" attribute="1" defaultMemberUniqueName="[Tablo3].[Şehirler].[All]" allUniqueName="[Tablo3].[Şehirler].[All]" dimensionUniqueName="[Tablo3]" displayFolder="" count="2" memberValueDatatype="130" unbalanced="0"/>
    <cacheHierarchy uniqueName="[Measures].[__XL_Count Tablo3]" caption="__XL_Count Tablo3" measure="1" displayFolder="" measureGroup="Tablo3" count="0" hidden="1"/>
    <cacheHierarchy uniqueName="[Measures].[__No measures defined]" caption="__No measures defined" measure="1" displayFolder="" count="0" hidden="1"/>
    <cacheHierarchy uniqueName="[Measures].[Toplam veri: Toplam Sipariş Tutarı]" caption="Toplam veri: Toplam Sipariş Tutarı" measure="1" displayFolder="" measureGroup="Tablo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Toplam veri: Satış Adet]" caption="Toplam veri: Satış Adet" measure="1" displayFolder="" measureGroup="Tablo3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313515932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9">
  <r>
    <x v="0"/>
    <x v="0"/>
    <n v="2"/>
    <n v="6000"/>
    <x v="0"/>
    <x v="0"/>
    <x v="0"/>
    <x v="0"/>
  </r>
  <r>
    <x v="1"/>
    <x v="1"/>
    <n v="2"/>
    <n v="1400"/>
    <x v="1"/>
    <x v="1"/>
    <x v="0"/>
    <x v="1"/>
  </r>
  <r>
    <x v="2"/>
    <x v="2"/>
    <n v="2"/>
    <n v="8450"/>
    <x v="2"/>
    <x v="2"/>
    <x v="0"/>
    <x v="2"/>
  </r>
  <r>
    <x v="3"/>
    <x v="3"/>
    <n v="3"/>
    <n v="1350"/>
    <x v="3"/>
    <x v="3"/>
    <x v="0"/>
    <x v="3"/>
  </r>
  <r>
    <x v="0"/>
    <x v="4"/>
    <n v="2"/>
    <n v="2180"/>
    <x v="4"/>
    <x v="4"/>
    <x v="0"/>
    <x v="2"/>
  </r>
  <r>
    <x v="4"/>
    <x v="5"/>
    <n v="2"/>
    <n v="7600"/>
    <x v="5"/>
    <x v="5"/>
    <x v="0"/>
    <x v="4"/>
  </r>
  <r>
    <x v="1"/>
    <x v="6"/>
    <n v="2"/>
    <n v="7250"/>
    <x v="6"/>
    <x v="6"/>
    <x v="0"/>
    <x v="2"/>
  </r>
  <r>
    <x v="3"/>
    <x v="7"/>
    <n v="3"/>
    <n v="1100"/>
    <x v="7"/>
    <x v="7"/>
    <x v="0"/>
    <x v="5"/>
  </r>
  <r>
    <x v="5"/>
    <x v="0"/>
    <n v="2"/>
    <n v="6000"/>
    <x v="0"/>
    <x v="0"/>
    <x v="0"/>
    <x v="1"/>
  </r>
  <r>
    <x v="0"/>
    <x v="8"/>
    <n v="1"/>
    <n v="1200"/>
    <x v="8"/>
    <x v="8"/>
    <x v="0"/>
    <x v="6"/>
  </r>
  <r>
    <x v="6"/>
    <x v="9"/>
    <n v="2"/>
    <n v="1800"/>
    <x v="9"/>
    <x v="9"/>
    <x v="0"/>
    <x v="3"/>
  </r>
  <r>
    <x v="6"/>
    <x v="10"/>
    <n v="2"/>
    <n v="1090"/>
    <x v="10"/>
    <x v="10"/>
    <x v="0"/>
    <x v="0"/>
  </r>
  <r>
    <x v="5"/>
    <x v="4"/>
    <n v="3"/>
    <n v="2180"/>
    <x v="11"/>
    <x v="11"/>
    <x v="0"/>
    <x v="5"/>
  </r>
  <r>
    <x v="7"/>
    <x v="9"/>
    <n v="3"/>
    <n v="1800"/>
    <x v="12"/>
    <x v="12"/>
    <x v="0"/>
    <x v="3"/>
  </r>
  <r>
    <x v="4"/>
    <x v="11"/>
    <n v="3"/>
    <n v="8000"/>
    <x v="13"/>
    <x v="13"/>
    <x v="0"/>
    <x v="7"/>
  </r>
  <r>
    <x v="5"/>
    <x v="1"/>
    <n v="1"/>
    <n v="1400"/>
    <x v="14"/>
    <x v="14"/>
    <x v="0"/>
    <x v="3"/>
  </r>
  <r>
    <x v="8"/>
    <x v="12"/>
    <n v="1"/>
    <n v="10590"/>
    <x v="15"/>
    <x v="15"/>
    <x v="0"/>
    <x v="7"/>
  </r>
  <r>
    <x v="9"/>
    <x v="3"/>
    <n v="2"/>
    <n v="1350"/>
    <x v="16"/>
    <x v="16"/>
    <x v="0"/>
    <x v="6"/>
  </r>
  <r>
    <x v="6"/>
    <x v="1"/>
    <n v="2"/>
    <n v="1400"/>
    <x v="1"/>
    <x v="1"/>
    <x v="0"/>
    <x v="0"/>
  </r>
  <r>
    <x v="3"/>
    <x v="0"/>
    <n v="1"/>
    <n v="6000"/>
    <x v="17"/>
    <x v="9"/>
    <x v="0"/>
    <x v="8"/>
  </r>
  <r>
    <x v="8"/>
    <x v="7"/>
    <n v="2"/>
    <n v="1100"/>
    <x v="18"/>
    <x v="14"/>
    <x v="0"/>
    <x v="7"/>
  </r>
  <r>
    <x v="2"/>
    <x v="0"/>
    <n v="2"/>
    <n v="6000"/>
    <x v="0"/>
    <x v="0"/>
    <x v="0"/>
    <x v="9"/>
  </r>
  <r>
    <x v="9"/>
    <x v="13"/>
    <n v="1"/>
    <n v="1490"/>
    <x v="19"/>
    <x v="17"/>
    <x v="0"/>
    <x v="0"/>
  </r>
  <r>
    <x v="8"/>
    <x v="12"/>
    <n v="2"/>
    <n v="10590"/>
    <x v="20"/>
    <x v="18"/>
    <x v="0"/>
    <x v="9"/>
  </r>
  <r>
    <x v="2"/>
    <x v="11"/>
    <n v="3"/>
    <n v="8000"/>
    <x v="13"/>
    <x v="13"/>
    <x v="0"/>
    <x v="1"/>
  </r>
  <r>
    <x v="6"/>
    <x v="7"/>
    <n v="1"/>
    <n v="1100"/>
    <x v="21"/>
    <x v="19"/>
    <x v="0"/>
    <x v="10"/>
  </r>
  <r>
    <x v="9"/>
    <x v="8"/>
    <n v="1"/>
    <n v="1200"/>
    <x v="8"/>
    <x v="8"/>
    <x v="0"/>
    <x v="5"/>
  </r>
  <r>
    <x v="4"/>
    <x v="14"/>
    <n v="2"/>
    <n v="4200"/>
    <x v="22"/>
    <x v="20"/>
    <x v="0"/>
    <x v="11"/>
  </r>
  <r>
    <x v="1"/>
    <x v="15"/>
    <n v="3"/>
    <n v="5775"/>
    <x v="23"/>
    <x v="21"/>
    <x v="0"/>
    <x v="10"/>
  </r>
  <r>
    <x v="10"/>
    <x v="5"/>
    <n v="3"/>
    <n v="7600"/>
    <x v="24"/>
    <x v="22"/>
    <x v="0"/>
    <x v="8"/>
  </r>
  <r>
    <x v="1"/>
    <x v="6"/>
    <n v="3"/>
    <n v="7250"/>
    <x v="25"/>
    <x v="23"/>
    <x v="0"/>
    <x v="5"/>
  </r>
  <r>
    <x v="0"/>
    <x v="6"/>
    <n v="3"/>
    <n v="7250"/>
    <x v="25"/>
    <x v="23"/>
    <x v="0"/>
    <x v="11"/>
  </r>
  <r>
    <x v="8"/>
    <x v="6"/>
    <n v="3"/>
    <n v="7250"/>
    <x v="25"/>
    <x v="23"/>
    <x v="0"/>
    <x v="11"/>
  </r>
  <r>
    <x v="5"/>
    <x v="3"/>
    <n v="1"/>
    <n v="1350"/>
    <x v="26"/>
    <x v="24"/>
    <x v="1"/>
    <x v="6"/>
  </r>
  <r>
    <x v="1"/>
    <x v="6"/>
    <n v="2"/>
    <n v="7250"/>
    <x v="6"/>
    <x v="6"/>
    <x v="1"/>
    <x v="7"/>
  </r>
  <r>
    <x v="6"/>
    <x v="5"/>
    <n v="1"/>
    <n v="7600"/>
    <x v="27"/>
    <x v="25"/>
    <x v="1"/>
    <x v="1"/>
  </r>
  <r>
    <x v="11"/>
    <x v="5"/>
    <n v="3"/>
    <n v="7600"/>
    <x v="24"/>
    <x v="22"/>
    <x v="1"/>
    <x v="8"/>
  </r>
  <r>
    <x v="1"/>
    <x v="13"/>
    <n v="3"/>
    <n v="1490"/>
    <x v="28"/>
    <x v="26"/>
    <x v="1"/>
    <x v="0"/>
  </r>
  <r>
    <x v="5"/>
    <x v="16"/>
    <n v="2"/>
    <n v="2900"/>
    <x v="29"/>
    <x v="27"/>
    <x v="1"/>
    <x v="10"/>
  </r>
  <r>
    <x v="9"/>
    <x v="13"/>
    <n v="1"/>
    <n v="1490"/>
    <x v="19"/>
    <x v="17"/>
    <x v="1"/>
    <x v="1"/>
  </r>
  <r>
    <x v="9"/>
    <x v="10"/>
    <n v="2"/>
    <n v="1090"/>
    <x v="10"/>
    <x v="10"/>
    <x v="1"/>
    <x v="4"/>
  </r>
  <r>
    <x v="5"/>
    <x v="8"/>
    <n v="2"/>
    <n v="1200"/>
    <x v="30"/>
    <x v="28"/>
    <x v="1"/>
    <x v="6"/>
  </r>
  <r>
    <x v="8"/>
    <x v="12"/>
    <n v="2"/>
    <n v="10590"/>
    <x v="20"/>
    <x v="18"/>
    <x v="1"/>
    <x v="8"/>
  </r>
  <r>
    <x v="6"/>
    <x v="14"/>
    <n v="3"/>
    <n v="4200"/>
    <x v="31"/>
    <x v="29"/>
    <x v="1"/>
    <x v="3"/>
  </r>
  <r>
    <x v="3"/>
    <x v="14"/>
    <n v="3"/>
    <n v="4200"/>
    <x v="31"/>
    <x v="29"/>
    <x v="1"/>
    <x v="1"/>
  </r>
  <r>
    <x v="7"/>
    <x v="12"/>
    <n v="2"/>
    <n v="10590"/>
    <x v="20"/>
    <x v="18"/>
    <x v="1"/>
    <x v="0"/>
  </r>
  <r>
    <x v="11"/>
    <x v="17"/>
    <n v="1"/>
    <n v="1250"/>
    <x v="32"/>
    <x v="30"/>
    <x v="1"/>
    <x v="11"/>
  </r>
  <r>
    <x v="0"/>
    <x v="13"/>
    <n v="3"/>
    <n v="1490"/>
    <x v="28"/>
    <x v="26"/>
    <x v="1"/>
    <x v="11"/>
  </r>
  <r>
    <x v="6"/>
    <x v="8"/>
    <n v="2"/>
    <n v="1200"/>
    <x v="30"/>
    <x v="28"/>
    <x v="1"/>
    <x v="4"/>
  </r>
  <r>
    <x v="2"/>
    <x v="4"/>
    <n v="3"/>
    <n v="2180"/>
    <x v="11"/>
    <x v="11"/>
    <x v="1"/>
    <x v="7"/>
  </r>
  <r>
    <x v="9"/>
    <x v="18"/>
    <n v="3"/>
    <n v="1200"/>
    <x v="9"/>
    <x v="1"/>
    <x v="1"/>
    <x v="2"/>
  </r>
  <r>
    <x v="0"/>
    <x v="9"/>
    <n v="1"/>
    <n v="1800"/>
    <x v="33"/>
    <x v="31"/>
    <x v="1"/>
    <x v="12"/>
  </r>
  <r>
    <x v="2"/>
    <x v="5"/>
    <n v="1"/>
    <n v="7600"/>
    <x v="27"/>
    <x v="25"/>
    <x v="1"/>
    <x v="9"/>
  </r>
  <r>
    <x v="7"/>
    <x v="19"/>
    <n v="1"/>
    <n v="7530"/>
    <x v="34"/>
    <x v="32"/>
    <x v="1"/>
    <x v="7"/>
  </r>
  <r>
    <x v="11"/>
    <x v="13"/>
    <n v="2"/>
    <n v="1490"/>
    <x v="35"/>
    <x v="33"/>
    <x v="1"/>
    <x v="8"/>
  </r>
  <r>
    <x v="0"/>
    <x v="20"/>
    <n v="1"/>
    <n v="5300"/>
    <x v="36"/>
    <x v="34"/>
    <x v="1"/>
    <x v="11"/>
  </r>
  <r>
    <x v="4"/>
    <x v="8"/>
    <n v="2"/>
    <n v="1200"/>
    <x v="30"/>
    <x v="28"/>
    <x v="1"/>
    <x v="0"/>
  </r>
  <r>
    <x v="9"/>
    <x v="10"/>
    <n v="1"/>
    <n v="1090"/>
    <x v="37"/>
    <x v="35"/>
    <x v="1"/>
    <x v="2"/>
  </r>
  <r>
    <x v="4"/>
    <x v="6"/>
    <n v="1"/>
    <n v="7250"/>
    <x v="38"/>
    <x v="36"/>
    <x v="1"/>
    <x v="12"/>
  </r>
  <r>
    <x v="10"/>
    <x v="1"/>
    <n v="3"/>
    <n v="1400"/>
    <x v="39"/>
    <x v="27"/>
    <x v="1"/>
    <x v="0"/>
  </r>
  <r>
    <x v="2"/>
    <x v="21"/>
    <n v="1"/>
    <n v="1500"/>
    <x v="40"/>
    <x v="37"/>
    <x v="1"/>
    <x v="4"/>
  </r>
  <r>
    <x v="7"/>
    <x v="3"/>
    <n v="1"/>
    <n v="1350"/>
    <x v="26"/>
    <x v="24"/>
    <x v="1"/>
    <x v="7"/>
  </r>
  <r>
    <x v="7"/>
    <x v="8"/>
    <n v="3"/>
    <n v="1200"/>
    <x v="9"/>
    <x v="1"/>
    <x v="1"/>
    <x v="9"/>
  </r>
  <r>
    <x v="1"/>
    <x v="19"/>
    <n v="3"/>
    <n v="7530"/>
    <x v="41"/>
    <x v="15"/>
    <x v="1"/>
    <x v="6"/>
  </r>
  <r>
    <x v="10"/>
    <x v="8"/>
    <n v="1"/>
    <n v="1200"/>
    <x v="8"/>
    <x v="8"/>
    <x v="1"/>
    <x v="10"/>
  </r>
  <r>
    <x v="8"/>
    <x v="9"/>
    <n v="3"/>
    <n v="1800"/>
    <x v="12"/>
    <x v="12"/>
    <x v="1"/>
    <x v="3"/>
  </r>
  <r>
    <x v="0"/>
    <x v="6"/>
    <n v="1"/>
    <n v="7250"/>
    <x v="38"/>
    <x v="36"/>
    <x v="1"/>
    <x v="7"/>
  </r>
  <r>
    <x v="9"/>
    <x v="13"/>
    <n v="3"/>
    <n v="1490"/>
    <x v="28"/>
    <x v="26"/>
    <x v="1"/>
    <x v="0"/>
  </r>
  <r>
    <x v="9"/>
    <x v="18"/>
    <n v="1"/>
    <n v="1200"/>
    <x v="8"/>
    <x v="8"/>
    <x v="1"/>
    <x v="8"/>
  </r>
  <r>
    <x v="1"/>
    <x v="11"/>
    <n v="1"/>
    <n v="8000"/>
    <x v="42"/>
    <x v="9"/>
    <x v="1"/>
    <x v="5"/>
  </r>
  <r>
    <x v="6"/>
    <x v="1"/>
    <n v="1"/>
    <n v="1400"/>
    <x v="14"/>
    <x v="14"/>
    <x v="1"/>
    <x v="2"/>
  </r>
  <r>
    <x v="5"/>
    <x v="3"/>
    <n v="1"/>
    <n v="1350"/>
    <x v="26"/>
    <x v="24"/>
    <x v="1"/>
    <x v="9"/>
  </r>
  <r>
    <x v="8"/>
    <x v="18"/>
    <n v="1"/>
    <n v="1200"/>
    <x v="8"/>
    <x v="8"/>
    <x v="1"/>
    <x v="10"/>
  </r>
  <r>
    <x v="6"/>
    <x v="20"/>
    <n v="1"/>
    <n v="5300"/>
    <x v="36"/>
    <x v="34"/>
    <x v="1"/>
    <x v="6"/>
  </r>
  <r>
    <x v="9"/>
    <x v="12"/>
    <n v="3"/>
    <n v="10590"/>
    <x v="43"/>
    <x v="38"/>
    <x v="1"/>
    <x v="0"/>
  </r>
  <r>
    <x v="4"/>
    <x v="17"/>
    <n v="1"/>
    <n v="1250"/>
    <x v="32"/>
    <x v="30"/>
    <x v="1"/>
    <x v="7"/>
  </r>
  <r>
    <x v="11"/>
    <x v="18"/>
    <n v="1"/>
    <n v="1200"/>
    <x v="8"/>
    <x v="8"/>
    <x v="1"/>
    <x v="11"/>
  </r>
  <r>
    <x v="4"/>
    <x v="1"/>
    <n v="3"/>
    <n v="1400"/>
    <x v="39"/>
    <x v="27"/>
    <x v="1"/>
    <x v="11"/>
  </r>
  <r>
    <x v="11"/>
    <x v="19"/>
    <n v="2"/>
    <n v="7530"/>
    <x v="44"/>
    <x v="39"/>
    <x v="1"/>
    <x v="6"/>
  </r>
  <r>
    <x v="6"/>
    <x v="5"/>
    <n v="1"/>
    <n v="7600"/>
    <x v="27"/>
    <x v="25"/>
    <x v="1"/>
    <x v="7"/>
  </r>
  <r>
    <x v="11"/>
    <x v="21"/>
    <n v="1"/>
    <n v="1500"/>
    <x v="40"/>
    <x v="37"/>
    <x v="1"/>
    <x v="0"/>
  </r>
  <r>
    <x v="9"/>
    <x v="4"/>
    <n v="2"/>
    <n v="2180"/>
    <x v="4"/>
    <x v="4"/>
    <x v="1"/>
    <x v="5"/>
  </r>
  <r>
    <x v="3"/>
    <x v="4"/>
    <n v="1"/>
    <n v="2180"/>
    <x v="10"/>
    <x v="40"/>
    <x v="1"/>
    <x v="3"/>
  </r>
  <r>
    <x v="9"/>
    <x v="15"/>
    <n v="1"/>
    <n v="5775"/>
    <x v="45"/>
    <x v="41"/>
    <x v="1"/>
    <x v="8"/>
  </r>
  <r>
    <x v="9"/>
    <x v="7"/>
    <n v="3"/>
    <n v="1100"/>
    <x v="7"/>
    <x v="7"/>
    <x v="1"/>
    <x v="10"/>
  </r>
  <r>
    <x v="10"/>
    <x v="15"/>
    <n v="1"/>
    <n v="5775"/>
    <x v="45"/>
    <x v="41"/>
    <x v="1"/>
    <x v="8"/>
  </r>
  <r>
    <x v="7"/>
    <x v="3"/>
    <n v="1"/>
    <n v="1350"/>
    <x v="26"/>
    <x v="24"/>
    <x v="1"/>
    <x v="5"/>
  </r>
  <r>
    <x v="0"/>
    <x v="5"/>
    <n v="3"/>
    <n v="7600"/>
    <x v="24"/>
    <x v="22"/>
    <x v="1"/>
    <x v="12"/>
  </r>
  <r>
    <x v="2"/>
    <x v="6"/>
    <n v="3"/>
    <n v="7250"/>
    <x v="25"/>
    <x v="23"/>
    <x v="1"/>
    <x v="6"/>
  </r>
  <r>
    <x v="11"/>
    <x v="13"/>
    <n v="2"/>
    <n v="1490"/>
    <x v="35"/>
    <x v="33"/>
    <x v="1"/>
    <x v="12"/>
  </r>
  <r>
    <x v="3"/>
    <x v="13"/>
    <n v="2"/>
    <n v="1490"/>
    <x v="35"/>
    <x v="33"/>
    <x v="1"/>
    <x v="1"/>
  </r>
  <r>
    <x v="8"/>
    <x v="10"/>
    <n v="2"/>
    <n v="1090"/>
    <x v="10"/>
    <x v="10"/>
    <x v="1"/>
    <x v="7"/>
  </r>
  <r>
    <x v="8"/>
    <x v="8"/>
    <n v="3"/>
    <n v="1200"/>
    <x v="9"/>
    <x v="1"/>
    <x v="1"/>
    <x v="1"/>
  </r>
  <r>
    <x v="11"/>
    <x v="10"/>
    <n v="2"/>
    <n v="1090"/>
    <x v="10"/>
    <x v="10"/>
    <x v="1"/>
    <x v="6"/>
  </r>
  <r>
    <x v="11"/>
    <x v="4"/>
    <n v="3"/>
    <n v="2180"/>
    <x v="11"/>
    <x v="11"/>
    <x v="1"/>
    <x v="4"/>
  </r>
  <r>
    <x v="2"/>
    <x v="20"/>
    <n v="3"/>
    <n v="5300"/>
    <x v="46"/>
    <x v="42"/>
    <x v="1"/>
    <x v="4"/>
  </r>
  <r>
    <x v="11"/>
    <x v="20"/>
    <n v="2"/>
    <n v="5300"/>
    <x v="47"/>
    <x v="43"/>
    <x v="1"/>
    <x v="4"/>
  </r>
  <r>
    <x v="5"/>
    <x v="6"/>
    <n v="2"/>
    <n v="7250"/>
    <x v="6"/>
    <x v="6"/>
    <x v="1"/>
    <x v="4"/>
  </r>
  <r>
    <x v="5"/>
    <x v="18"/>
    <n v="3"/>
    <n v="1200"/>
    <x v="9"/>
    <x v="1"/>
    <x v="1"/>
    <x v="2"/>
  </r>
  <r>
    <x v="3"/>
    <x v="0"/>
    <n v="1"/>
    <n v="6000"/>
    <x v="17"/>
    <x v="9"/>
    <x v="1"/>
    <x v="3"/>
  </r>
  <r>
    <x v="2"/>
    <x v="2"/>
    <n v="3"/>
    <n v="8450"/>
    <x v="48"/>
    <x v="44"/>
    <x v="1"/>
    <x v="0"/>
  </r>
  <r>
    <x v="6"/>
    <x v="14"/>
    <n v="1"/>
    <n v="4200"/>
    <x v="39"/>
    <x v="1"/>
    <x v="1"/>
    <x v="3"/>
  </r>
  <r>
    <x v="6"/>
    <x v="12"/>
    <n v="3"/>
    <n v="10590"/>
    <x v="43"/>
    <x v="38"/>
    <x v="1"/>
    <x v="1"/>
  </r>
  <r>
    <x v="5"/>
    <x v="18"/>
    <n v="1"/>
    <n v="1200"/>
    <x v="8"/>
    <x v="8"/>
    <x v="1"/>
    <x v="3"/>
  </r>
  <r>
    <x v="10"/>
    <x v="7"/>
    <n v="2"/>
    <n v="1100"/>
    <x v="18"/>
    <x v="14"/>
    <x v="1"/>
    <x v="2"/>
  </r>
  <r>
    <x v="9"/>
    <x v="16"/>
    <n v="2"/>
    <n v="3700"/>
    <x v="49"/>
    <x v="45"/>
    <x v="1"/>
    <x v="6"/>
  </r>
  <r>
    <x v="1"/>
    <x v="22"/>
    <n v="1"/>
    <n v="3700"/>
    <x v="50"/>
    <x v="37"/>
    <x v="1"/>
    <x v="9"/>
  </r>
  <r>
    <x v="6"/>
    <x v="7"/>
    <n v="3"/>
    <n v="1100"/>
    <x v="7"/>
    <x v="7"/>
    <x v="1"/>
    <x v="8"/>
  </r>
  <r>
    <x v="5"/>
    <x v="22"/>
    <n v="1"/>
    <n v="3700"/>
    <x v="50"/>
    <x v="37"/>
    <x v="2"/>
    <x v="8"/>
  </r>
  <r>
    <x v="10"/>
    <x v="13"/>
    <n v="1"/>
    <n v="1490"/>
    <x v="19"/>
    <x v="17"/>
    <x v="2"/>
    <x v="10"/>
  </r>
  <r>
    <x v="9"/>
    <x v="21"/>
    <n v="1"/>
    <n v="1500"/>
    <x v="40"/>
    <x v="37"/>
    <x v="2"/>
    <x v="5"/>
  </r>
  <r>
    <x v="8"/>
    <x v="10"/>
    <n v="2"/>
    <n v="1090"/>
    <x v="10"/>
    <x v="10"/>
    <x v="2"/>
    <x v="5"/>
  </r>
  <r>
    <x v="10"/>
    <x v="9"/>
    <n v="3"/>
    <n v="1800"/>
    <x v="12"/>
    <x v="12"/>
    <x v="2"/>
    <x v="4"/>
  </r>
  <r>
    <x v="7"/>
    <x v="19"/>
    <n v="2"/>
    <n v="7530"/>
    <x v="44"/>
    <x v="39"/>
    <x v="2"/>
    <x v="11"/>
  </r>
  <r>
    <x v="6"/>
    <x v="7"/>
    <n v="3"/>
    <n v="1100"/>
    <x v="7"/>
    <x v="7"/>
    <x v="2"/>
    <x v="11"/>
  </r>
  <r>
    <x v="9"/>
    <x v="3"/>
    <n v="3"/>
    <n v="1350"/>
    <x v="3"/>
    <x v="3"/>
    <x v="2"/>
    <x v="12"/>
  </r>
  <r>
    <x v="8"/>
    <x v="3"/>
    <n v="1"/>
    <n v="1350"/>
    <x v="26"/>
    <x v="24"/>
    <x v="2"/>
    <x v="5"/>
  </r>
  <r>
    <x v="7"/>
    <x v="10"/>
    <n v="2"/>
    <n v="1090"/>
    <x v="10"/>
    <x v="10"/>
    <x v="2"/>
    <x v="3"/>
  </r>
  <r>
    <x v="7"/>
    <x v="14"/>
    <n v="1"/>
    <n v="4200"/>
    <x v="39"/>
    <x v="1"/>
    <x v="2"/>
    <x v="8"/>
  </r>
  <r>
    <x v="9"/>
    <x v="9"/>
    <n v="2"/>
    <n v="1800"/>
    <x v="9"/>
    <x v="9"/>
    <x v="2"/>
    <x v="12"/>
  </r>
  <r>
    <x v="11"/>
    <x v="10"/>
    <n v="1"/>
    <n v="1090"/>
    <x v="37"/>
    <x v="35"/>
    <x v="2"/>
    <x v="7"/>
  </r>
  <r>
    <x v="0"/>
    <x v="5"/>
    <n v="1"/>
    <n v="7600"/>
    <x v="27"/>
    <x v="25"/>
    <x v="2"/>
    <x v="0"/>
  </r>
  <r>
    <x v="8"/>
    <x v="5"/>
    <n v="3"/>
    <n v="7600"/>
    <x v="24"/>
    <x v="22"/>
    <x v="2"/>
    <x v="2"/>
  </r>
  <r>
    <x v="2"/>
    <x v="22"/>
    <n v="1"/>
    <n v="3700"/>
    <x v="50"/>
    <x v="37"/>
    <x v="2"/>
    <x v="1"/>
  </r>
  <r>
    <x v="4"/>
    <x v="6"/>
    <n v="3"/>
    <n v="7250"/>
    <x v="25"/>
    <x v="23"/>
    <x v="2"/>
    <x v="7"/>
  </r>
  <r>
    <x v="1"/>
    <x v="5"/>
    <n v="3"/>
    <n v="7600"/>
    <x v="24"/>
    <x v="22"/>
    <x v="2"/>
    <x v="11"/>
  </r>
  <r>
    <x v="10"/>
    <x v="14"/>
    <n v="1"/>
    <n v="4200"/>
    <x v="39"/>
    <x v="1"/>
    <x v="2"/>
    <x v="5"/>
  </r>
  <r>
    <x v="6"/>
    <x v="17"/>
    <n v="3"/>
    <n v="1250"/>
    <x v="51"/>
    <x v="46"/>
    <x v="2"/>
    <x v="4"/>
  </r>
  <r>
    <x v="8"/>
    <x v="10"/>
    <n v="1"/>
    <n v="1090"/>
    <x v="37"/>
    <x v="35"/>
    <x v="2"/>
    <x v="1"/>
  </r>
  <r>
    <x v="3"/>
    <x v="4"/>
    <n v="1"/>
    <n v="2180"/>
    <x v="10"/>
    <x v="40"/>
    <x v="2"/>
    <x v="7"/>
  </r>
  <r>
    <x v="11"/>
    <x v="22"/>
    <n v="2"/>
    <n v="3700"/>
    <x v="49"/>
    <x v="45"/>
    <x v="2"/>
    <x v="5"/>
  </r>
  <r>
    <x v="9"/>
    <x v="0"/>
    <n v="2"/>
    <n v="6000"/>
    <x v="0"/>
    <x v="0"/>
    <x v="2"/>
    <x v="1"/>
  </r>
  <r>
    <x v="10"/>
    <x v="17"/>
    <n v="2"/>
    <n v="1250"/>
    <x v="52"/>
    <x v="7"/>
    <x v="2"/>
    <x v="5"/>
  </r>
  <r>
    <x v="11"/>
    <x v="5"/>
    <n v="1"/>
    <n v="7600"/>
    <x v="27"/>
    <x v="25"/>
    <x v="2"/>
    <x v="3"/>
  </r>
  <r>
    <x v="0"/>
    <x v="1"/>
    <n v="2"/>
    <n v="1400"/>
    <x v="1"/>
    <x v="1"/>
    <x v="2"/>
    <x v="9"/>
  </r>
  <r>
    <x v="4"/>
    <x v="4"/>
    <n v="2"/>
    <n v="2180"/>
    <x v="4"/>
    <x v="4"/>
    <x v="2"/>
    <x v="10"/>
  </r>
  <r>
    <x v="0"/>
    <x v="16"/>
    <n v="3"/>
    <n v="1800"/>
    <x v="12"/>
    <x v="12"/>
    <x v="2"/>
    <x v="6"/>
  </r>
  <r>
    <x v="2"/>
    <x v="21"/>
    <n v="1"/>
    <n v="1500"/>
    <x v="40"/>
    <x v="37"/>
    <x v="2"/>
    <x v="1"/>
  </r>
  <r>
    <x v="6"/>
    <x v="2"/>
    <n v="3"/>
    <n v="8450"/>
    <x v="48"/>
    <x v="44"/>
    <x v="2"/>
    <x v="7"/>
  </r>
  <r>
    <x v="9"/>
    <x v="21"/>
    <n v="3"/>
    <n v="1500"/>
    <x v="53"/>
    <x v="47"/>
    <x v="2"/>
    <x v="8"/>
  </r>
  <r>
    <x v="5"/>
    <x v="0"/>
    <n v="3"/>
    <n v="6000"/>
    <x v="54"/>
    <x v="13"/>
    <x v="2"/>
    <x v="12"/>
  </r>
  <r>
    <x v="11"/>
    <x v="18"/>
    <n v="1"/>
    <n v="1200"/>
    <x v="8"/>
    <x v="8"/>
    <x v="2"/>
    <x v="9"/>
  </r>
  <r>
    <x v="0"/>
    <x v="14"/>
    <n v="3"/>
    <n v="4200"/>
    <x v="31"/>
    <x v="29"/>
    <x v="2"/>
    <x v="5"/>
  </r>
  <r>
    <x v="10"/>
    <x v="5"/>
    <n v="3"/>
    <n v="7600"/>
    <x v="24"/>
    <x v="22"/>
    <x v="2"/>
    <x v="12"/>
  </r>
  <r>
    <x v="5"/>
    <x v="6"/>
    <n v="2"/>
    <n v="7250"/>
    <x v="6"/>
    <x v="6"/>
    <x v="3"/>
    <x v="10"/>
  </r>
  <r>
    <x v="1"/>
    <x v="19"/>
    <n v="2"/>
    <n v="7530"/>
    <x v="44"/>
    <x v="39"/>
    <x v="3"/>
    <x v="2"/>
  </r>
  <r>
    <x v="2"/>
    <x v="6"/>
    <n v="2"/>
    <n v="7250"/>
    <x v="6"/>
    <x v="6"/>
    <x v="3"/>
    <x v="1"/>
  </r>
  <r>
    <x v="1"/>
    <x v="0"/>
    <n v="1"/>
    <n v="6000"/>
    <x v="17"/>
    <x v="9"/>
    <x v="3"/>
    <x v="4"/>
  </r>
  <r>
    <x v="5"/>
    <x v="18"/>
    <n v="3"/>
    <n v="1200"/>
    <x v="9"/>
    <x v="1"/>
    <x v="3"/>
    <x v="2"/>
  </r>
  <r>
    <x v="11"/>
    <x v="20"/>
    <n v="2"/>
    <n v="5300"/>
    <x v="47"/>
    <x v="43"/>
    <x v="3"/>
    <x v="5"/>
  </r>
  <r>
    <x v="8"/>
    <x v="2"/>
    <n v="2"/>
    <n v="8450"/>
    <x v="2"/>
    <x v="2"/>
    <x v="3"/>
    <x v="3"/>
  </r>
  <r>
    <x v="4"/>
    <x v="3"/>
    <n v="1"/>
    <n v="1350"/>
    <x v="26"/>
    <x v="24"/>
    <x v="3"/>
    <x v="7"/>
  </r>
  <r>
    <x v="6"/>
    <x v="10"/>
    <n v="1"/>
    <n v="1090"/>
    <x v="37"/>
    <x v="35"/>
    <x v="3"/>
    <x v="1"/>
  </r>
  <r>
    <x v="4"/>
    <x v="4"/>
    <n v="1"/>
    <n v="2180"/>
    <x v="10"/>
    <x v="40"/>
    <x v="3"/>
    <x v="8"/>
  </r>
  <r>
    <x v="0"/>
    <x v="16"/>
    <n v="2"/>
    <n v="6000"/>
    <x v="0"/>
    <x v="0"/>
    <x v="3"/>
    <x v="9"/>
  </r>
  <r>
    <x v="1"/>
    <x v="1"/>
    <n v="2"/>
    <n v="1400"/>
    <x v="1"/>
    <x v="1"/>
    <x v="3"/>
    <x v="7"/>
  </r>
  <r>
    <x v="2"/>
    <x v="2"/>
    <n v="2"/>
    <n v="8450"/>
    <x v="2"/>
    <x v="2"/>
    <x v="3"/>
    <x v="6"/>
  </r>
  <r>
    <x v="3"/>
    <x v="3"/>
    <n v="3"/>
    <n v="1350"/>
    <x v="3"/>
    <x v="3"/>
    <x v="3"/>
    <x v="10"/>
  </r>
  <r>
    <x v="0"/>
    <x v="4"/>
    <n v="2"/>
    <n v="2180"/>
    <x v="4"/>
    <x v="4"/>
    <x v="3"/>
    <x v="0"/>
  </r>
  <r>
    <x v="4"/>
    <x v="5"/>
    <n v="2"/>
    <n v="7600"/>
    <x v="5"/>
    <x v="5"/>
    <x v="3"/>
    <x v="5"/>
  </r>
  <r>
    <x v="1"/>
    <x v="6"/>
    <n v="2"/>
    <n v="7250"/>
    <x v="6"/>
    <x v="6"/>
    <x v="3"/>
    <x v="10"/>
  </r>
  <r>
    <x v="3"/>
    <x v="22"/>
    <n v="3"/>
    <n v="1100"/>
    <x v="7"/>
    <x v="7"/>
    <x v="3"/>
    <x v="8"/>
  </r>
  <r>
    <x v="5"/>
    <x v="0"/>
    <n v="2"/>
    <n v="6000"/>
    <x v="0"/>
    <x v="0"/>
    <x v="3"/>
    <x v="2"/>
  </r>
  <r>
    <x v="0"/>
    <x v="8"/>
    <n v="1"/>
    <n v="1200"/>
    <x v="8"/>
    <x v="8"/>
    <x v="3"/>
    <x v="9"/>
  </r>
  <r>
    <x v="6"/>
    <x v="9"/>
    <n v="2"/>
    <n v="1800"/>
    <x v="9"/>
    <x v="9"/>
    <x v="3"/>
    <x v="9"/>
  </r>
  <r>
    <x v="6"/>
    <x v="10"/>
    <n v="2"/>
    <n v="1090"/>
    <x v="10"/>
    <x v="10"/>
    <x v="3"/>
    <x v="2"/>
  </r>
  <r>
    <x v="5"/>
    <x v="4"/>
    <n v="3"/>
    <n v="2180"/>
    <x v="11"/>
    <x v="11"/>
    <x v="3"/>
    <x v="10"/>
  </r>
  <r>
    <x v="7"/>
    <x v="9"/>
    <n v="3"/>
    <n v="1800"/>
    <x v="12"/>
    <x v="12"/>
    <x v="3"/>
    <x v="9"/>
  </r>
  <r>
    <x v="4"/>
    <x v="11"/>
    <n v="3"/>
    <n v="8000"/>
    <x v="13"/>
    <x v="13"/>
    <x v="3"/>
    <x v="4"/>
  </r>
  <r>
    <x v="5"/>
    <x v="1"/>
    <n v="1"/>
    <n v="1400"/>
    <x v="14"/>
    <x v="14"/>
    <x v="3"/>
    <x v="4"/>
  </r>
  <r>
    <x v="8"/>
    <x v="16"/>
    <n v="1"/>
    <n v="10590"/>
    <x v="15"/>
    <x v="15"/>
    <x v="3"/>
    <x v="12"/>
  </r>
  <r>
    <x v="9"/>
    <x v="3"/>
    <n v="2"/>
    <n v="1350"/>
    <x v="16"/>
    <x v="16"/>
    <x v="3"/>
    <x v="7"/>
  </r>
  <r>
    <x v="6"/>
    <x v="1"/>
    <n v="2"/>
    <n v="1400"/>
    <x v="1"/>
    <x v="1"/>
    <x v="3"/>
    <x v="6"/>
  </r>
  <r>
    <x v="3"/>
    <x v="0"/>
    <n v="1"/>
    <n v="6000"/>
    <x v="17"/>
    <x v="9"/>
    <x v="3"/>
    <x v="3"/>
  </r>
  <r>
    <x v="8"/>
    <x v="7"/>
    <n v="2"/>
    <n v="1100"/>
    <x v="18"/>
    <x v="14"/>
    <x v="3"/>
    <x v="10"/>
  </r>
  <r>
    <x v="2"/>
    <x v="0"/>
    <n v="2"/>
    <n v="6000"/>
    <x v="0"/>
    <x v="0"/>
    <x v="3"/>
    <x v="7"/>
  </r>
  <r>
    <x v="9"/>
    <x v="13"/>
    <n v="1"/>
    <n v="1490"/>
    <x v="19"/>
    <x v="17"/>
    <x v="3"/>
    <x v="0"/>
  </r>
  <r>
    <x v="8"/>
    <x v="12"/>
    <n v="2"/>
    <n v="10590"/>
    <x v="20"/>
    <x v="18"/>
    <x v="3"/>
    <x v="5"/>
  </r>
  <r>
    <x v="2"/>
    <x v="11"/>
    <n v="3"/>
    <n v="8000"/>
    <x v="13"/>
    <x v="13"/>
    <x v="3"/>
    <x v="0"/>
  </r>
  <r>
    <x v="6"/>
    <x v="7"/>
    <n v="1"/>
    <n v="1100"/>
    <x v="21"/>
    <x v="19"/>
    <x v="3"/>
    <x v="12"/>
  </r>
  <r>
    <x v="9"/>
    <x v="8"/>
    <n v="1"/>
    <n v="1200"/>
    <x v="8"/>
    <x v="8"/>
    <x v="3"/>
    <x v="0"/>
  </r>
  <r>
    <x v="4"/>
    <x v="14"/>
    <n v="2"/>
    <n v="4200"/>
    <x v="22"/>
    <x v="20"/>
    <x v="3"/>
    <x v="3"/>
  </r>
  <r>
    <x v="1"/>
    <x v="15"/>
    <n v="3"/>
    <n v="5775"/>
    <x v="23"/>
    <x v="21"/>
    <x v="3"/>
    <x v="12"/>
  </r>
  <r>
    <x v="10"/>
    <x v="5"/>
    <n v="3"/>
    <n v="7600"/>
    <x v="24"/>
    <x v="22"/>
    <x v="3"/>
    <x v="5"/>
  </r>
  <r>
    <x v="1"/>
    <x v="6"/>
    <n v="3"/>
    <n v="7250"/>
    <x v="25"/>
    <x v="23"/>
    <x v="3"/>
    <x v="7"/>
  </r>
  <r>
    <x v="0"/>
    <x v="6"/>
    <n v="3"/>
    <n v="7250"/>
    <x v="25"/>
    <x v="23"/>
    <x v="3"/>
    <x v="4"/>
  </r>
  <r>
    <x v="8"/>
    <x v="6"/>
    <n v="3"/>
    <n v="7250"/>
    <x v="25"/>
    <x v="23"/>
    <x v="3"/>
    <x v="1"/>
  </r>
  <r>
    <x v="5"/>
    <x v="3"/>
    <n v="1"/>
    <n v="1350"/>
    <x v="26"/>
    <x v="24"/>
    <x v="3"/>
    <x v="9"/>
  </r>
  <r>
    <x v="1"/>
    <x v="6"/>
    <n v="2"/>
    <n v="7250"/>
    <x v="6"/>
    <x v="6"/>
    <x v="3"/>
    <x v="12"/>
  </r>
  <r>
    <x v="6"/>
    <x v="5"/>
    <n v="1"/>
    <n v="7600"/>
    <x v="27"/>
    <x v="25"/>
    <x v="3"/>
    <x v="4"/>
  </r>
  <r>
    <x v="11"/>
    <x v="5"/>
    <n v="3"/>
    <n v="7600"/>
    <x v="24"/>
    <x v="22"/>
    <x v="3"/>
    <x v="12"/>
  </r>
  <r>
    <x v="1"/>
    <x v="13"/>
    <n v="3"/>
    <n v="1490"/>
    <x v="28"/>
    <x v="26"/>
    <x v="3"/>
    <x v="4"/>
  </r>
  <r>
    <x v="5"/>
    <x v="16"/>
    <n v="2"/>
    <n v="2900"/>
    <x v="29"/>
    <x v="27"/>
    <x v="3"/>
    <x v="4"/>
  </r>
  <r>
    <x v="9"/>
    <x v="13"/>
    <n v="1"/>
    <n v="1490"/>
    <x v="19"/>
    <x v="17"/>
    <x v="3"/>
    <x v="3"/>
  </r>
  <r>
    <x v="9"/>
    <x v="10"/>
    <n v="2"/>
    <n v="1090"/>
    <x v="10"/>
    <x v="10"/>
    <x v="3"/>
    <x v="9"/>
  </r>
  <r>
    <x v="5"/>
    <x v="8"/>
    <n v="2"/>
    <n v="1200"/>
    <x v="30"/>
    <x v="28"/>
    <x v="3"/>
    <x v="7"/>
  </r>
  <r>
    <x v="8"/>
    <x v="12"/>
    <n v="2"/>
    <n v="10590"/>
    <x v="20"/>
    <x v="18"/>
    <x v="3"/>
    <x v="6"/>
  </r>
  <r>
    <x v="6"/>
    <x v="14"/>
    <n v="3"/>
    <n v="4200"/>
    <x v="31"/>
    <x v="29"/>
    <x v="3"/>
    <x v="1"/>
  </r>
  <r>
    <x v="3"/>
    <x v="16"/>
    <n v="3"/>
    <n v="4200"/>
    <x v="31"/>
    <x v="29"/>
    <x v="3"/>
    <x v="3"/>
  </r>
  <r>
    <x v="7"/>
    <x v="12"/>
    <n v="2"/>
    <n v="10590"/>
    <x v="20"/>
    <x v="18"/>
    <x v="3"/>
    <x v="7"/>
  </r>
  <r>
    <x v="11"/>
    <x v="17"/>
    <n v="1"/>
    <n v="1250"/>
    <x v="32"/>
    <x v="30"/>
    <x v="3"/>
    <x v="12"/>
  </r>
  <r>
    <x v="0"/>
    <x v="13"/>
    <n v="3"/>
    <n v="1490"/>
    <x v="28"/>
    <x v="26"/>
    <x v="3"/>
    <x v="3"/>
  </r>
  <r>
    <x v="6"/>
    <x v="8"/>
    <n v="2"/>
    <n v="1200"/>
    <x v="30"/>
    <x v="28"/>
    <x v="3"/>
    <x v="0"/>
  </r>
  <r>
    <x v="2"/>
    <x v="4"/>
    <n v="3"/>
    <n v="2180"/>
    <x v="11"/>
    <x v="11"/>
    <x v="3"/>
    <x v="6"/>
  </r>
  <r>
    <x v="9"/>
    <x v="18"/>
    <n v="3"/>
    <n v="1200"/>
    <x v="9"/>
    <x v="1"/>
    <x v="3"/>
    <x v="5"/>
  </r>
  <r>
    <x v="0"/>
    <x v="9"/>
    <n v="1"/>
    <n v="1800"/>
    <x v="33"/>
    <x v="31"/>
    <x v="3"/>
    <x v="12"/>
  </r>
  <r>
    <x v="2"/>
    <x v="5"/>
    <n v="1"/>
    <n v="7600"/>
    <x v="27"/>
    <x v="25"/>
    <x v="3"/>
    <x v="0"/>
  </r>
  <r>
    <x v="7"/>
    <x v="19"/>
    <n v="1"/>
    <n v="7530"/>
    <x v="34"/>
    <x v="32"/>
    <x v="3"/>
    <x v="1"/>
  </r>
  <r>
    <x v="11"/>
    <x v="13"/>
    <n v="2"/>
    <n v="1490"/>
    <x v="35"/>
    <x v="33"/>
    <x v="3"/>
    <x v="6"/>
  </r>
  <r>
    <x v="0"/>
    <x v="20"/>
    <n v="1"/>
    <n v="5300"/>
    <x v="36"/>
    <x v="34"/>
    <x v="3"/>
    <x v="0"/>
  </r>
  <r>
    <x v="4"/>
    <x v="8"/>
    <n v="2"/>
    <n v="1200"/>
    <x v="30"/>
    <x v="28"/>
    <x v="3"/>
    <x v="10"/>
  </r>
  <r>
    <x v="9"/>
    <x v="10"/>
    <n v="1"/>
    <n v="1090"/>
    <x v="37"/>
    <x v="35"/>
    <x v="3"/>
    <x v="1"/>
  </r>
  <r>
    <x v="4"/>
    <x v="6"/>
    <n v="1"/>
    <n v="7250"/>
    <x v="38"/>
    <x v="36"/>
    <x v="3"/>
    <x v="1"/>
  </r>
  <r>
    <x v="10"/>
    <x v="1"/>
    <n v="3"/>
    <n v="1400"/>
    <x v="39"/>
    <x v="27"/>
    <x v="3"/>
    <x v="10"/>
  </r>
  <r>
    <x v="2"/>
    <x v="21"/>
    <n v="1"/>
    <n v="1500"/>
    <x v="40"/>
    <x v="37"/>
    <x v="3"/>
    <x v="0"/>
  </r>
  <r>
    <x v="7"/>
    <x v="3"/>
    <n v="1"/>
    <n v="1350"/>
    <x v="26"/>
    <x v="24"/>
    <x v="3"/>
    <x v="11"/>
  </r>
  <r>
    <x v="7"/>
    <x v="16"/>
    <n v="3"/>
    <n v="1200"/>
    <x v="9"/>
    <x v="1"/>
    <x v="3"/>
    <x v="5"/>
  </r>
  <r>
    <x v="1"/>
    <x v="19"/>
    <n v="3"/>
    <n v="7530"/>
    <x v="41"/>
    <x v="15"/>
    <x v="3"/>
    <x v="6"/>
  </r>
  <r>
    <x v="10"/>
    <x v="8"/>
    <n v="1"/>
    <n v="1200"/>
    <x v="8"/>
    <x v="8"/>
    <x v="3"/>
    <x v="10"/>
  </r>
  <r>
    <x v="8"/>
    <x v="9"/>
    <n v="3"/>
    <n v="1800"/>
    <x v="12"/>
    <x v="12"/>
    <x v="3"/>
    <x v="1"/>
  </r>
  <r>
    <x v="0"/>
    <x v="6"/>
    <n v="1"/>
    <n v="7250"/>
    <x v="38"/>
    <x v="36"/>
    <x v="3"/>
    <x v="0"/>
  </r>
  <r>
    <x v="9"/>
    <x v="13"/>
    <n v="3"/>
    <n v="1490"/>
    <x v="28"/>
    <x v="26"/>
    <x v="3"/>
    <x v="5"/>
  </r>
  <r>
    <x v="9"/>
    <x v="18"/>
    <n v="1"/>
    <n v="1200"/>
    <x v="8"/>
    <x v="8"/>
    <x v="3"/>
    <x v="7"/>
  </r>
  <r>
    <x v="1"/>
    <x v="11"/>
    <n v="1"/>
    <n v="8000"/>
    <x v="42"/>
    <x v="9"/>
    <x v="3"/>
    <x v="7"/>
  </r>
  <r>
    <x v="6"/>
    <x v="1"/>
    <n v="1"/>
    <n v="1400"/>
    <x v="14"/>
    <x v="14"/>
    <x v="3"/>
    <x v="3"/>
  </r>
  <r>
    <x v="5"/>
    <x v="3"/>
    <n v="1"/>
    <n v="1350"/>
    <x v="26"/>
    <x v="24"/>
    <x v="3"/>
    <x v="10"/>
  </r>
  <r>
    <x v="8"/>
    <x v="18"/>
    <n v="1"/>
    <n v="1200"/>
    <x v="8"/>
    <x v="8"/>
    <x v="3"/>
    <x v="9"/>
  </r>
  <r>
    <x v="6"/>
    <x v="20"/>
    <n v="1"/>
    <n v="5300"/>
    <x v="36"/>
    <x v="34"/>
    <x v="3"/>
    <x v="0"/>
  </r>
  <r>
    <x v="9"/>
    <x v="12"/>
    <n v="3"/>
    <n v="10590"/>
    <x v="43"/>
    <x v="38"/>
    <x v="3"/>
    <x v="12"/>
  </r>
  <r>
    <x v="4"/>
    <x v="17"/>
    <n v="1"/>
    <n v="1250"/>
    <x v="32"/>
    <x v="30"/>
    <x v="3"/>
    <x v="4"/>
  </r>
  <r>
    <x v="11"/>
    <x v="18"/>
    <n v="1"/>
    <n v="1200"/>
    <x v="8"/>
    <x v="8"/>
    <x v="3"/>
    <x v="8"/>
  </r>
  <r>
    <x v="4"/>
    <x v="1"/>
    <n v="3"/>
    <n v="1400"/>
    <x v="39"/>
    <x v="27"/>
    <x v="3"/>
    <x v="1"/>
  </r>
  <r>
    <x v="11"/>
    <x v="19"/>
    <n v="2"/>
    <n v="7530"/>
    <x v="44"/>
    <x v="39"/>
    <x v="3"/>
    <x v="0"/>
  </r>
  <r>
    <x v="6"/>
    <x v="5"/>
    <n v="1"/>
    <n v="7600"/>
    <x v="27"/>
    <x v="25"/>
    <x v="3"/>
    <x v="4"/>
  </r>
  <r>
    <x v="11"/>
    <x v="21"/>
    <n v="1"/>
    <n v="1500"/>
    <x v="40"/>
    <x v="37"/>
    <x v="3"/>
    <x v="0"/>
  </r>
  <r>
    <x v="9"/>
    <x v="4"/>
    <n v="2"/>
    <n v="2180"/>
    <x v="4"/>
    <x v="4"/>
    <x v="3"/>
    <x v="1"/>
  </r>
  <r>
    <x v="3"/>
    <x v="4"/>
    <n v="1"/>
    <n v="2180"/>
    <x v="10"/>
    <x v="40"/>
    <x v="3"/>
    <x v="12"/>
  </r>
  <r>
    <x v="9"/>
    <x v="15"/>
    <n v="1"/>
    <n v="5775"/>
    <x v="45"/>
    <x v="41"/>
    <x v="3"/>
    <x v="9"/>
  </r>
  <r>
    <x v="9"/>
    <x v="7"/>
    <n v="3"/>
    <n v="1100"/>
    <x v="7"/>
    <x v="7"/>
    <x v="3"/>
    <x v="2"/>
  </r>
  <r>
    <x v="10"/>
    <x v="15"/>
    <n v="1"/>
    <n v="5775"/>
    <x v="45"/>
    <x v="41"/>
    <x v="3"/>
    <x v="3"/>
  </r>
  <r>
    <x v="7"/>
    <x v="3"/>
    <n v="1"/>
    <n v="1350"/>
    <x v="26"/>
    <x v="24"/>
    <x v="3"/>
    <x v="10"/>
  </r>
  <r>
    <x v="0"/>
    <x v="5"/>
    <n v="3"/>
    <n v="7600"/>
    <x v="24"/>
    <x v="22"/>
    <x v="3"/>
    <x v="1"/>
  </r>
  <r>
    <x v="2"/>
    <x v="6"/>
    <n v="3"/>
    <n v="7250"/>
    <x v="25"/>
    <x v="23"/>
    <x v="3"/>
    <x v="9"/>
  </r>
  <r>
    <x v="11"/>
    <x v="13"/>
    <n v="2"/>
    <n v="1490"/>
    <x v="35"/>
    <x v="33"/>
    <x v="3"/>
    <x v="7"/>
  </r>
  <r>
    <x v="3"/>
    <x v="13"/>
    <n v="2"/>
    <n v="1490"/>
    <x v="35"/>
    <x v="33"/>
    <x v="3"/>
    <x v="8"/>
  </r>
  <r>
    <x v="8"/>
    <x v="10"/>
    <n v="2"/>
    <n v="1090"/>
    <x v="10"/>
    <x v="10"/>
    <x v="3"/>
    <x v="10"/>
  </r>
  <r>
    <x v="8"/>
    <x v="8"/>
    <n v="3"/>
    <n v="1200"/>
    <x v="9"/>
    <x v="1"/>
    <x v="3"/>
    <x v="2"/>
  </r>
  <r>
    <x v="11"/>
    <x v="10"/>
    <n v="2"/>
    <n v="1090"/>
    <x v="10"/>
    <x v="10"/>
    <x v="3"/>
    <x v="12"/>
  </r>
  <r>
    <x v="11"/>
    <x v="4"/>
    <n v="3"/>
    <n v="2180"/>
    <x v="11"/>
    <x v="11"/>
    <x v="3"/>
    <x v="1"/>
  </r>
  <r>
    <x v="2"/>
    <x v="20"/>
    <n v="3"/>
    <n v="5300"/>
    <x v="46"/>
    <x v="42"/>
    <x v="3"/>
    <x v="2"/>
  </r>
  <r>
    <x v="11"/>
    <x v="20"/>
    <n v="2"/>
    <n v="5300"/>
    <x v="47"/>
    <x v="43"/>
    <x v="3"/>
    <x v="4"/>
  </r>
  <r>
    <x v="5"/>
    <x v="6"/>
    <n v="2"/>
    <n v="7250"/>
    <x v="6"/>
    <x v="6"/>
    <x v="3"/>
    <x v="6"/>
  </r>
  <r>
    <x v="5"/>
    <x v="18"/>
    <n v="3"/>
    <n v="1200"/>
    <x v="9"/>
    <x v="1"/>
    <x v="3"/>
    <x v="3"/>
  </r>
  <r>
    <x v="3"/>
    <x v="0"/>
    <n v="1"/>
    <n v="6000"/>
    <x v="17"/>
    <x v="9"/>
    <x v="3"/>
    <x v="3"/>
  </r>
  <r>
    <x v="2"/>
    <x v="2"/>
    <n v="3"/>
    <n v="8450"/>
    <x v="48"/>
    <x v="44"/>
    <x v="3"/>
    <x v="5"/>
  </r>
  <r>
    <x v="6"/>
    <x v="14"/>
    <n v="1"/>
    <n v="4200"/>
    <x v="39"/>
    <x v="1"/>
    <x v="4"/>
    <x v="4"/>
  </r>
  <r>
    <x v="6"/>
    <x v="12"/>
    <n v="3"/>
    <n v="10590"/>
    <x v="43"/>
    <x v="38"/>
    <x v="4"/>
    <x v="8"/>
  </r>
  <r>
    <x v="5"/>
    <x v="18"/>
    <n v="1"/>
    <n v="1200"/>
    <x v="8"/>
    <x v="8"/>
    <x v="4"/>
    <x v="2"/>
  </r>
  <r>
    <x v="10"/>
    <x v="7"/>
    <n v="2"/>
    <n v="1100"/>
    <x v="18"/>
    <x v="14"/>
    <x v="4"/>
    <x v="3"/>
  </r>
  <r>
    <x v="9"/>
    <x v="22"/>
    <n v="2"/>
    <n v="3700"/>
    <x v="49"/>
    <x v="45"/>
    <x v="4"/>
    <x v="8"/>
  </r>
  <r>
    <x v="1"/>
    <x v="22"/>
    <n v="1"/>
    <n v="3700"/>
    <x v="50"/>
    <x v="37"/>
    <x v="4"/>
    <x v="10"/>
  </r>
  <r>
    <x v="6"/>
    <x v="7"/>
    <n v="3"/>
    <n v="1100"/>
    <x v="7"/>
    <x v="7"/>
    <x v="4"/>
    <x v="9"/>
  </r>
  <r>
    <x v="5"/>
    <x v="22"/>
    <n v="1"/>
    <n v="3700"/>
    <x v="50"/>
    <x v="37"/>
    <x v="4"/>
    <x v="8"/>
  </r>
  <r>
    <x v="10"/>
    <x v="13"/>
    <n v="1"/>
    <n v="1490"/>
    <x v="19"/>
    <x v="17"/>
    <x v="4"/>
    <x v="4"/>
  </r>
  <r>
    <x v="9"/>
    <x v="21"/>
    <n v="1"/>
    <n v="1500"/>
    <x v="40"/>
    <x v="37"/>
    <x v="4"/>
    <x v="7"/>
  </r>
  <r>
    <x v="8"/>
    <x v="10"/>
    <n v="2"/>
    <n v="1090"/>
    <x v="10"/>
    <x v="10"/>
    <x v="4"/>
    <x v="1"/>
  </r>
  <r>
    <x v="10"/>
    <x v="9"/>
    <n v="3"/>
    <n v="1800"/>
    <x v="12"/>
    <x v="12"/>
    <x v="4"/>
    <x v="4"/>
  </r>
  <r>
    <x v="7"/>
    <x v="19"/>
    <n v="2"/>
    <n v="7530"/>
    <x v="44"/>
    <x v="39"/>
    <x v="4"/>
    <x v="10"/>
  </r>
  <r>
    <x v="6"/>
    <x v="7"/>
    <n v="3"/>
    <n v="1100"/>
    <x v="7"/>
    <x v="7"/>
    <x v="4"/>
    <x v="12"/>
  </r>
  <r>
    <x v="9"/>
    <x v="3"/>
    <n v="3"/>
    <n v="1350"/>
    <x v="3"/>
    <x v="3"/>
    <x v="4"/>
    <x v="12"/>
  </r>
  <r>
    <x v="8"/>
    <x v="3"/>
    <n v="1"/>
    <n v="1350"/>
    <x v="26"/>
    <x v="24"/>
    <x v="4"/>
    <x v="12"/>
  </r>
  <r>
    <x v="7"/>
    <x v="10"/>
    <n v="2"/>
    <n v="1090"/>
    <x v="10"/>
    <x v="10"/>
    <x v="4"/>
    <x v="12"/>
  </r>
  <r>
    <x v="7"/>
    <x v="14"/>
    <n v="1"/>
    <n v="4200"/>
    <x v="39"/>
    <x v="1"/>
    <x v="4"/>
    <x v="7"/>
  </r>
  <r>
    <x v="9"/>
    <x v="9"/>
    <n v="2"/>
    <n v="1800"/>
    <x v="9"/>
    <x v="9"/>
    <x v="4"/>
    <x v="7"/>
  </r>
  <r>
    <x v="11"/>
    <x v="10"/>
    <n v="1"/>
    <n v="1090"/>
    <x v="37"/>
    <x v="35"/>
    <x v="4"/>
    <x v="2"/>
  </r>
  <r>
    <x v="0"/>
    <x v="5"/>
    <n v="1"/>
    <n v="7600"/>
    <x v="27"/>
    <x v="25"/>
    <x v="4"/>
    <x v="2"/>
  </r>
  <r>
    <x v="8"/>
    <x v="5"/>
    <n v="3"/>
    <n v="7600"/>
    <x v="24"/>
    <x v="22"/>
    <x v="4"/>
    <x v="2"/>
  </r>
  <r>
    <x v="2"/>
    <x v="22"/>
    <n v="1"/>
    <n v="3700"/>
    <x v="50"/>
    <x v="37"/>
    <x v="4"/>
    <x v="9"/>
  </r>
  <r>
    <x v="4"/>
    <x v="6"/>
    <n v="3"/>
    <n v="7250"/>
    <x v="25"/>
    <x v="23"/>
    <x v="4"/>
    <x v="11"/>
  </r>
  <r>
    <x v="1"/>
    <x v="5"/>
    <n v="3"/>
    <n v="7600"/>
    <x v="24"/>
    <x v="22"/>
    <x v="4"/>
    <x v="4"/>
  </r>
  <r>
    <x v="10"/>
    <x v="14"/>
    <n v="1"/>
    <n v="4200"/>
    <x v="39"/>
    <x v="1"/>
    <x v="4"/>
    <x v="10"/>
  </r>
  <r>
    <x v="6"/>
    <x v="17"/>
    <n v="3"/>
    <n v="1250"/>
    <x v="51"/>
    <x v="46"/>
    <x v="4"/>
    <x v="10"/>
  </r>
  <r>
    <x v="8"/>
    <x v="10"/>
    <n v="1"/>
    <n v="1090"/>
    <x v="37"/>
    <x v="35"/>
    <x v="4"/>
    <x v="3"/>
  </r>
  <r>
    <x v="3"/>
    <x v="4"/>
    <n v="1"/>
    <n v="2180"/>
    <x v="10"/>
    <x v="40"/>
    <x v="4"/>
    <x v="3"/>
  </r>
  <r>
    <x v="11"/>
    <x v="22"/>
    <n v="2"/>
    <n v="3700"/>
    <x v="49"/>
    <x v="45"/>
    <x v="4"/>
    <x v="6"/>
  </r>
  <r>
    <x v="9"/>
    <x v="0"/>
    <n v="2"/>
    <n v="6000"/>
    <x v="0"/>
    <x v="0"/>
    <x v="4"/>
    <x v="7"/>
  </r>
  <r>
    <x v="10"/>
    <x v="17"/>
    <n v="2"/>
    <n v="1250"/>
    <x v="52"/>
    <x v="7"/>
    <x v="4"/>
    <x v="7"/>
  </r>
  <r>
    <x v="11"/>
    <x v="5"/>
    <n v="1"/>
    <n v="7600"/>
    <x v="27"/>
    <x v="25"/>
    <x v="4"/>
    <x v="10"/>
  </r>
  <r>
    <x v="0"/>
    <x v="1"/>
    <n v="2"/>
    <n v="1400"/>
    <x v="1"/>
    <x v="1"/>
    <x v="4"/>
    <x v="4"/>
  </r>
  <r>
    <x v="4"/>
    <x v="4"/>
    <n v="2"/>
    <n v="2180"/>
    <x v="4"/>
    <x v="4"/>
    <x v="4"/>
    <x v="12"/>
  </r>
  <r>
    <x v="0"/>
    <x v="9"/>
    <n v="3"/>
    <n v="1800"/>
    <x v="12"/>
    <x v="12"/>
    <x v="4"/>
    <x v="6"/>
  </r>
  <r>
    <x v="2"/>
    <x v="21"/>
    <n v="1"/>
    <n v="1500"/>
    <x v="40"/>
    <x v="37"/>
    <x v="4"/>
    <x v="10"/>
  </r>
  <r>
    <x v="6"/>
    <x v="2"/>
    <n v="3"/>
    <n v="8450"/>
    <x v="48"/>
    <x v="44"/>
    <x v="4"/>
    <x v="9"/>
  </r>
  <r>
    <x v="9"/>
    <x v="21"/>
    <n v="3"/>
    <n v="1500"/>
    <x v="53"/>
    <x v="47"/>
    <x v="4"/>
    <x v="9"/>
  </r>
  <r>
    <x v="5"/>
    <x v="0"/>
    <n v="3"/>
    <n v="6000"/>
    <x v="54"/>
    <x v="13"/>
    <x v="4"/>
    <x v="5"/>
  </r>
  <r>
    <x v="11"/>
    <x v="18"/>
    <n v="1"/>
    <n v="1200"/>
    <x v="8"/>
    <x v="8"/>
    <x v="4"/>
    <x v="6"/>
  </r>
  <r>
    <x v="0"/>
    <x v="14"/>
    <n v="3"/>
    <n v="4200"/>
    <x v="31"/>
    <x v="29"/>
    <x v="4"/>
    <x v="11"/>
  </r>
  <r>
    <x v="10"/>
    <x v="5"/>
    <n v="3"/>
    <n v="7600"/>
    <x v="24"/>
    <x v="22"/>
    <x v="4"/>
    <x v="12"/>
  </r>
  <r>
    <x v="5"/>
    <x v="6"/>
    <n v="2"/>
    <n v="7250"/>
    <x v="6"/>
    <x v="6"/>
    <x v="4"/>
    <x v="10"/>
  </r>
  <r>
    <x v="1"/>
    <x v="19"/>
    <n v="2"/>
    <n v="7530"/>
    <x v="44"/>
    <x v="39"/>
    <x v="4"/>
    <x v="4"/>
  </r>
  <r>
    <x v="2"/>
    <x v="6"/>
    <n v="2"/>
    <n v="7250"/>
    <x v="6"/>
    <x v="6"/>
    <x v="4"/>
    <x v="10"/>
  </r>
  <r>
    <x v="1"/>
    <x v="0"/>
    <n v="1"/>
    <n v="6000"/>
    <x v="17"/>
    <x v="9"/>
    <x v="4"/>
    <x v="2"/>
  </r>
  <r>
    <x v="5"/>
    <x v="18"/>
    <n v="3"/>
    <n v="1200"/>
    <x v="9"/>
    <x v="1"/>
    <x v="4"/>
    <x v="10"/>
  </r>
  <r>
    <x v="11"/>
    <x v="20"/>
    <n v="2"/>
    <n v="5300"/>
    <x v="47"/>
    <x v="43"/>
    <x v="4"/>
    <x v="6"/>
  </r>
  <r>
    <x v="8"/>
    <x v="2"/>
    <n v="2"/>
    <n v="8450"/>
    <x v="2"/>
    <x v="2"/>
    <x v="4"/>
    <x v="12"/>
  </r>
  <r>
    <x v="4"/>
    <x v="3"/>
    <n v="1"/>
    <n v="1350"/>
    <x v="26"/>
    <x v="24"/>
    <x v="4"/>
    <x v="9"/>
  </r>
  <r>
    <x v="6"/>
    <x v="10"/>
    <n v="1"/>
    <n v="1090"/>
    <x v="37"/>
    <x v="35"/>
    <x v="4"/>
    <x v="7"/>
  </r>
  <r>
    <x v="4"/>
    <x v="4"/>
    <n v="1"/>
    <n v="2180"/>
    <x v="10"/>
    <x v="40"/>
    <x v="4"/>
    <x v="12"/>
  </r>
  <r>
    <x v="1"/>
    <x v="22"/>
    <n v="1"/>
    <n v="3700"/>
    <x v="50"/>
    <x v="37"/>
    <x v="4"/>
    <x v="4"/>
  </r>
  <r>
    <x v="6"/>
    <x v="7"/>
    <n v="3"/>
    <n v="1100"/>
    <x v="7"/>
    <x v="7"/>
    <x v="4"/>
    <x v="11"/>
  </r>
  <r>
    <x v="5"/>
    <x v="22"/>
    <n v="1"/>
    <n v="3700"/>
    <x v="50"/>
    <x v="37"/>
    <x v="4"/>
    <x v="1"/>
  </r>
  <r>
    <x v="10"/>
    <x v="13"/>
    <n v="1"/>
    <n v="1490"/>
    <x v="19"/>
    <x v="17"/>
    <x v="4"/>
    <x v="10"/>
  </r>
  <r>
    <x v="9"/>
    <x v="21"/>
    <n v="1"/>
    <n v="1500"/>
    <x v="40"/>
    <x v="37"/>
    <x v="4"/>
    <x v="10"/>
  </r>
  <r>
    <x v="8"/>
    <x v="10"/>
    <n v="2"/>
    <n v="1090"/>
    <x v="10"/>
    <x v="10"/>
    <x v="4"/>
    <x v="2"/>
  </r>
  <r>
    <x v="10"/>
    <x v="9"/>
    <n v="3"/>
    <n v="1800"/>
    <x v="12"/>
    <x v="12"/>
    <x v="4"/>
    <x v="1"/>
  </r>
  <r>
    <x v="7"/>
    <x v="19"/>
    <n v="2"/>
    <n v="7530"/>
    <x v="44"/>
    <x v="39"/>
    <x v="4"/>
    <x v="1"/>
  </r>
  <r>
    <x v="6"/>
    <x v="7"/>
    <n v="3"/>
    <n v="1100"/>
    <x v="7"/>
    <x v="7"/>
    <x v="4"/>
    <x v="0"/>
  </r>
  <r>
    <x v="9"/>
    <x v="3"/>
    <n v="3"/>
    <n v="1350"/>
    <x v="3"/>
    <x v="3"/>
    <x v="4"/>
    <x v="3"/>
  </r>
  <r>
    <x v="8"/>
    <x v="3"/>
    <n v="1"/>
    <n v="1350"/>
    <x v="26"/>
    <x v="24"/>
    <x v="4"/>
    <x v="8"/>
  </r>
  <r>
    <x v="7"/>
    <x v="10"/>
    <n v="2"/>
    <n v="1090"/>
    <x v="10"/>
    <x v="10"/>
    <x v="4"/>
    <x v="4"/>
  </r>
  <r>
    <x v="7"/>
    <x v="14"/>
    <n v="1"/>
    <n v="4200"/>
    <x v="39"/>
    <x v="1"/>
    <x v="4"/>
    <x v="10"/>
  </r>
  <r>
    <x v="9"/>
    <x v="9"/>
    <n v="2"/>
    <n v="1800"/>
    <x v="9"/>
    <x v="9"/>
    <x v="4"/>
    <x v="5"/>
  </r>
  <r>
    <x v="11"/>
    <x v="10"/>
    <n v="1"/>
    <n v="1090"/>
    <x v="37"/>
    <x v="35"/>
    <x v="4"/>
    <x v="9"/>
  </r>
  <r>
    <x v="0"/>
    <x v="5"/>
    <n v="1"/>
    <n v="7600"/>
    <x v="27"/>
    <x v="25"/>
    <x v="4"/>
    <x v="9"/>
  </r>
  <r>
    <x v="8"/>
    <x v="5"/>
    <n v="3"/>
    <n v="7600"/>
    <x v="24"/>
    <x v="22"/>
    <x v="4"/>
    <x v="8"/>
  </r>
  <r>
    <x v="2"/>
    <x v="22"/>
    <n v="1"/>
    <n v="3700"/>
    <x v="50"/>
    <x v="37"/>
    <x v="4"/>
    <x v="8"/>
  </r>
  <r>
    <x v="4"/>
    <x v="6"/>
    <n v="3"/>
    <n v="7250"/>
    <x v="25"/>
    <x v="23"/>
    <x v="4"/>
    <x v="12"/>
  </r>
  <r>
    <x v="1"/>
    <x v="5"/>
    <n v="3"/>
    <n v="7600"/>
    <x v="24"/>
    <x v="22"/>
    <x v="4"/>
    <x v="11"/>
  </r>
  <r>
    <x v="10"/>
    <x v="14"/>
    <n v="1"/>
    <n v="4200"/>
    <x v="39"/>
    <x v="1"/>
    <x v="4"/>
    <x v="5"/>
  </r>
  <r>
    <x v="6"/>
    <x v="17"/>
    <n v="3"/>
    <n v="1250"/>
    <x v="51"/>
    <x v="46"/>
    <x v="4"/>
    <x v="11"/>
  </r>
  <r>
    <x v="8"/>
    <x v="10"/>
    <n v="1"/>
    <n v="1090"/>
    <x v="37"/>
    <x v="35"/>
    <x v="4"/>
    <x v="5"/>
  </r>
  <r>
    <x v="3"/>
    <x v="4"/>
    <n v="1"/>
    <n v="2180"/>
    <x v="10"/>
    <x v="40"/>
    <x v="4"/>
    <x v="4"/>
  </r>
  <r>
    <x v="11"/>
    <x v="22"/>
    <n v="2"/>
    <n v="3700"/>
    <x v="49"/>
    <x v="45"/>
    <x v="4"/>
    <x v="4"/>
  </r>
  <r>
    <x v="9"/>
    <x v="0"/>
    <n v="2"/>
    <n v="6000"/>
    <x v="0"/>
    <x v="0"/>
    <x v="4"/>
    <x v="4"/>
  </r>
  <r>
    <x v="10"/>
    <x v="17"/>
    <n v="2"/>
    <n v="1250"/>
    <x v="52"/>
    <x v="7"/>
    <x v="4"/>
    <x v="12"/>
  </r>
  <r>
    <x v="11"/>
    <x v="5"/>
    <n v="1"/>
    <n v="7600"/>
    <x v="27"/>
    <x v="25"/>
    <x v="4"/>
    <x v="9"/>
  </r>
  <r>
    <x v="0"/>
    <x v="1"/>
    <n v="2"/>
    <n v="1400"/>
    <x v="1"/>
    <x v="1"/>
    <x v="4"/>
    <x v="5"/>
  </r>
  <r>
    <x v="4"/>
    <x v="4"/>
    <n v="2"/>
    <n v="2180"/>
    <x v="4"/>
    <x v="4"/>
    <x v="4"/>
    <x v="7"/>
  </r>
  <r>
    <x v="0"/>
    <x v="9"/>
    <n v="3"/>
    <n v="1800"/>
    <x v="12"/>
    <x v="12"/>
    <x v="4"/>
    <x v="6"/>
  </r>
  <r>
    <x v="2"/>
    <x v="21"/>
    <n v="1"/>
    <n v="1500"/>
    <x v="40"/>
    <x v="37"/>
    <x v="4"/>
    <x v="2"/>
  </r>
  <r>
    <x v="6"/>
    <x v="2"/>
    <n v="3"/>
    <n v="8450"/>
    <x v="48"/>
    <x v="44"/>
    <x v="4"/>
    <x v="1"/>
  </r>
  <r>
    <x v="9"/>
    <x v="21"/>
    <n v="3"/>
    <n v="1500"/>
    <x v="53"/>
    <x v="47"/>
    <x v="4"/>
    <x v="11"/>
  </r>
  <r>
    <x v="5"/>
    <x v="0"/>
    <n v="3"/>
    <n v="6000"/>
    <x v="54"/>
    <x v="13"/>
    <x v="4"/>
    <x v="3"/>
  </r>
  <r>
    <x v="11"/>
    <x v="18"/>
    <n v="1"/>
    <n v="1200"/>
    <x v="8"/>
    <x v="8"/>
    <x v="4"/>
    <x v="12"/>
  </r>
  <r>
    <x v="0"/>
    <x v="14"/>
    <n v="3"/>
    <n v="4200"/>
    <x v="31"/>
    <x v="29"/>
    <x v="4"/>
    <x v="5"/>
  </r>
  <r>
    <x v="10"/>
    <x v="5"/>
    <n v="3"/>
    <n v="7600"/>
    <x v="24"/>
    <x v="22"/>
    <x v="4"/>
    <x v="8"/>
  </r>
  <r>
    <x v="5"/>
    <x v="6"/>
    <n v="2"/>
    <n v="7250"/>
    <x v="6"/>
    <x v="6"/>
    <x v="4"/>
    <x v="1"/>
  </r>
  <r>
    <x v="1"/>
    <x v="19"/>
    <n v="2"/>
    <n v="7530"/>
    <x v="44"/>
    <x v="39"/>
    <x v="4"/>
    <x v="7"/>
  </r>
  <r>
    <x v="2"/>
    <x v="6"/>
    <n v="2"/>
    <n v="7250"/>
    <x v="6"/>
    <x v="6"/>
    <x v="4"/>
    <x v="8"/>
  </r>
  <r>
    <x v="1"/>
    <x v="0"/>
    <n v="1"/>
    <n v="6000"/>
    <x v="17"/>
    <x v="9"/>
    <x v="4"/>
    <x v="6"/>
  </r>
  <r>
    <x v="5"/>
    <x v="18"/>
    <n v="3"/>
    <n v="1200"/>
    <x v="9"/>
    <x v="1"/>
    <x v="4"/>
    <x v="12"/>
  </r>
  <r>
    <x v="11"/>
    <x v="20"/>
    <n v="2"/>
    <n v="5300"/>
    <x v="47"/>
    <x v="43"/>
    <x v="4"/>
    <x v="6"/>
  </r>
  <r>
    <x v="8"/>
    <x v="2"/>
    <n v="2"/>
    <n v="8450"/>
    <x v="2"/>
    <x v="2"/>
    <x v="4"/>
    <x v="2"/>
  </r>
  <r>
    <x v="4"/>
    <x v="3"/>
    <n v="1"/>
    <n v="1350"/>
    <x v="26"/>
    <x v="24"/>
    <x v="4"/>
    <x v="9"/>
  </r>
  <r>
    <x v="6"/>
    <x v="10"/>
    <n v="1"/>
    <n v="1090"/>
    <x v="37"/>
    <x v="35"/>
    <x v="4"/>
    <x v="5"/>
  </r>
  <r>
    <x v="4"/>
    <x v="4"/>
    <n v="1"/>
    <n v="2180"/>
    <x v="10"/>
    <x v="40"/>
    <x v="4"/>
    <x v="11"/>
  </r>
  <r>
    <x v="0"/>
    <x v="0"/>
    <n v="2"/>
    <n v="6000"/>
    <x v="0"/>
    <x v="0"/>
    <x v="4"/>
    <x v="0"/>
  </r>
  <r>
    <x v="1"/>
    <x v="1"/>
    <n v="2"/>
    <n v="1400"/>
    <x v="1"/>
    <x v="1"/>
    <x v="4"/>
    <x v="2"/>
  </r>
  <r>
    <x v="2"/>
    <x v="2"/>
    <n v="2"/>
    <n v="8450"/>
    <x v="2"/>
    <x v="2"/>
    <x v="4"/>
    <x v="11"/>
  </r>
  <r>
    <x v="3"/>
    <x v="3"/>
    <n v="3"/>
    <n v="1350"/>
    <x v="3"/>
    <x v="3"/>
    <x v="4"/>
    <x v="8"/>
  </r>
  <r>
    <x v="0"/>
    <x v="4"/>
    <n v="2"/>
    <n v="2180"/>
    <x v="4"/>
    <x v="4"/>
    <x v="4"/>
    <x v="12"/>
  </r>
  <r>
    <x v="4"/>
    <x v="5"/>
    <n v="2"/>
    <n v="7600"/>
    <x v="5"/>
    <x v="5"/>
    <x v="4"/>
    <x v="11"/>
  </r>
  <r>
    <x v="1"/>
    <x v="6"/>
    <n v="2"/>
    <n v="7250"/>
    <x v="6"/>
    <x v="6"/>
    <x v="4"/>
    <x v="6"/>
  </r>
  <r>
    <x v="3"/>
    <x v="7"/>
    <n v="3"/>
    <n v="1100"/>
    <x v="7"/>
    <x v="7"/>
    <x v="4"/>
    <x v="1"/>
  </r>
  <r>
    <x v="5"/>
    <x v="0"/>
    <n v="2"/>
    <n v="6000"/>
    <x v="0"/>
    <x v="0"/>
    <x v="4"/>
    <x v="0"/>
  </r>
  <r>
    <x v="0"/>
    <x v="8"/>
    <n v="1"/>
    <n v="1200"/>
    <x v="8"/>
    <x v="8"/>
    <x v="4"/>
    <x v="8"/>
  </r>
  <r>
    <x v="6"/>
    <x v="9"/>
    <n v="2"/>
    <n v="1800"/>
    <x v="9"/>
    <x v="9"/>
    <x v="4"/>
    <x v="7"/>
  </r>
  <r>
    <x v="6"/>
    <x v="10"/>
    <n v="2"/>
    <n v="1090"/>
    <x v="10"/>
    <x v="10"/>
    <x v="4"/>
    <x v="10"/>
  </r>
  <r>
    <x v="5"/>
    <x v="4"/>
    <n v="3"/>
    <n v="2180"/>
    <x v="11"/>
    <x v="11"/>
    <x v="4"/>
    <x v="0"/>
  </r>
  <r>
    <x v="7"/>
    <x v="9"/>
    <n v="3"/>
    <n v="1800"/>
    <x v="12"/>
    <x v="12"/>
    <x v="4"/>
    <x v="5"/>
  </r>
  <r>
    <x v="4"/>
    <x v="11"/>
    <n v="3"/>
    <n v="8000"/>
    <x v="13"/>
    <x v="13"/>
    <x v="4"/>
    <x v="9"/>
  </r>
  <r>
    <x v="5"/>
    <x v="1"/>
    <n v="1"/>
    <n v="1400"/>
    <x v="14"/>
    <x v="14"/>
    <x v="4"/>
    <x v="5"/>
  </r>
  <r>
    <x v="8"/>
    <x v="12"/>
    <n v="1"/>
    <n v="10590"/>
    <x v="15"/>
    <x v="15"/>
    <x v="4"/>
    <x v="7"/>
  </r>
  <r>
    <x v="9"/>
    <x v="3"/>
    <n v="2"/>
    <n v="1350"/>
    <x v="16"/>
    <x v="16"/>
    <x v="4"/>
    <x v="0"/>
  </r>
  <r>
    <x v="6"/>
    <x v="1"/>
    <n v="2"/>
    <n v="1400"/>
    <x v="1"/>
    <x v="1"/>
    <x v="4"/>
    <x v="7"/>
  </r>
  <r>
    <x v="3"/>
    <x v="0"/>
    <n v="1"/>
    <n v="6000"/>
    <x v="17"/>
    <x v="9"/>
    <x v="4"/>
    <x v="7"/>
  </r>
  <r>
    <x v="8"/>
    <x v="7"/>
    <n v="2"/>
    <n v="1100"/>
    <x v="18"/>
    <x v="14"/>
    <x v="4"/>
    <x v="8"/>
  </r>
  <r>
    <x v="2"/>
    <x v="0"/>
    <n v="2"/>
    <n v="6000"/>
    <x v="0"/>
    <x v="0"/>
    <x v="4"/>
    <x v="5"/>
  </r>
  <r>
    <x v="9"/>
    <x v="13"/>
    <n v="1"/>
    <n v="1490"/>
    <x v="19"/>
    <x v="17"/>
    <x v="4"/>
    <x v="0"/>
  </r>
  <r>
    <x v="8"/>
    <x v="12"/>
    <n v="2"/>
    <n v="10590"/>
    <x v="20"/>
    <x v="18"/>
    <x v="4"/>
    <x v="7"/>
  </r>
  <r>
    <x v="2"/>
    <x v="11"/>
    <n v="3"/>
    <n v="8000"/>
    <x v="13"/>
    <x v="13"/>
    <x v="4"/>
    <x v="10"/>
  </r>
  <r>
    <x v="6"/>
    <x v="7"/>
    <n v="1"/>
    <n v="1100"/>
    <x v="21"/>
    <x v="19"/>
    <x v="4"/>
    <x v="10"/>
  </r>
  <r>
    <x v="9"/>
    <x v="8"/>
    <n v="1"/>
    <n v="1200"/>
    <x v="8"/>
    <x v="8"/>
    <x v="4"/>
    <x v="9"/>
  </r>
  <r>
    <x v="4"/>
    <x v="14"/>
    <n v="2"/>
    <n v="4200"/>
    <x v="22"/>
    <x v="20"/>
    <x v="4"/>
    <x v="7"/>
  </r>
  <r>
    <x v="1"/>
    <x v="15"/>
    <n v="3"/>
    <n v="5775"/>
    <x v="23"/>
    <x v="21"/>
    <x v="4"/>
    <x v="8"/>
  </r>
  <r>
    <x v="10"/>
    <x v="5"/>
    <n v="3"/>
    <n v="7600"/>
    <x v="24"/>
    <x v="22"/>
    <x v="4"/>
    <x v="8"/>
  </r>
  <r>
    <x v="1"/>
    <x v="6"/>
    <n v="3"/>
    <n v="7250"/>
    <x v="25"/>
    <x v="23"/>
    <x v="4"/>
    <x v="10"/>
  </r>
  <r>
    <x v="0"/>
    <x v="6"/>
    <n v="3"/>
    <n v="7250"/>
    <x v="25"/>
    <x v="23"/>
    <x v="4"/>
    <x v="1"/>
  </r>
  <r>
    <x v="8"/>
    <x v="6"/>
    <n v="3"/>
    <n v="7250"/>
    <x v="25"/>
    <x v="23"/>
    <x v="4"/>
    <x v="5"/>
  </r>
  <r>
    <x v="5"/>
    <x v="3"/>
    <n v="1"/>
    <n v="1350"/>
    <x v="26"/>
    <x v="24"/>
    <x v="4"/>
    <x v="10"/>
  </r>
  <r>
    <x v="1"/>
    <x v="6"/>
    <n v="2"/>
    <n v="7250"/>
    <x v="6"/>
    <x v="6"/>
    <x v="4"/>
    <x v="11"/>
  </r>
  <r>
    <x v="6"/>
    <x v="5"/>
    <n v="1"/>
    <n v="7600"/>
    <x v="27"/>
    <x v="25"/>
    <x v="4"/>
    <x v="0"/>
  </r>
  <r>
    <x v="11"/>
    <x v="5"/>
    <n v="3"/>
    <n v="7600"/>
    <x v="24"/>
    <x v="22"/>
    <x v="4"/>
    <x v="9"/>
  </r>
  <r>
    <x v="1"/>
    <x v="13"/>
    <n v="3"/>
    <n v="1490"/>
    <x v="28"/>
    <x v="26"/>
    <x v="4"/>
    <x v="11"/>
  </r>
  <r>
    <x v="5"/>
    <x v="16"/>
    <n v="2"/>
    <n v="2900"/>
    <x v="29"/>
    <x v="27"/>
    <x v="4"/>
    <x v="4"/>
  </r>
  <r>
    <x v="9"/>
    <x v="13"/>
    <n v="1"/>
    <n v="1490"/>
    <x v="19"/>
    <x v="17"/>
    <x v="4"/>
    <x v="0"/>
  </r>
  <r>
    <x v="9"/>
    <x v="10"/>
    <n v="2"/>
    <n v="1090"/>
    <x v="10"/>
    <x v="10"/>
    <x v="4"/>
    <x v="7"/>
  </r>
  <r>
    <x v="5"/>
    <x v="8"/>
    <n v="2"/>
    <n v="1200"/>
    <x v="30"/>
    <x v="28"/>
    <x v="4"/>
    <x v="7"/>
  </r>
  <r>
    <x v="8"/>
    <x v="12"/>
    <n v="2"/>
    <n v="10590"/>
    <x v="20"/>
    <x v="18"/>
    <x v="4"/>
    <x v="7"/>
  </r>
  <r>
    <x v="6"/>
    <x v="14"/>
    <n v="3"/>
    <n v="4200"/>
    <x v="31"/>
    <x v="29"/>
    <x v="4"/>
    <x v="6"/>
  </r>
  <r>
    <x v="3"/>
    <x v="14"/>
    <n v="3"/>
    <n v="4200"/>
    <x v="31"/>
    <x v="29"/>
    <x v="4"/>
    <x v="9"/>
  </r>
  <r>
    <x v="7"/>
    <x v="12"/>
    <n v="2"/>
    <n v="10590"/>
    <x v="20"/>
    <x v="18"/>
    <x v="4"/>
    <x v="11"/>
  </r>
  <r>
    <x v="11"/>
    <x v="17"/>
    <n v="1"/>
    <n v="1250"/>
    <x v="32"/>
    <x v="30"/>
    <x v="4"/>
    <x v="4"/>
  </r>
  <r>
    <x v="0"/>
    <x v="13"/>
    <n v="3"/>
    <n v="1490"/>
    <x v="28"/>
    <x v="26"/>
    <x v="4"/>
    <x v="8"/>
  </r>
  <r>
    <x v="6"/>
    <x v="8"/>
    <n v="2"/>
    <n v="1200"/>
    <x v="30"/>
    <x v="28"/>
    <x v="4"/>
    <x v="0"/>
  </r>
  <r>
    <x v="2"/>
    <x v="4"/>
    <n v="3"/>
    <n v="2180"/>
    <x v="11"/>
    <x v="11"/>
    <x v="4"/>
    <x v="10"/>
  </r>
  <r>
    <x v="9"/>
    <x v="18"/>
    <n v="3"/>
    <n v="1200"/>
    <x v="9"/>
    <x v="1"/>
    <x v="4"/>
    <x v="10"/>
  </r>
  <r>
    <x v="0"/>
    <x v="9"/>
    <n v="1"/>
    <n v="1800"/>
    <x v="33"/>
    <x v="31"/>
    <x v="4"/>
    <x v="6"/>
  </r>
  <r>
    <x v="2"/>
    <x v="5"/>
    <n v="1"/>
    <n v="7600"/>
    <x v="27"/>
    <x v="25"/>
    <x v="4"/>
    <x v="0"/>
  </r>
  <r>
    <x v="7"/>
    <x v="19"/>
    <n v="1"/>
    <n v="7530"/>
    <x v="34"/>
    <x v="32"/>
    <x v="4"/>
    <x v="5"/>
  </r>
  <r>
    <x v="11"/>
    <x v="13"/>
    <n v="2"/>
    <n v="1490"/>
    <x v="35"/>
    <x v="33"/>
    <x v="4"/>
    <x v="11"/>
  </r>
  <r>
    <x v="0"/>
    <x v="20"/>
    <n v="1"/>
    <n v="5300"/>
    <x v="36"/>
    <x v="34"/>
    <x v="4"/>
    <x v="2"/>
  </r>
  <r>
    <x v="4"/>
    <x v="8"/>
    <n v="2"/>
    <n v="1200"/>
    <x v="30"/>
    <x v="28"/>
    <x v="4"/>
    <x v="5"/>
  </r>
  <r>
    <x v="9"/>
    <x v="10"/>
    <n v="1"/>
    <n v="1090"/>
    <x v="37"/>
    <x v="35"/>
    <x v="4"/>
    <x v="4"/>
  </r>
  <r>
    <x v="4"/>
    <x v="6"/>
    <n v="1"/>
    <n v="7250"/>
    <x v="38"/>
    <x v="36"/>
    <x v="4"/>
    <x v="2"/>
  </r>
  <r>
    <x v="10"/>
    <x v="1"/>
    <n v="3"/>
    <n v="1400"/>
    <x v="39"/>
    <x v="27"/>
    <x v="4"/>
    <x v="3"/>
  </r>
  <r>
    <x v="2"/>
    <x v="21"/>
    <n v="1"/>
    <n v="1500"/>
    <x v="40"/>
    <x v="37"/>
    <x v="4"/>
    <x v="11"/>
  </r>
  <r>
    <x v="7"/>
    <x v="3"/>
    <n v="1"/>
    <n v="1350"/>
    <x v="26"/>
    <x v="24"/>
    <x v="4"/>
    <x v="5"/>
  </r>
  <r>
    <x v="7"/>
    <x v="8"/>
    <n v="3"/>
    <n v="1200"/>
    <x v="9"/>
    <x v="1"/>
    <x v="4"/>
    <x v="0"/>
  </r>
  <r>
    <x v="1"/>
    <x v="19"/>
    <n v="3"/>
    <n v="7530"/>
    <x v="41"/>
    <x v="15"/>
    <x v="4"/>
    <x v="12"/>
  </r>
  <r>
    <x v="10"/>
    <x v="8"/>
    <n v="1"/>
    <n v="1200"/>
    <x v="8"/>
    <x v="8"/>
    <x v="4"/>
    <x v="5"/>
  </r>
  <r>
    <x v="8"/>
    <x v="9"/>
    <n v="3"/>
    <n v="1800"/>
    <x v="12"/>
    <x v="12"/>
    <x v="4"/>
    <x v="1"/>
  </r>
  <r>
    <x v="0"/>
    <x v="6"/>
    <n v="1"/>
    <n v="7250"/>
    <x v="38"/>
    <x v="36"/>
    <x v="4"/>
    <x v="0"/>
  </r>
  <r>
    <x v="9"/>
    <x v="13"/>
    <n v="3"/>
    <n v="1490"/>
    <x v="28"/>
    <x v="26"/>
    <x v="4"/>
    <x v="8"/>
  </r>
  <r>
    <x v="9"/>
    <x v="18"/>
    <n v="1"/>
    <n v="1200"/>
    <x v="8"/>
    <x v="8"/>
    <x v="4"/>
    <x v="9"/>
  </r>
  <r>
    <x v="1"/>
    <x v="11"/>
    <n v="1"/>
    <n v="8000"/>
    <x v="42"/>
    <x v="9"/>
    <x v="4"/>
    <x v="10"/>
  </r>
  <r>
    <x v="6"/>
    <x v="1"/>
    <n v="1"/>
    <n v="1400"/>
    <x v="14"/>
    <x v="14"/>
    <x v="4"/>
    <x v="10"/>
  </r>
  <r>
    <x v="5"/>
    <x v="3"/>
    <n v="1"/>
    <n v="1350"/>
    <x v="26"/>
    <x v="24"/>
    <x v="4"/>
    <x v="6"/>
  </r>
  <r>
    <x v="8"/>
    <x v="18"/>
    <n v="1"/>
    <n v="1200"/>
    <x v="8"/>
    <x v="8"/>
    <x v="4"/>
    <x v="6"/>
  </r>
  <r>
    <x v="6"/>
    <x v="20"/>
    <n v="1"/>
    <n v="5300"/>
    <x v="36"/>
    <x v="34"/>
    <x v="4"/>
    <x v="4"/>
  </r>
  <r>
    <x v="9"/>
    <x v="12"/>
    <n v="3"/>
    <n v="10590"/>
    <x v="43"/>
    <x v="38"/>
    <x v="4"/>
    <x v="1"/>
  </r>
  <r>
    <x v="4"/>
    <x v="17"/>
    <n v="1"/>
    <n v="1250"/>
    <x v="32"/>
    <x v="30"/>
    <x v="4"/>
    <x v="3"/>
  </r>
  <r>
    <x v="11"/>
    <x v="18"/>
    <n v="1"/>
    <n v="1200"/>
    <x v="8"/>
    <x v="8"/>
    <x v="5"/>
    <x v="8"/>
  </r>
  <r>
    <x v="4"/>
    <x v="1"/>
    <n v="3"/>
    <n v="1400"/>
    <x v="39"/>
    <x v="27"/>
    <x v="5"/>
    <x v="4"/>
  </r>
  <r>
    <x v="11"/>
    <x v="19"/>
    <n v="2"/>
    <n v="7530"/>
    <x v="44"/>
    <x v="39"/>
    <x v="5"/>
    <x v="5"/>
  </r>
  <r>
    <x v="6"/>
    <x v="5"/>
    <n v="1"/>
    <n v="7600"/>
    <x v="27"/>
    <x v="25"/>
    <x v="5"/>
    <x v="10"/>
  </r>
  <r>
    <x v="11"/>
    <x v="21"/>
    <n v="1"/>
    <n v="1500"/>
    <x v="40"/>
    <x v="37"/>
    <x v="5"/>
    <x v="5"/>
  </r>
  <r>
    <x v="9"/>
    <x v="4"/>
    <n v="2"/>
    <n v="2180"/>
    <x v="4"/>
    <x v="4"/>
    <x v="5"/>
    <x v="1"/>
  </r>
  <r>
    <x v="3"/>
    <x v="4"/>
    <n v="1"/>
    <n v="2180"/>
    <x v="10"/>
    <x v="40"/>
    <x v="5"/>
    <x v="7"/>
  </r>
  <r>
    <x v="9"/>
    <x v="15"/>
    <n v="1"/>
    <n v="5775"/>
    <x v="45"/>
    <x v="41"/>
    <x v="5"/>
    <x v="11"/>
  </r>
  <r>
    <x v="9"/>
    <x v="7"/>
    <n v="3"/>
    <n v="1100"/>
    <x v="7"/>
    <x v="7"/>
    <x v="5"/>
    <x v="6"/>
  </r>
  <r>
    <x v="10"/>
    <x v="15"/>
    <n v="1"/>
    <n v="5775"/>
    <x v="45"/>
    <x v="41"/>
    <x v="5"/>
    <x v="10"/>
  </r>
  <r>
    <x v="7"/>
    <x v="3"/>
    <n v="1"/>
    <n v="1350"/>
    <x v="26"/>
    <x v="24"/>
    <x v="5"/>
    <x v="2"/>
  </r>
  <r>
    <x v="0"/>
    <x v="5"/>
    <n v="3"/>
    <n v="7600"/>
    <x v="24"/>
    <x v="22"/>
    <x v="5"/>
    <x v="10"/>
  </r>
  <r>
    <x v="2"/>
    <x v="6"/>
    <n v="3"/>
    <n v="7250"/>
    <x v="25"/>
    <x v="23"/>
    <x v="5"/>
    <x v="9"/>
  </r>
  <r>
    <x v="11"/>
    <x v="13"/>
    <n v="2"/>
    <n v="1490"/>
    <x v="35"/>
    <x v="33"/>
    <x v="5"/>
    <x v="3"/>
  </r>
  <r>
    <x v="3"/>
    <x v="13"/>
    <n v="2"/>
    <n v="1490"/>
    <x v="35"/>
    <x v="33"/>
    <x v="5"/>
    <x v="7"/>
  </r>
  <r>
    <x v="8"/>
    <x v="10"/>
    <n v="2"/>
    <n v="1090"/>
    <x v="10"/>
    <x v="10"/>
    <x v="5"/>
    <x v="5"/>
  </r>
  <r>
    <x v="8"/>
    <x v="8"/>
    <n v="3"/>
    <n v="1200"/>
    <x v="9"/>
    <x v="1"/>
    <x v="5"/>
    <x v="6"/>
  </r>
  <r>
    <x v="11"/>
    <x v="10"/>
    <n v="2"/>
    <n v="1090"/>
    <x v="10"/>
    <x v="10"/>
    <x v="5"/>
    <x v="8"/>
  </r>
  <r>
    <x v="11"/>
    <x v="4"/>
    <n v="3"/>
    <n v="2180"/>
    <x v="11"/>
    <x v="11"/>
    <x v="5"/>
    <x v="4"/>
  </r>
  <r>
    <x v="2"/>
    <x v="20"/>
    <n v="3"/>
    <n v="5300"/>
    <x v="46"/>
    <x v="42"/>
    <x v="5"/>
    <x v="6"/>
  </r>
  <r>
    <x v="11"/>
    <x v="20"/>
    <n v="2"/>
    <n v="5300"/>
    <x v="47"/>
    <x v="43"/>
    <x v="5"/>
    <x v="4"/>
  </r>
  <r>
    <x v="5"/>
    <x v="6"/>
    <n v="2"/>
    <n v="7250"/>
    <x v="6"/>
    <x v="6"/>
    <x v="5"/>
    <x v="9"/>
  </r>
  <r>
    <x v="5"/>
    <x v="18"/>
    <n v="3"/>
    <n v="1200"/>
    <x v="9"/>
    <x v="1"/>
    <x v="5"/>
    <x v="9"/>
  </r>
  <r>
    <x v="3"/>
    <x v="0"/>
    <n v="1"/>
    <n v="6000"/>
    <x v="17"/>
    <x v="9"/>
    <x v="5"/>
    <x v="0"/>
  </r>
  <r>
    <x v="2"/>
    <x v="2"/>
    <n v="3"/>
    <n v="8450"/>
    <x v="48"/>
    <x v="44"/>
    <x v="5"/>
    <x v="7"/>
  </r>
  <r>
    <x v="6"/>
    <x v="14"/>
    <n v="1"/>
    <n v="4200"/>
    <x v="39"/>
    <x v="1"/>
    <x v="5"/>
    <x v="4"/>
  </r>
  <r>
    <x v="6"/>
    <x v="12"/>
    <n v="3"/>
    <n v="10590"/>
    <x v="43"/>
    <x v="38"/>
    <x v="5"/>
    <x v="5"/>
  </r>
  <r>
    <x v="5"/>
    <x v="18"/>
    <n v="1"/>
    <n v="1200"/>
    <x v="8"/>
    <x v="8"/>
    <x v="5"/>
    <x v="9"/>
  </r>
  <r>
    <x v="10"/>
    <x v="7"/>
    <n v="2"/>
    <n v="1100"/>
    <x v="18"/>
    <x v="14"/>
    <x v="5"/>
    <x v="10"/>
  </r>
  <r>
    <x v="9"/>
    <x v="22"/>
    <n v="2"/>
    <n v="3700"/>
    <x v="49"/>
    <x v="45"/>
    <x v="5"/>
    <x v="1"/>
  </r>
  <r>
    <x v="1"/>
    <x v="22"/>
    <n v="1"/>
    <n v="3700"/>
    <x v="50"/>
    <x v="37"/>
    <x v="5"/>
    <x v="10"/>
  </r>
  <r>
    <x v="6"/>
    <x v="7"/>
    <n v="3"/>
    <n v="1100"/>
    <x v="7"/>
    <x v="7"/>
    <x v="5"/>
    <x v="8"/>
  </r>
  <r>
    <x v="5"/>
    <x v="22"/>
    <n v="1"/>
    <n v="3700"/>
    <x v="50"/>
    <x v="37"/>
    <x v="5"/>
    <x v="4"/>
  </r>
  <r>
    <x v="10"/>
    <x v="13"/>
    <n v="1"/>
    <n v="1490"/>
    <x v="19"/>
    <x v="17"/>
    <x v="5"/>
    <x v="1"/>
  </r>
  <r>
    <x v="9"/>
    <x v="21"/>
    <n v="1"/>
    <n v="1500"/>
    <x v="40"/>
    <x v="37"/>
    <x v="5"/>
    <x v="7"/>
  </r>
  <r>
    <x v="8"/>
    <x v="10"/>
    <n v="2"/>
    <n v="1090"/>
    <x v="10"/>
    <x v="10"/>
    <x v="5"/>
    <x v="9"/>
  </r>
  <r>
    <x v="10"/>
    <x v="9"/>
    <n v="3"/>
    <n v="1800"/>
    <x v="12"/>
    <x v="12"/>
    <x v="5"/>
    <x v="2"/>
  </r>
  <r>
    <x v="7"/>
    <x v="19"/>
    <n v="2"/>
    <n v="7530"/>
    <x v="44"/>
    <x v="39"/>
    <x v="5"/>
    <x v="3"/>
  </r>
  <r>
    <x v="6"/>
    <x v="7"/>
    <n v="3"/>
    <n v="1100"/>
    <x v="7"/>
    <x v="7"/>
    <x v="5"/>
    <x v="11"/>
  </r>
  <r>
    <x v="9"/>
    <x v="3"/>
    <n v="3"/>
    <n v="1350"/>
    <x v="3"/>
    <x v="3"/>
    <x v="5"/>
    <x v="7"/>
  </r>
  <r>
    <x v="8"/>
    <x v="3"/>
    <n v="1"/>
    <n v="1350"/>
    <x v="26"/>
    <x v="24"/>
    <x v="5"/>
    <x v="6"/>
  </r>
  <r>
    <x v="7"/>
    <x v="10"/>
    <n v="2"/>
    <n v="1090"/>
    <x v="10"/>
    <x v="10"/>
    <x v="5"/>
    <x v="3"/>
  </r>
  <r>
    <x v="7"/>
    <x v="14"/>
    <n v="1"/>
    <n v="4200"/>
    <x v="39"/>
    <x v="1"/>
    <x v="5"/>
    <x v="0"/>
  </r>
  <r>
    <x v="9"/>
    <x v="9"/>
    <n v="2"/>
    <n v="1800"/>
    <x v="9"/>
    <x v="9"/>
    <x v="5"/>
    <x v="11"/>
  </r>
  <r>
    <x v="11"/>
    <x v="10"/>
    <n v="1"/>
    <n v="1090"/>
    <x v="37"/>
    <x v="35"/>
    <x v="5"/>
    <x v="5"/>
  </r>
  <r>
    <x v="0"/>
    <x v="5"/>
    <n v="1"/>
    <n v="7600"/>
    <x v="27"/>
    <x v="25"/>
    <x v="5"/>
    <x v="4"/>
  </r>
  <r>
    <x v="8"/>
    <x v="5"/>
    <n v="3"/>
    <n v="7600"/>
    <x v="24"/>
    <x v="22"/>
    <x v="5"/>
    <x v="1"/>
  </r>
  <r>
    <x v="2"/>
    <x v="22"/>
    <n v="1"/>
    <n v="3700"/>
    <x v="50"/>
    <x v="37"/>
    <x v="5"/>
    <x v="7"/>
  </r>
  <r>
    <x v="4"/>
    <x v="6"/>
    <n v="3"/>
    <n v="7250"/>
    <x v="25"/>
    <x v="23"/>
    <x v="5"/>
    <x v="8"/>
  </r>
  <r>
    <x v="1"/>
    <x v="5"/>
    <n v="3"/>
    <n v="7600"/>
    <x v="24"/>
    <x v="22"/>
    <x v="5"/>
    <x v="8"/>
  </r>
  <r>
    <x v="10"/>
    <x v="14"/>
    <n v="1"/>
    <n v="4200"/>
    <x v="39"/>
    <x v="1"/>
    <x v="5"/>
    <x v="2"/>
  </r>
  <r>
    <x v="6"/>
    <x v="17"/>
    <n v="3"/>
    <n v="1250"/>
    <x v="51"/>
    <x v="46"/>
    <x v="5"/>
    <x v="4"/>
  </r>
  <r>
    <x v="8"/>
    <x v="10"/>
    <n v="1"/>
    <n v="1090"/>
    <x v="37"/>
    <x v="35"/>
    <x v="5"/>
    <x v="10"/>
  </r>
  <r>
    <x v="3"/>
    <x v="4"/>
    <n v="1"/>
    <n v="2180"/>
    <x v="10"/>
    <x v="40"/>
    <x v="5"/>
    <x v="12"/>
  </r>
  <r>
    <x v="11"/>
    <x v="22"/>
    <n v="2"/>
    <n v="3700"/>
    <x v="49"/>
    <x v="45"/>
    <x v="5"/>
    <x v="3"/>
  </r>
  <r>
    <x v="9"/>
    <x v="0"/>
    <n v="2"/>
    <n v="6000"/>
    <x v="0"/>
    <x v="0"/>
    <x v="5"/>
    <x v="12"/>
  </r>
  <r>
    <x v="10"/>
    <x v="17"/>
    <n v="2"/>
    <n v="1250"/>
    <x v="52"/>
    <x v="7"/>
    <x v="5"/>
    <x v="4"/>
  </r>
  <r>
    <x v="11"/>
    <x v="5"/>
    <n v="1"/>
    <n v="7600"/>
    <x v="27"/>
    <x v="25"/>
    <x v="5"/>
    <x v="12"/>
  </r>
  <r>
    <x v="0"/>
    <x v="1"/>
    <n v="2"/>
    <n v="1400"/>
    <x v="1"/>
    <x v="1"/>
    <x v="5"/>
    <x v="8"/>
  </r>
  <r>
    <x v="4"/>
    <x v="4"/>
    <n v="2"/>
    <n v="2180"/>
    <x v="4"/>
    <x v="4"/>
    <x v="5"/>
    <x v="8"/>
  </r>
  <r>
    <x v="0"/>
    <x v="9"/>
    <n v="3"/>
    <n v="1800"/>
    <x v="12"/>
    <x v="12"/>
    <x v="5"/>
    <x v="3"/>
  </r>
  <r>
    <x v="2"/>
    <x v="21"/>
    <n v="1"/>
    <n v="1500"/>
    <x v="40"/>
    <x v="37"/>
    <x v="5"/>
    <x v="6"/>
  </r>
  <r>
    <x v="6"/>
    <x v="2"/>
    <n v="3"/>
    <n v="8450"/>
    <x v="48"/>
    <x v="44"/>
    <x v="5"/>
    <x v="10"/>
  </r>
  <r>
    <x v="9"/>
    <x v="21"/>
    <n v="3"/>
    <n v="1500"/>
    <x v="53"/>
    <x v="47"/>
    <x v="5"/>
    <x v="6"/>
  </r>
  <r>
    <x v="5"/>
    <x v="0"/>
    <n v="3"/>
    <n v="6000"/>
    <x v="54"/>
    <x v="13"/>
    <x v="5"/>
    <x v="5"/>
  </r>
  <r>
    <x v="11"/>
    <x v="18"/>
    <n v="1"/>
    <n v="1200"/>
    <x v="8"/>
    <x v="8"/>
    <x v="5"/>
    <x v="7"/>
  </r>
  <r>
    <x v="0"/>
    <x v="14"/>
    <n v="3"/>
    <n v="4200"/>
    <x v="31"/>
    <x v="29"/>
    <x v="5"/>
    <x v="10"/>
  </r>
  <r>
    <x v="10"/>
    <x v="5"/>
    <n v="3"/>
    <n v="7600"/>
    <x v="24"/>
    <x v="22"/>
    <x v="5"/>
    <x v="8"/>
  </r>
  <r>
    <x v="5"/>
    <x v="6"/>
    <n v="2"/>
    <n v="7250"/>
    <x v="6"/>
    <x v="6"/>
    <x v="5"/>
    <x v="4"/>
  </r>
  <r>
    <x v="1"/>
    <x v="19"/>
    <n v="2"/>
    <n v="7530"/>
    <x v="44"/>
    <x v="39"/>
    <x v="5"/>
    <x v="2"/>
  </r>
  <r>
    <x v="2"/>
    <x v="6"/>
    <n v="2"/>
    <n v="7250"/>
    <x v="6"/>
    <x v="6"/>
    <x v="5"/>
    <x v="4"/>
  </r>
  <r>
    <x v="1"/>
    <x v="0"/>
    <n v="1"/>
    <n v="6000"/>
    <x v="17"/>
    <x v="9"/>
    <x v="5"/>
    <x v="10"/>
  </r>
  <r>
    <x v="5"/>
    <x v="18"/>
    <n v="3"/>
    <n v="1200"/>
    <x v="9"/>
    <x v="1"/>
    <x v="5"/>
    <x v="10"/>
  </r>
  <r>
    <x v="11"/>
    <x v="20"/>
    <n v="2"/>
    <n v="5300"/>
    <x v="47"/>
    <x v="43"/>
    <x v="5"/>
    <x v="12"/>
  </r>
  <r>
    <x v="8"/>
    <x v="2"/>
    <n v="2"/>
    <n v="8450"/>
    <x v="2"/>
    <x v="2"/>
    <x v="5"/>
    <x v="3"/>
  </r>
  <r>
    <x v="4"/>
    <x v="3"/>
    <n v="1"/>
    <n v="1350"/>
    <x v="26"/>
    <x v="24"/>
    <x v="5"/>
    <x v="4"/>
  </r>
  <r>
    <x v="6"/>
    <x v="10"/>
    <n v="1"/>
    <n v="1090"/>
    <x v="37"/>
    <x v="35"/>
    <x v="5"/>
    <x v="0"/>
  </r>
  <r>
    <x v="4"/>
    <x v="4"/>
    <n v="1"/>
    <n v="2180"/>
    <x v="10"/>
    <x v="40"/>
    <x v="5"/>
    <x v="7"/>
  </r>
  <r>
    <x v="1"/>
    <x v="22"/>
    <n v="1"/>
    <n v="3700"/>
    <x v="50"/>
    <x v="37"/>
    <x v="5"/>
    <x v="12"/>
  </r>
  <r>
    <x v="6"/>
    <x v="7"/>
    <n v="3"/>
    <n v="1100"/>
    <x v="7"/>
    <x v="7"/>
    <x v="5"/>
    <x v="10"/>
  </r>
  <r>
    <x v="5"/>
    <x v="22"/>
    <n v="1"/>
    <n v="3700"/>
    <x v="50"/>
    <x v="37"/>
    <x v="5"/>
    <x v="1"/>
  </r>
  <r>
    <x v="10"/>
    <x v="13"/>
    <n v="1"/>
    <n v="1490"/>
    <x v="19"/>
    <x v="17"/>
    <x v="5"/>
    <x v="3"/>
  </r>
  <r>
    <x v="9"/>
    <x v="21"/>
    <n v="1"/>
    <n v="1500"/>
    <x v="40"/>
    <x v="37"/>
    <x v="5"/>
    <x v="3"/>
  </r>
  <r>
    <x v="8"/>
    <x v="10"/>
    <n v="2"/>
    <n v="1090"/>
    <x v="10"/>
    <x v="10"/>
    <x v="5"/>
    <x v="12"/>
  </r>
  <r>
    <x v="10"/>
    <x v="9"/>
    <n v="3"/>
    <n v="1800"/>
    <x v="12"/>
    <x v="12"/>
    <x v="5"/>
    <x v="8"/>
  </r>
  <r>
    <x v="7"/>
    <x v="19"/>
    <n v="2"/>
    <n v="7530"/>
    <x v="44"/>
    <x v="39"/>
    <x v="5"/>
    <x v="6"/>
  </r>
  <r>
    <x v="6"/>
    <x v="7"/>
    <n v="3"/>
    <n v="1100"/>
    <x v="7"/>
    <x v="7"/>
    <x v="5"/>
    <x v="6"/>
  </r>
  <r>
    <x v="9"/>
    <x v="3"/>
    <n v="3"/>
    <n v="1350"/>
    <x v="3"/>
    <x v="3"/>
    <x v="5"/>
    <x v="1"/>
  </r>
  <r>
    <x v="8"/>
    <x v="3"/>
    <n v="1"/>
    <n v="1350"/>
    <x v="26"/>
    <x v="24"/>
    <x v="5"/>
    <x v="7"/>
  </r>
  <r>
    <x v="7"/>
    <x v="10"/>
    <n v="2"/>
    <n v="1090"/>
    <x v="10"/>
    <x v="10"/>
    <x v="5"/>
    <x v="0"/>
  </r>
  <r>
    <x v="7"/>
    <x v="14"/>
    <n v="1"/>
    <n v="4200"/>
    <x v="39"/>
    <x v="1"/>
    <x v="5"/>
    <x v="6"/>
  </r>
  <r>
    <x v="9"/>
    <x v="9"/>
    <n v="2"/>
    <n v="1800"/>
    <x v="9"/>
    <x v="9"/>
    <x v="5"/>
    <x v="0"/>
  </r>
  <r>
    <x v="11"/>
    <x v="10"/>
    <n v="1"/>
    <n v="1090"/>
    <x v="37"/>
    <x v="35"/>
    <x v="5"/>
    <x v="12"/>
  </r>
  <r>
    <x v="0"/>
    <x v="5"/>
    <n v="1"/>
    <n v="7600"/>
    <x v="27"/>
    <x v="25"/>
    <x v="5"/>
    <x v="0"/>
  </r>
  <r>
    <x v="8"/>
    <x v="5"/>
    <n v="3"/>
    <n v="7600"/>
    <x v="24"/>
    <x v="22"/>
    <x v="5"/>
    <x v="3"/>
  </r>
  <r>
    <x v="2"/>
    <x v="22"/>
    <n v="1"/>
    <n v="3700"/>
    <x v="50"/>
    <x v="37"/>
    <x v="5"/>
    <x v="12"/>
  </r>
  <r>
    <x v="4"/>
    <x v="6"/>
    <n v="3"/>
    <n v="7250"/>
    <x v="25"/>
    <x v="23"/>
    <x v="5"/>
    <x v="5"/>
  </r>
  <r>
    <x v="1"/>
    <x v="5"/>
    <n v="3"/>
    <n v="7600"/>
    <x v="24"/>
    <x v="22"/>
    <x v="5"/>
    <x v="11"/>
  </r>
  <r>
    <x v="10"/>
    <x v="14"/>
    <n v="1"/>
    <n v="4200"/>
    <x v="39"/>
    <x v="1"/>
    <x v="5"/>
    <x v="11"/>
  </r>
  <r>
    <x v="6"/>
    <x v="17"/>
    <n v="3"/>
    <n v="1250"/>
    <x v="51"/>
    <x v="46"/>
    <x v="5"/>
    <x v="9"/>
  </r>
  <r>
    <x v="8"/>
    <x v="10"/>
    <n v="1"/>
    <n v="1090"/>
    <x v="37"/>
    <x v="35"/>
    <x v="5"/>
    <x v="8"/>
  </r>
  <r>
    <x v="3"/>
    <x v="4"/>
    <n v="1"/>
    <n v="2180"/>
    <x v="10"/>
    <x v="40"/>
    <x v="5"/>
    <x v="4"/>
  </r>
  <r>
    <x v="11"/>
    <x v="22"/>
    <n v="2"/>
    <n v="3700"/>
    <x v="49"/>
    <x v="45"/>
    <x v="5"/>
    <x v="12"/>
  </r>
  <r>
    <x v="9"/>
    <x v="0"/>
    <n v="2"/>
    <n v="6000"/>
    <x v="0"/>
    <x v="0"/>
    <x v="5"/>
    <x v="3"/>
  </r>
  <r>
    <x v="10"/>
    <x v="17"/>
    <n v="2"/>
    <n v="1250"/>
    <x v="52"/>
    <x v="7"/>
    <x v="5"/>
    <x v="5"/>
  </r>
  <r>
    <x v="11"/>
    <x v="5"/>
    <n v="1"/>
    <n v="7600"/>
    <x v="27"/>
    <x v="25"/>
    <x v="5"/>
    <x v="4"/>
  </r>
  <r>
    <x v="0"/>
    <x v="1"/>
    <n v="2"/>
    <n v="1400"/>
    <x v="1"/>
    <x v="1"/>
    <x v="5"/>
    <x v="3"/>
  </r>
  <r>
    <x v="4"/>
    <x v="4"/>
    <n v="2"/>
    <n v="2180"/>
    <x v="4"/>
    <x v="4"/>
    <x v="5"/>
    <x v="12"/>
  </r>
  <r>
    <x v="0"/>
    <x v="9"/>
    <n v="3"/>
    <n v="1800"/>
    <x v="12"/>
    <x v="12"/>
    <x v="5"/>
    <x v="9"/>
  </r>
  <r>
    <x v="2"/>
    <x v="21"/>
    <n v="1"/>
    <n v="1500"/>
    <x v="40"/>
    <x v="37"/>
    <x v="5"/>
    <x v="7"/>
  </r>
  <r>
    <x v="6"/>
    <x v="2"/>
    <n v="3"/>
    <n v="8450"/>
    <x v="48"/>
    <x v="44"/>
    <x v="5"/>
    <x v="0"/>
  </r>
  <r>
    <x v="9"/>
    <x v="21"/>
    <n v="3"/>
    <n v="1500"/>
    <x v="53"/>
    <x v="47"/>
    <x v="5"/>
    <x v="7"/>
  </r>
  <r>
    <x v="5"/>
    <x v="0"/>
    <n v="3"/>
    <n v="6000"/>
    <x v="54"/>
    <x v="13"/>
    <x v="5"/>
    <x v="9"/>
  </r>
  <r>
    <x v="11"/>
    <x v="18"/>
    <n v="1"/>
    <n v="1200"/>
    <x v="8"/>
    <x v="8"/>
    <x v="5"/>
    <x v="6"/>
  </r>
  <r>
    <x v="0"/>
    <x v="14"/>
    <n v="3"/>
    <n v="4200"/>
    <x v="31"/>
    <x v="29"/>
    <x v="5"/>
    <x v="8"/>
  </r>
  <r>
    <x v="10"/>
    <x v="5"/>
    <n v="3"/>
    <n v="7600"/>
    <x v="24"/>
    <x v="22"/>
    <x v="5"/>
    <x v="1"/>
  </r>
  <r>
    <x v="5"/>
    <x v="6"/>
    <n v="2"/>
    <n v="7250"/>
    <x v="6"/>
    <x v="6"/>
    <x v="5"/>
    <x v="8"/>
  </r>
  <r>
    <x v="1"/>
    <x v="19"/>
    <n v="2"/>
    <n v="7530"/>
    <x v="44"/>
    <x v="39"/>
    <x v="5"/>
    <x v="6"/>
  </r>
  <r>
    <x v="2"/>
    <x v="6"/>
    <n v="2"/>
    <n v="7250"/>
    <x v="6"/>
    <x v="6"/>
    <x v="5"/>
    <x v="5"/>
  </r>
  <r>
    <x v="1"/>
    <x v="0"/>
    <n v="1"/>
    <n v="6000"/>
    <x v="17"/>
    <x v="9"/>
    <x v="5"/>
    <x v="7"/>
  </r>
  <r>
    <x v="5"/>
    <x v="18"/>
    <n v="3"/>
    <n v="1200"/>
    <x v="9"/>
    <x v="1"/>
    <x v="5"/>
    <x v="4"/>
  </r>
  <r>
    <x v="11"/>
    <x v="20"/>
    <n v="2"/>
    <n v="5300"/>
    <x v="47"/>
    <x v="43"/>
    <x v="5"/>
    <x v="10"/>
  </r>
  <r>
    <x v="8"/>
    <x v="2"/>
    <n v="2"/>
    <n v="8450"/>
    <x v="2"/>
    <x v="2"/>
    <x v="5"/>
    <x v="0"/>
  </r>
  <r>
    <x v="4"/>
    <x v="3"/>
    <n v="1"/>
    <n v="1350"/>
    <x v="26"/>
    <x v="24"/>
    <x v="5"/>
    <x v="3"/>
  </r>
  <r>
    <x v="6"/>
    <x v="10"/>
    <n v="1"/>
    <n v="1090"/>
    <x v="37"/>
    <x v="35"/>
    <x v="5"/>
    <x v="9"/>
  </r>
  <r>
    <x v="4"/>
    <x v="4"/>
    <n v="1"/>
    <n v="2180"/>
    <x v="10"/>
    <x v="40"/>
    <x v="5"/>
    <x v="10"/>
  </r>
  <r>
    <x v="0"/>
    <x v="0"/>
    <n v="2"/>
    <n v="6000"/>
    <x v="0"/>
    <x v="0"/>
    <x v="5"/>
    <x v="11"/>
  </r>
  <r>
    <x v="1"/>
    <x v="1"/>
    <n v="2"/>
    <n v="1400"/>
    <x v="1"/>
    <x v="1"/>
    <x v="5"/>
    <x v="8"/>
  </r>
  <r>
    <x v="2"/>
    <x v="2"/>
    <n v="2"/>
    <n v="8450"/>
    <x v="2"/>
    <x v="2"/>
    <x v="5"/>
    <x v="10"/>
  </r>
  <r>
    <x v="3"/>
    <x v="3"/>
    <n v="3"/>
    <n v="1350"/>
    <x v="3"/>
    <x v="3"/>
    <x v="5"/>
    <x v="11"/>
  </r>
  <r>
    <x v="0"/>
    <x v="4"/>
    <n v="2"/>
    <n v="2180"/>
    <x v="4"/>
    <x v="4"/>
    <x v="5"/>
    <x v="10"/>
  </r>
  <r>
    <x v="4"/>
    <x v="5"/>
    <n v="2"/>
    <n v="7600"/>
    <x v="5"/>
    <x v="5"/>
    <x v="5"/>
    <x v="0"/>
  </r>
  <r>
    <x v="1"/>
    <x v="6"/>
    <n v="2"/>
    <n v="7250"/>
    <x v="6"/>
    <x v="6"/>
    <x v="5"/>
    <x v="4"/>
  </r>
  <r>
    <x v="3"/>
    <x v="7"/>
    <n v="3"/>
    <n v="1100"/>
    <x v="7"/>
    <x v="7"/>
    <x v="5"/>
    <x v="6"/>
  </r>
  <r>
    <x v="5"/>
    <x v="0"/>
    <n v="2"/>
    <n v="6000"/>
    <x v="0"/>
    <x v="0"/>
    <x v="5"/>
    <x v="11"/>
  </r>
  <r>
    <x v="0"/>
    <x v="8"/>
    <n v="1"/>
    <n v="1200"/>
    <x v="8"/>
    <x v="8"/>
    <x v="5"/>
    <x v="5"/>
  </r>
  <r>
    <x v="6"/>
    <x v="9"/>
    <n v="2"/>
    <n v="1800"/>
    <x v="9"/>
    <x v="9"/>
    <x v="5"/>
    <x v="6"/>
  </r>
  <r>
    <x v="6"/>
    <x v="10"/>
    <n v="2"/>
    <n v="1090"/>
    <x v="10"/>
    <x v="10"/>
    <x v="5"/>
    <x v="10"/>
  </r>
  <r>
    <x v="5"/>
    <x v="4"/>
    <n v="3"/>
    <n v="2180"/>
    <x v="11"/>
    <x v="11"/>
    <x v="5"/>
    <x v="3"/>
  </r>
  <r>
    <x v="7"/>
    <x v="9"/>
    <n v="3"/>
    <n v="1800"/>
    <x v="12"/>
    <x v="12"/>
    <x v="5"/>
    <x v="8"/>
  </r>
  <r>
    <x v="4"/>
    <x v="11"/>
    <n v="3"/>
    <n v="8000"/>
    <x v="13"/>
    <x v="13"/>
    <x v="5"/>
    <x v="7"/>
  </r>
  <r>
    <x v="5"/>
    <x v="1"/>
    <n v="1"/>
    <n v="1400"/>
    <x v="14"/>
    <x v="14"/>
    <x v="5"/>
    <x v="9"/>
  </r>
  <r>
    <x v="8"/>
    <x v="12"/>
    <n v="1"/>
    <n v="10590"/>
    <x v="15"/>
    <x v="15"/>
    <x v="5"/>
    <x v="6"/>
  </r>
  <r>
    <x v="9"/>
    <x v="3"/>
    <n v="2"/>
    <n v="1350"/>
    <x v="16"/>
    <x v="16"/>
    <x v="5"/>
    <x v="9"/>
  </r>
  <r>
    <x v="6"/>
    <x v="1"/>
    <n v="2"/>
    <n v="1400"/>
    <x v="1"/>
    <x v="1"/>
    <x v="5"/>
    <x v="11"/>
  </r>
  <r>
    <x v="3"/>
    <x v="0"/>
    <n v="1"/>
    <n v="6000"/>
    <x v="17"/>
    <x v="9"/>
    <x v="5"/>
    <x v="10"/>
  </r>
  <r>
    <x v="8"/>
    <x v="7"/>
    <n v="2"/>
    <n v="1100"/>
    <x v="18"/>
    <x v="14"/>
    <x v="5"/>
    <x v="1"/>
  </r>
  <r>
    <x v="2"/>
    <x v="0"/>
    <n v="2"/>
    <n v="6000"/>
    <x v="0"/>
    <x v="0"/>
    <x v="5"/>
    <x v="6"/>
  </r>
  <r>
    <x v="9"/>
    <x v="13"/>
    <n v="1"/>
    <n v="1490"/>
    <x v="19"/>
    <x v="17"/>
    <x v="5"/>
    <x v="2"/>
  </r>
  <r>
    <x v="8"/>
    <x v="12"/>
    <n v="2"/>
    <n v="10590"/>
    <x v="20"/>
    <x v="18"/>
    <x v="5"/>
    <x v="7"/>
  </r>
  <r>
    <x v="2"/>
    <x v="11"/>
    <n v="3"/>
    <n v="8000"/>
    <x v="13"/>
    <x v="13"/>
    <x v="5"/>
    <x v="2"/>
  </r>
  <r>
    <x v="6"/>
    <x v="7"/>
    <n v="1"/>
    <n v="1100"/>
    <x v="21"/>
    <x v="19"/>
    <x v="5"/>
    <x v="2"/>
  </r>
  <r>
    <x v="9"/>
    <x v="8"/>
    <n v="1"/>
    <n v="1200"/>
    <x v="8"/>
    <x v="8"/>
    <x v="5"/>
    <x v="9"/>
  </r>
  <r>
    <x v="4"/>
    <x v="14"/>
    <n v="2"/>
    <n v="4200"/>
    <x v="22"/>
    <x v="20"/>
    <x v="5"/>
    <x v="8"/>
  </r>
  <r>
    <x v="1"/>
    <x v="15"/>
    <n v="3"/>
    <n v="5775"/>
    <x v="23"/>
    <x v="21"/>
    <x v="5"/>
    <x v="12"/>
  </r>
  <r>
    <x v="10"/>
    <x v="5"/>
    <n v="3"/>
    <n v="7600"/>
    <x v="24"/>
    <x v="22"/>
    <x v="5"/>
    <x v="0"/>
  </r>
  <r>
    <x v="1"/>
    <x v="6"/>
    <n v="3"/>
    <n v="7250"/>
    <x v="25"/>
    <x v="23"/>
    <x v="5"/>
    <x v="3"/>
  </r>
  <r>
    <x v="0"/>
    <x v="6"/>
    <n v="3"/>
    <n v="7250"/>
    <x v="25"/>
    <x v="23"/>
    <x v="5"/>
    <x v="6"/>
  </r>
  <r>
    <x v="8"/>
    <x v="6"/>
    <n v="3"/>
    <n v="7250"/>
    <x v="25"/>
    <x v="23"/>
    <x v="5"/>
    <x v="8"/>
  </r>
  <r>
    <x v="5"/>
    <x v="3"/>
    <n v="1"/>
    <n v="1350"/>
    <x v="26"/>
    <x v="24"/>
    <x v="5"/>
    <x v="7"/>
  </r>
  <r>
    <x v="1"/>
    <x v="6"/>
    <n v="2"/>
    <n v="7250"/>
    <x v="6"/>
    <x v="6"/>
    <x v="5"/>
    <x v="12"/>
  </r>
  <r>
    <x v="6"/>
    <x v="5"/>
    <n v="1"/>
    <n v="7600"/>
    <x v="27"/>
    <x v="25"/>
    <x v="5"/>
    <x v="6"/>
  </r>
  <r>
    <x v="11"/>
    <x v="5"/>
    <n v="3"/>
    <n v="7600"/>
    <x v="24"/>
    <x v="22"/>
    <x v="5"/>
    <x v="10"/>
  </r>
  <r>
    <x v="1"/>
    <x v="13"/>
    <n v="3"/>
    <n v="1490"/>
    <x v="28"/>
    <x v="26"/>
    <x v="5"/>
    <x v="0"/>
  </r>
  <r>
    <x v="5"/>
    <x v="16"/>
    <n v="2"/>
    <n v="2900"/>
    <x v="29"/>
    <x v="27"/>
    <x v="5"/>
    <x v="4"/>
  </r>
  <r>
    <x v="9"/>
    <x v="13"/>
    <n v="1"/>
    <n v="1490"/>
    <x v="19"/>
    <x v="17"/>
    <x v="5"/>
    <x v="7"/>
  </r>
  <r>
    <x v="9"/>
    <x v="10"/>
    <n v="2"/>
    <n v="1090"/>
    <x v="10"/>
    <x v="10"/>
    <x v="5"/>
    <x v="4"/>
  </r>
  <r>
    <x v="5"/>
    <x v="8"/>
    <n v="2"/>
    <n v="1200"/>
    <x v="30"/>
    <x v="28"/>
    <x v="5"/>
    <x v="11"/>
  </r>
  <r>
    <x v="8"/>
    <x v="12"/>
    <n v="2"/>
    <n v="10590"/>
    <x v="20"/>
    <x v="18"/>
    <x v="5"/>
    <x v="9"/>
  </r>
  <r>
    <x v="6"/>
    <x v="14"/>
    <n v="3"/>
    <n v="4200"/>
    <x v="31"/>
    <x v="29"/>
    <x v="5"/>
    <x v="2"/>
  </r>
  <r>
    <x v="3"/>
    <x v="14"/>
    <n v="3"/>
    <n v="4200"/>
    <x v="31"/>
    <x v="29"/>
    <x v="5"/>
    <x v="10"/>
  </r>
  <r>
    <x v="7"/>
    <x v="12"/>
    <n v="2"/>
    <n v="10590"/>
    <x v="20"/>
    <x v="18"/>
    <x v="5"/>
    <x v="2"/>
  </r>
  <r>
    <x v="11"/>
    <x v="17"/>
    <n v="1"/>
    <n v="1250"/>
    <x v="32"/>
    <x v="30"/>
    <x v="5"/>
    <x v="10"/>
  </r>
  <r>
    <x v="0"/>
    <x v="13"/>
    <n v="3"/>
    <n v="1490"/>
    <x v="28"/>
    <x v="26"/>
    <x v="5"/>
    <x v="5"/>
  </r>
  <r>
    <x v="6"/>
    <x v="8"/>
    <n v="2"/>
    <n v="1200"/>
    <x v="30"/>
    <x v="28"/>
    <x v="5"/>
    <x v="5"/>
  </r>
  <r>
    <x v="2"/>
    <x v="4"/>
    <n v="3"/>
    <n v="2180"/>
    <x v="11"/>
    <x v="11"/>
    <x v="5"/>
    <x v="9"/>
  </r>
  <r>
    <x v="9"/>
    <x v="18"/>
    <n v="3"/>
    <n v="1200"/>
    <x v="9"/>
    <x v="1"/>
    <x v="5"/>
    <x v="1"/>
  </r>
  <r>
    <x v="0"/>
    <x v="9"/>
    <n v="1"/>
    <n v="1800"/>
    <x v="33"/>
    <x v="31"/>
    <x v="5"/>
    <x v="4"/>
  </r>
  <r>
    <x v="2"/>
    <x v="5"/>
    <n v="1"/>
    <n v="7600"/>
    <x v="27"/>
    <x v="25"/>
    <x v="6"/>
    <x v="7"/>
  </r>
  <r>
    <x v="7"/>
    <x v="19"/>
    <n v="1"/>
    <n v="7530"/>
    <x v="34"/>
    <x v="32"/>
    <x v="6"/>
    <x v="3"/>
  </r>
  <r>
    <x v="11"/>
    <x v="13"/>
    <n v="2"/>
    <n v="1490"/>
    <x v="35"/>
    <x v="33"/>
    <x v="6"/>
    <x v="1"/>
  </r>
  <r>
    <x v="0"/>
    <x v="20"/>
    <n v="1"/>
    <n v="5300"/>
    <x v="36"/>
    <x v="34"/>
    <x v="6"/>
    <x v="11"/>
  </r>
  <r>
    <x v="4"/>
    <x v="16"/>
    <n v="2"/>
    <n v="1200"/>
    <x v="30"/>
    <x v="28"/>
    <x v="6"/>
    <x v="7"/>
  </r>
  <r>
    <x v="9"/>
    <x v="10"/>
    <n v="1"/>
    <n v="1090"/>
    <x v="37"/>
    <x v="35"/>
    <x v="6"/>
    <x v="8"/>
  </r>
  <r>
    <x v="4"/>
    <x v="6"/>
    <n v="1"/>
    <n v="7250"/>
    <x v="38"/>
    <x v="36"/>
    <x v="6"/>
    <x v="3"/>
  </r>
  <r>
    <x v="10"/>
    <x v="1"/>
    <n v="3"/>
    <n v="1400"/>
    <x v="39"/>
    <x v="27"/>
    <x v="6"/>
    <x v="4"/>
  </r>
  <r>
    <x v="2"/>
    <x v="21"/>
    <n v="1"/>
    <n v="1500"/>
    <x v="40"/>
    <x v="37"/>
    <x v="6"/>
    <x v="10"/>
  </r>
  <r>
    <x v="7"/>
    <x v="3"/>
    <n v="1"/>
    <n v="1350"/>
    <x v="26"/>
    <x v="24"/>
    <x v="6"/>
    <x v="8"/>
  </r>
  <r>
    <x v="7"/>
    <x v="8"/>
    <n v="3"/>
    <n v="1200"/>
    <x v="9"/>
    <x v="1"/>
    <x v="6"/>
    <x v="7"/>
  </r>
  <r>
    <x v="1"/>
    <x v="19"/>
    <n v="3"/>
    <n v="7530"/>
    <x v="41"/>
    <x v="15"/>
    <x v="6"/>
    <x v="4"/>
  </r>
  <r>
    <x v="10"/>
    <x v="8"/>
    <n v="1"/>
    <n v="1200"/>
    <x v="8"/>
    <x v="8"/>
    <x v="6"/>
    <x v="12"/>
  </r>
  <r>
    <x v="8"/>
    <x v="9"/>
    <n v="3"/>
    <n v="1800"/>
    <x v="12"/>
    <x v="12"/>
    <x v="6"/>
    <x v="11"/>
  </r>
  <r>
    <x v="0"/>
    <x v="6"/>
    <n v="1"/>
    <n v="7250"/>
    <x v="38"/>
    <x v="36"/>
    <x v="6"/>
    <x v="7"/>
  </r>
  <r>
    <x v="9"/>
    <x v="13"/>
    <n v="3"/>
    <n v="1490"/>
    <x v="28"/>
    <x v="26"/>
    <x v="6"/>
    <x v="7"/>
  </r>
  <r>
    <x v="9"/>
    <x v="18"/>
    <n v="1"/>
    <n v="1200"/>
    <x v="8"/>
    <x v="8"/>
    <x v="6"/>
    <x v="12"/>
  </r>
  <r>
    <x v="1"/>
    <x v="11"/>
    <n v="1"/>
    <n v="8000"/>
    <x v="42"/>
    <x v="9"/>
    <x v="6"/>
    <x v="11"/>
  </r>
  <r>
    <x v="6"/>
    <x v="1"/>
    <n v="1"/>
    <n v="1400"/>
    <x v="14"/>
    <x v="14"/>
    <x v="6"/>
    <x v="3"/>
  </r>
  <r>
    <x v="5"/>
    <x v="3"/>
    <n v="1"/>
    <n v="1350"/>
    <x v="26"/>
    <x v="24"/>
    <x v="6"/>
    <x v="10"/>
  </r>
  <r>
    <x v="8"/>
    <x v="18"/>
    <n v="1"/>
    <n v="1200"/>
    <x v="8"/>
    <x v="8"/>
    <x v="6"/>
    <x v="4"/>
  </r>
  <r>
    <x v="6"/>
    <x v="20"/>
    <n v="1"/>
    <n v="5300"/>
    <x v="36"/>
    <x v="34"/>
    <x v="6"/>
    <x v="1"/>
  </r>
  <r>
    <x v="9"/>
    <x v="12"/>
    <n v="3"/>
    <n v="10590"/>
    <x v="43"/>
    <x v="38"/>
    <x v="6"/>
    <x v="5"/>
  </r>
  <r>
    <x v="4"/>
    <x v="17"/>
    <n v="1"/>
    <n v="1250"/>
    <x v="32"/>
    <x v="30"/>
    <x v="6"/>
    <x v="10"/>
  </r>
  <r>
    <x v="11"/>
    <x v="18"/>
    <n v="1"/>
    <n v="1200"/>
    <x v="8"/>
    <x v="8"/>
    <x v="6"/>
    <x v="10"/>
  </r>
  <r>
    <x v="4"/>
    <x v="1"/>
    <n v="3"/>
    <n v="1400"/>
    <x v="39"/>
    <x v="27"/>
    <x v="6"/>
    <x v="8"/>
  </r>
  <r>
    <x v="11"/>
    <x v="19"/>
    <n v="2"/>
    <n v="7530"/>
    <x v="44"/>
    <x v="39"/>
    <x v="6"/>
    <x v="11"/>
  </r>
  <r>
    <x v="6"/>
    <x v="5"/>
    <n v="1"/>
    <n v="7600"/>
    <x v="27"/>
    <x v="25"/>
    <x v="6"/>
    <x v="4"/>
  </r>
  <r>
    <x v="11"/>
    <x v="21"/>
    <n v="1"/>
    <n v="1500"/>
    <x v="40"/>
    <x v="37"/>
    <x v="6"/>
    <x v="6"/>
  </r>
  <r>
    <x v="9"/>
    <x v="4"/>
    <n v="2"/>
    <n v="2180"/>
    <x v="4"/>
    <x v="4"/>
    <x v="6"/>
    <x v="2"/>
  </r>
  <r>
    <x v="3"/>
    <x v="4"/>
    <n v="1"/>
    <n v="2180"/>
    <x v="10"/>
    <x v="40"/>
    <x v="6"/>
    <x v="4"/>
  </r>
  <r>
    <x v="9"/>
    <x v="15"/>
    <n v="1"/>
    <n v="5775"/>
    <x v="45"/>
    <x v="41"/>
    <x v="6"/>
    <x v="9"/>
  </r>
  <r>
    <x v="9"/>
    <x v="7"/>
    <n v="3"/>
    <n v="1100"/>
    <x v="7"/>
    <x v="7"/>
    <x v="6"/>
    <x v="11"/>
  </r>
  <r>
    <x v="10"/>
    <x v="15"/>
    <n v="1"/>
    <n v="5775"/>
    <x v="45"/>
    <x v="41"/>
    <x v="6"/>
    <x v="8"/>
  </r>
  <r>
    <x v="7"/>
    <x v="3"/>
    <n v="1"/>
    <n v="1350"/>
    <x v="26"/>
    <x v="24"/>
    <x v="6"/>
    <x v="7"/>
  </r>
  <r>
    <x v="0"/>
    <x v="5"/>
    <n v="3"/>
    <n v="7600"/>
    <x v="24"/>
    <x v="22"/>
    <x v="6"/>
    <x v="2"/>
  </r>
  <r>
    <x v="2"/>
    <x v="6"/>
    <n v="3"/>
    <n v="7250"/>
    <x v="25"/>
    <x v="23"/>
    <x v="6"/>
    <x v="7"/>
  </r>
  <r>
    <x v="11"/>
    <x v="13"/>
    <n v="2"/>
    <n v="1490"/>
    <x v="35"/>
    <x v="33"/>
    <x v="6"/>
    <x v="1"/>
  </r>
  <r>
    <x v="3"/>
    <x v="13"/>
    <n v="2"/>
    <n v="1490"/>
    <x v="35"/>
    <x v="33"/>
    <x v="6"/>
    <x v="5"/>
  </r>
  <r>
    <x v="8"/>
    <x v="10"/>
    <n v="2"/>
    <n v="1090"/>
    <x v="10"/>
    <x v="10"/>
    <x v="6"/>
    <x v="7"/>
  </r>
  <r>
    <x v="8"/>
    <x v="8"/>
    <n v="3"/>
    <n v="1200"/>
    <x v="9"/>
    <x v="1"/>
    <x v="6"/>
    <x v="4"/>
  </r>
  <r>
    <x v="11"/>
    <x v="10"/>
    <n v="2"/>
    <n v="1090"/>
    <x v="10"/>
    <x v="10"/>
    <x v="6"/>
    <x v="0"/>
  </r>
  <r>
    <x v="11"/>
    <x v="4"/>
    <n v="3"/>
    <n v="2180"/>
    <x v="11"/>
    <x v="11"/>
    <x v="6"/>
    <x v="2"/>
  </r>
  <r>
    <x v="2"/>
    <x v="20"/>
    <n v="3"/>
    <n v="5300"/>
    <x v="46"/>
    <x v="42"/>
    <x v="6"/>
    <x v="12"/>
  </r>
  <r>
    <x v="11"/>
    <x v="20"/>
    <n v="2"/>
    <n v="5300"/>
    <x v="47"/>
    <x v="43"/>
    <x v="6"/>
    <x v="2"/>
  </r>
  <r>
    <x v="5"/>
    <x v="6"/>
    <n v="2"/>
    <n v="7250"/>
    <x v="6"/>
    <x v="6"/>
    <x v="6"/>
    <x v="5"/>
  </r>
  <r>
    <x v="5"/>
    <x v="18"/>
    <n v="3"/>
    <n v="1200"/>
    <x v="9"/>
    <x v="1"/>
    <x v="6"/>
    <x v="9"/>
  </r>
  <r>
    <x v="3"/>
    <x v="0"/>
    <n v="1"/>
    <n v="6000"/>
    <x v="17"/>
    <x v="9"/>
    <x v="6"/>
    <x v="5"/>
  </r>
  <r>
    <x v="2"/>
    <x v="2"/>
    <n v="3"/>
    <n v="8450"/>
    <x v="48"/>
    <x v="44"/>
    <x v="6"/>
    <x v="0"/>
  </r>
  <r>
    <x v="6"/>
    <x v="14"/>
    <n v="1"/>
    <n v="4200"/>
    <x v="39"/>
    <x v="1"/>
    <x v="6"/>
    <x v="11"/>
  </r>
  <r>
    <x v="6"/>
    <x v="12"/>
    <n v="3"/>
    <n v="10590"/>
    <x v="43"/>
    <x v="38"/>
    <x v="6"/>
    <x v="1"/>
  </r>
  <r>
    <x v="5"/>
    <x v="18"/>
    <n v="1"/>
    <n v="1200"/>
    <x v="8"/>
    <x v="8"/>
    <x v="6"/>
    <x v="4"/>
  </r>
  <r>
    <x v="10"/>
    <x v="7"/>
    <n v="2"/>
    <n v="1100"/>
    <x v="18"/>
    <x v="14"/>
    <x v="6"/>
    <x v="2"/>
  </r>
  <r>
    <x v="9"/>
    <x v="22"/>
    <n v="2"/>
    <n v="3700"/>
    <x v="49"/>
    <x v="45"/>
    <x v="6"/>
    <x v="11"/>
  </r>
  <r>
    <x v="1"/>
    <x v="22"/>
    <n v="1"/>
    <n v="3700"/>
    <x v="50"/>
    <x v="37"/>
    <x v="6"/>
    <x v="2"/>
  </r>
  <r>
    <x v="6"/>
    <x v="7"/>
    <n v="3"/>
    <n v="1100"/>
    <x v="7"/>
    <x v="7"/>
    <x v="6"/>
    <x v="5"/>
  </r>
  <r>
    <x v="5"/>
    <x v="22"/>
    <n v="1"/>
    <n v="3700"/>
    <x v="50"/>
    <x v="37"/>
    <x v="6"/>
    <x v="2"/>
  </r>
  <r>
    <x v="10"/>
    <x v="13"/>
    <n v="1"/>
    <n v="1490"/>
    <x v="19"/>
    <x v="17"/>
    <x v="6"/>
    <x v="0"/>
  </r>
  <r>
    <x v="9"/>
    <x v="21"/>
    <n v="1"/>
    <n v="1500"/>
    <x v="40"/>
    <x v="37"/>
    <x v="6"/>
    <x v="4"/>
  </r>
  <r>
    <x v="8"/>
    <x v="10"/>
    <n v="2"/>
    <n v="1090"/>
    <x v="10"/>
    <x v="10"/>
    <x v="6"/>
    <x v="8"/>
  </r>
  <r>
    <x v="10"/>
    <x v="9"/>
    <n v="3"/>
    <n v="1800"/>
    <x v="12"/>
    <x v="12"/>
    <x v="6"/>
    <x v="1"/>
  </r>
  <r>
    <x v="7"/>
    <x v="19"/>
    <n v="2"/>
    <n v="7530"/>
    <x v="44"/>
    <x v="39"/>
    <x v="6"/>
    <x v="9"/>
  </r>
  <r>
    <x v="6"/>
    <x v="7"/>
    <n v="3"/>
    <n v="1100"/>
    <x v="7"/>
    <x v="7"/>
    <x v="6"/>
    <x v="8"/>
  </r>
  <r>
    <x v="9"/>
    <x v="3"/>
    <n v="3"/>
    <n v="1350"/>
    <x v="3"/>
    <x v="3"/>
    <x v="6"/>
    <x v="0"/>
  </r>
  <r>
    <x v="8"/>
    <x v="3"/>
    <n v="1"/>
    <n v="1350"/>
    <x v="26"/>
    <x v="24"/>
    <x v="6"/>
    <x v="7"/>
  </r>
  <r>
    <x v="7"/>
    <x v="10"/>
    <n v="2"/>
    <n v="1090"/>
    <x v="10"/>
    <x v="10"/>
    <x v="6"/>
    <x v="1"/>
  </r>
  <r>
    <x v="7"/>
    <x v="14"/>
    <n v="1"/>
    <n v="4200"/>
    <x v="39"/>
    <x v="1"/>
    <x v="6"/>
    <x v="4"/>
  </r>
  <r>
    <x v="9"/>
    <x v="9"/>
    <n v="2"/>
    <n v="1800"/>
    <x v="9"/>
    <x v="9"/>
    <x v="6"/>
    <x v="11"/>
  </r>
  <r>
    <x v="11"/>
    <x v="10"/>
    <n v="1"/>
    <n v="1090"/>
    <x v="37"/>
    <x v="35"/>
    <x v="6"/>
    <x v="10"/>
  </r>
  <r>
    <x v="0"/>
    <x v="5"/>
    <n v="1"/>
    <n v="7600"/>
    <x v="27"/>
    <x v="25"/>
    <x v="6"/>
    <x v="3"/>
  </r>
  <r>
    <x v="8"/>
    <x v="5"/>
    <n v="3"/>
    <n v="7600"/>
    <x v="24"/>
    <x v="22"/>
    <x v="6"/>
    <x v="0"/>
  </r>
  <r>
    <x v="2"/>
    <x v="22"/>
    <n v="1"/>
    <n v="3700"/>
    <x v="50"/>
    <x v="37"/>
    <x v="6"/>
    <x v="8"/>
  </r>
  <r>
    <x v="4"/>
    <x v="6"/>
    <n v="3"/>
    <n v="7250"/>
    <x v="25"/>
    <x v="23"/>
    <x v="6"/>
    <x v="10"/>
  </r>
  <r>
    <x v="1"/>
    <x v="5"/>
    <n v="3"/>
    <n v="7600"/>
    <x v="24"/>
    <x v="22"/>
    <x v="6"/>
    <x v="5"/>
  </r>
  <r>
    <x v="10"/>
    <x v="14"/>
    <n v="1"/>
    <n v="4200"/>
    <x v="39"/>
    <x v="1"/>
    <x v="6"/>
    <x v="10"/>
  </r>
  <r>
    <x v="6"/>
    <x v="17"/>
    <n v="3"/>
    <n v="1250"/>
    <x v="51"/>
    <x v="46"/>
    <x v="6"/>
    <x v="2"/>
  </r>
  <r>
    <x v="8"/>
    <x v="10"/>
    <n v="1"/>
    <n v="1090"/>
    <x v="37"/>
    <x v="35"/>
    <x v="6"/>
    <x v="4"/>
  </r>
  <r>
    <x v="3"/>
    <x v="4"/>
    <n v="1"/>
    <n v="2180"/>
    <x v="10"/>
    <x v="40"/>
    <x v="6"/>
    <x v="9"/>
  </r>
  <r>
    <x v="11"/>
    <x v="22"/>
    <n v="2"/>
    <n v="3700"/>
    <x v="49"/>
    <x v="45"/>
    <x v="6"/>
    <x v="9"/>
  </r>
  <r>
    <x v="9"/>
    <x v="0"/>
    <n v="2"/>
    <n v="6000"/>
    <x v="0"/>
    <x v="0"/>
    <x v="6"/>
    <x v="8"/>
  </r>
  <r>
    <x v="10"/>
    <x v="17"/>
    <n v="2"/>
    <n v="1250"/>
    <x v="52"/>
    <x v="7"/>
    <x v="6"/>
    <x v="2"/>
  </r>
  <r>
    <x v="11"/>
    <x v="5"/>
    <n v="1"/>
    <n v="7600"/>
    <x v="27"/>
    <x v="25"/>
    <x v="6"/>
    <x v="10"/>
  </r>
  <r>
    <x v="0"/>
    <x v="1"/>
    <n v="2"/>
    <n v="1400"/>
    <x v="1"/>
    <x v="1"/>
    <x v="6"/>
    <x v="9"/>
  </r>
  <r>
    <x v="4"/>
    <x v="4"/>
    <n v="2"/>
    <n v="2180"/>
    <x v="4"/>
    <x v="4"/>
    <x v="6"/>
    <x v="11"/>
  </r>
  <r>
    <x v="0"/>
    <x v="9"/>
    <n v="3"/>
    <n v="1800"/>
    <x v="12"/>
    <x v="12"/>
    <x v="6"/>
    <x v="2"/>
  </r>
  <r>
    <x v="2"/>
    <x v="21"/>
    <n v="1"/>
    <n v="1500"/>
    <x v="40"/>
    <x v="37"/>
    <x v="6"/>
    <x v="10"/>
  </r>
  <r>
    <x v="6"/>
    <x v="2"/>
    <n v="3"/>
    <n v="8450"/>
    <x v="48"/>
    <x v="44"/>
    <x v="6"/>
    <x v="5"/>
  </r>
  <r>
    <x v="9"/>
    <x v="21"/>
    <n v="3"/>
    <n v="1500"/>
    <x v="53"/>
    <x v="47"/>
    <x v="6"/>
    <x v="7"/>
  </r>
  <r>
    <x v="5"/>
    <x v="0"/>
    <n v="3"/>
    <n v="6000"/>
    <x v="54"/>
    <x v="13"/>
    <x v="6"/>
    <x v="3"/>
  </r>
  <r>
    <x v="11"/>
    <x v="18"/>
    <n v="1"/>
    <n v="1200"/>
    <x v="8"/>
    <x v="8"/>
    <x v="6"/>
    <x v="8"/>
  </r>
  <r>
    <x v="0"/>
    <x v="14"/>
    <n v="3"/>
    <n v="4200"/>
    <x v="31"/>
    <x v="29"/>
    <x v="6"/>
    <x v="12"/>
  </r>
  <r>
    <x v="10"/>
    <x v="5"/>
    <n v="3"/>
    <n v="7600"/>
    <x v="24"/>
    <x v="22"/>
    <x v="6"/>
    <x v="9"/>
  </r>
  <r>
    <x v="5"/>
    <x v="6"/>
    <n v="2"/>
    <n v="7250"/>
    <x v="6"/>
    <x v="6"/>
    <x v="6"/>
    <x v="10"/>
  </r>
  <r>
    <x v="1"/>
    <x v="19"/>
    <n v="2"/>
    <n v="7530"/>
    <x v="44"/>
    <x v="39"/>
    <x v="6"/>
    <x v="1"/>
  </r>
  <r>
    <x v="2"/>
    <x v="6"/>
    <n v="2"/>
    <n v="7250"/>
    <x v="6"/>
    <x v="6"/>
    <x v="6"/>
    <x v="3"/>
  </r>
  <r>
    <x v="1"/>
    <x v="0"/>
    <n v="1"/>
    <n v="6000"/>
    <x v="17"/>
    <x v="9"/>
    <x v="6"/>
    <x v="6"/>
  </r>
  <r>
    <x v="5"/>
    <x v="18"/>
    <n v="3"/>
    <n v="1200"/>
    <x v="9"/>
    <x v="1"/>
    <x v="7"/>
    <x v="5"/>
  </r>
  <r>
    <x v="11"/>
    <x v="20"/>
    <n v="2"/>
    <n v="5300"/>
    <x v="47"/>
    <x v="43"/>
    <x v="7"/>
    <x v="11"/>
  </r>
  <r>
    <x v="8"/>
    <x v="2"/>
    <n v="2"/>
    <n v="8450"/>
    <x v="2"/>
    <x v="2"/>
    <x v="7"/>
    <x v="5"/>
  </r>
  <r>
    <x v="4"/>
    <x v="3"/>
    <n v="1"/>
    <n v="1350"/>
    <x v="26"/>
    <x v="24"/>
    <x v="7"/>
    <x v="5"/>
  </r>
  <r>
    <x v="6"/>
    <x v="10"/>
    <n v="1"/>
    <n v="1090"/>
    <x v="37"/>
    <x v="35"/>
    <x v="7"/>
    <x v="0"/>
  </r>
  <r>
    <x v="4"/>
    <x v="4"/>
    <n v="1"/>
    <n v="2180"/>
    <x v="10"/>
    <x v="40"/>
    <x v="7"/>
    <x v="6"/>
  </r>
  <r>
    <x v="0"/>
    <x v="0"/>
    <n v="2"/>
    <n v="6000"/>
    <x v="0"/>
    <x v="0"/>
    <x v="7"/>
    <x v="10"/>
  </r>
  <r>
    <x v="1"/>
    <x v="1"/>
    <n v="2"/>
    <n v="1400"/>
    <x v="1"/>
    <x v="1"/>
    <x v="7"/>
    <x v="2"/>
  </r>
  <r>
    <x v="2"/>
    <x v="2"/>
    <n v="2"/>
    <n v="8450"/>
    <x v="2"/>
    <x v="2"/>
    <x v="7"/>
    <x v="6"/>
  </r>
  <r>
    <x v="3"/>
    <x v="3"/>
    <n v="3"/>
    <n v="1350"/>
    <x v="3"/>
    <x v="3"/>
    <x v="7"/>
    <x v="10"/>
  </r>
  <r>
    <x v="0"/>
    <x v="4"/>
    <n v="2"/>
    <n v="2180"/>
    <x v="4"/>
    <x v="4"/>
    <x v="7"/>
    <x v="0"/>
  </r>
  <r>
    <x v="4"/>
    <x v="5"/>
    <n v="2"/>
    <n v="7600"/>
    <x v="5"/>
    <x v="5"/>
    <x v="7"/>
    <x v="6"/>
  </r>
  <r>
    <x v="1"/>
    <x v="6"/>
    <n v="2"/>
    <n v="7250"/>
    <x v="6"/>
    <x v="6"/>
    <x v="7"/>
    <x v="6"/>
  </r>
  <r>
    <x v="3"/>
    <x v="7"/>
    <n v="3"/>
    <n v="1100"/>
    <x v="7"/>
    <x v="7"/>
    <x v="7"/>
    <x v="4"/>
  </r>
  <r>
    <x v="5"/>
    <x v="0"/>
    <n v="2"/>
    <n v="6000"/>
    <x v="0"/>
    <x v="0"/>
    <x v="7"/>
    <x v="2"/>
  </r>
  <r>
    <x v="0"/>
    <x v="8"/>
    <n v="1"/>
    <n v="1200"/>
    <x v="8"/>
    <x v="8"/>
    <x v="7"/>
    <x v="0"/>
  </r>
  <r>
    <x v="6"/>
    <x v="9"/>
    <n v="2"/>
    <n v="1800"/>
    <x v="9"/>
    <x v="9"/>
    <x v="7"/>
    <x v="10"/>
  </r>
  <r>
    <x v="6"/>
    <x v="10"/>
    <n v="2"/>
    <n v="1090"/>
    <x v="10"/>
    <x v="10"/>
    <x v="7"/>
    <x v="5"/>
  </r>
  <r>
    <x v="5"/>
    <x v="4"/>
    <n v="3"/>
    <n v="2180"/>
    <x v="11"/>
    <x v="11"/>
    <x v="7"/>
    <x v="10"/>
  </r>
  <r>
    <x v="7"/>
    <x v="9"/>
    <n v="3"/>
    <n v="1800"/>
    <x v="12"/>
    <x v="12"/>
    <x v="7"/>
    <x v="0"/>
  </r>
  <r>
    <x v="4"/>
    <x v="11"/>
    <n v="3"/>
    <n v="8000"/>
    <x v="13"/>
    <x v="13"/>
    <x v="7"/>
    <x v="10"/>
  </r>
  <r>
    <x v="5"/>
    <x v="1"/>
    <n v="1"/>
    <n v="1400"/>
    <x v="14"/>
    <x v="14"/>
    <x v="7"/>
    <x v="4"/>
  </r>
  <r>
    <x v="8"/>
    <x v="12"/>
    <n v="1"/>
    <n v="10590"/>
    <x v="15"/>
    <x v="15"/>
    <x v="7"/>
    <x v="2"/>
  </r>
  <r>
    <x v="9"/>
    <x v="3"/>
    <n v="2"/>
    <n v="1350"/>
    <x v="16"/>
    <x v="16"/>
    <x v="7"/>
    <x v="3"/>
  </r>
  <r>
    <x v="6"/>
    <x v="1"/>
    <n v="2"/>
    <n v="1400"/>
    <x v="1"/>
    <x v="1"/>
    <x v="7"/>
    <x v="1"/>
  </r>
  <r>
    <x v="3"/>
    <x v="0"/>
    <n v="1"/>
    <n v="6000"/>
    <x v="17"/>
    <x v="9"/>
    <x v="7"/>
    <x v="0"/>
  </r>
  <r>
    <x v="8"/>
    <x v="7"/>
    <n v="2"/>
    <n v="1100"/>
    <x v="18"/>
    <x v="14"/>
    <x v="7"/>
    <x v="8"/>
  </r>
  <r>
    <x v="2"/>
    <x v="0"/>
    <n v="2"/>
    <n v="6000"/>
    <x v="0"/>
    <x v="0"/>
    <x v="7"/>
    <x v="8"/>
  </r>
  <r>
    <x v="9"/>
    <x v="13"/>
    <n v="1"/>
    <n v="1490"/>
    <x v="19"/>
    <x v="17"/>
    <x v="7"/>
    <x v="7"/>
  </r>
  <r>
    <x v="8"/>
    <x v="12"/>
    <n v="2"/>
    <n v="10590"/>
    <x v="20"/>
    <x v="18"/>
    <x v="7"/>
    <x v="10"/>
  </r>
  <r>
    <x v="2"/>
    <x v="11"/>
    <n v="3"/>
    <n v="8000"/>
    <x v="13"/>
    <x v="13"/>
    <x v="7"/>
    <x v="6"/>
  </r>
  <r>
    <x v="6"/>
    <x v="7"/>
    <n v="1"/>
    <n v="1100"/>
    <x v="21"/>
    <x v="19"/>
    <x v="7"/>
    <x v="1"/>
  </r>
  <r>
    <x v="9"/>
    <x v="8"/>
    <n v="1"/>
    <n v="1200"/>
    <x v="8"/>
    <x v="8"/>
    <x v="7"/>
    <x v="4"/>
  </r>
  <r>
    <x v="4"/>
    <x v="14"/>
    <n v="2"/>
    <n v="4200"/>
    <x v="22"/>
    <x v="20"/>
    <x v="7"/>
    <x v="10"/>
  </r>
  <r>
    <x v="1"/>
    <x v="15"/>
    <n v="3"/>
    <n v="5775"/>
    <x v="23"/>
    <x v="21"/>
    <x v="7"/>
    <x v="8"/>
  </r>
  <r>
    <x v="10"/>
    <x v="5"/>
    <n v="3"/>
    <n v="7600"/>
    <x v="24"/>
    <x v="22"/>
    <x v="7"/>
    <x v="12"/>
  </r>
  <r>
    <x v="1"/>
    <x v="6"/>
    <n v="3"/>
    <n v="7250"/>
    <x v="25"/>
    <x v="23"/>
    <x v="7"/>
    <x v="10"/>
  </r>
  <r>
    <x v="0"/>
    <x v="6"/>
    <n v="3"/>
    <n v="7250"/>
    <x v="25"/>
    <x v="23"/>
    <x v="7"/>
    <x v="2"/>
  </r>
  <r>
    <x v="8"/>
    <x v="6"/>
    <n v="3"/>
    <n v="7250"/>
    <x v="25"/>
    <x v="23"/>
    <x v="7"/>
    <x v="0"/>
  </r>
  <r>
    <x v="5"/>
    <x v="3"/>
    <n v="1"/>
    <n v="1350"/>
    <x v="26"/>
    <x v="24"/>
    <x v="7"/>
    <x v="12"/>
  </r>
  <r>
    <x v="1"/>
    <x v="6"/>
    <n v="2"/>
    <n v="7250"/>
    <x v="6"/>
    <x v="6"/>
    <x v="7"/>
    <x v="7"/>
  </r>
  <r>
    <x v="6"/>
    <x v="5"/>
    <n v="1"/>
    <n v="7600"/>
    <x v="27"/>
    <x v="25"/>
    <x v="7"/>
    <x v="3"/>
  </r>
  <r>
    <x v="11"/>
    <x v="5"/>
    <n v="3"/>
    <n v="7600"/>
    <x v="24"/>
    <x v="22"/>
    <x v="7"/>
    <x v="10"/>
  </r>
  <r>
    <x v="1"/>
    <x v="13"/>
    <n v="3"/>
    <n v="1490"/>
    <x v="28"/>
    <x v="26"/>
    <x v="7"/>
    <x v="10"/>
  </r>
  <r>
    <x v="5"/>
    <x v="16"/>
    <n v="2"/>
    <n v="2900"/>
    <x v="29"/>
    <x v="27"/>
    <x v="7"/>
    <x v="2"/>
  </r>
  <r>
    <x v="9"/>
    <x v="13"/>
    <n v="1"/>
    <n v="1490"/>
    <x v="19"/>
    <x v="17"/>
    <x v="7"/>
    <x v="11"/>
  </r>
  <r>
    <x v="9"/>
    <x v="10"/>
    <n v="2"/>
    <n v="1090"/>
    <x v="10"/>
    <x v="10"/>
    <x v="7"/>
    <x v="2"/>
  </r>
  <r>
    <x v="5"/>
    <x v="8"/>
    <n v="2"/>
    <n v="1200"/>
    <x v="30"/>
    <x v="28"/>
    <x v="7"/>
    <x v="4"/>
  </r>
  <r>
    <x v="8"/>
    <x v="12"/>
    <n v="2"/>
    <n v="10590"/>
    <x v="20"/>
    <x v="18"/>
    <x v="7"/>
    <x v="8"/>
  </r>
  <r>
    <x v="6"/>
    <x v="14"/>
    <n v="3"/>
    <n v="4200"/>
    <x v="31"/>
    <x v="29"/>
    <x v="7"/>
    <x v="3"/>
  </r>
  <r>
    <x v="3"/>
    <x v="14"/>
    <n v="3"/>
    <n v="4200"/>
    <x v="31"/>
    <x v="29"/>
    <x v="7"/>
    <x v="0"/>
  </r>
  <r>
    <x v="7"/>
    <x v="12"/>
    <n v="2"/>
    <n v="10590"/>
    <x v="20"/>
    <x v="18"/>
    <x v="7"/>
    <x v="3"/>
  </r>
  <r>
    <x v="11"/>
    <x v="17"/>
    <n v="1"/>
    <n v="1250"/>
    <x v="32"/>
    <x v="30"/>
    <x v="7"/>
    <x v="8"/>
  </r>
  <r>
    <x v="0"/>
    <x v="13"/>
    <n v="3"/>
    <n v="1490"/>
    <x v="28"/>
    <x v="26"/>
    <x v="7"/>
    <x v="0"/>
  </r>
  <r>
    <x v="6"/>
    <x v="8"/>
    <n v="2"/>
    <n v="1200"/>
    <x v="30"/>
    <x v="28"/>
    <x v="7"/>
    <x v="9"/>
  </r>
  <r>
    <x v="2"/>
    <x v="4"/>
    <n v="3"/>
    <n v="2180"/>
    <x v="11"/>
    <x v="11"/>
    <x v="7"/>
    <x v="7"/>
  </r>
  <r>
    <x v="9"/>
    <x v="18"/>
    <n v="3"/>
    <n v="1200"/>
    <x v="9"/>
    <x v="1"/>
    <x v="7"/>
    <x v="8"/>
  </r>
  <r>
    <x v="0"/>
    <x v="9"/>
    <n v="1"/>
    <n v="1800"/>
    <x v="33"/>
    <x v="31"/>
    <x v="7"/>
    <x v="5"/>
  </r>
  <r>
    <x v="2"/>
    <x v="5"/>
    <n v="1"/>
    <n v="7600"/>
    <x v="27"/>
    <x v="25"/>
    <x v="7"/>
    <x v="3"/>
  </r>
  <r>
    <x v="7"/>
    <x v="19"/>
    <n v="1"/>
    <n v="7530"/>
    <x v="34"/>
    <x v="32"/>
    <x v="7"/>
    <x v="3"/>
  </r>
  <r>
    <x v="11"/>
    <x v="13"/>
    <n v="2"/>
    <n v="1490"/>
    <x v="35"/>
    <x v="33"/>
    <x v="7"/>
    <x v="0"/>
  </r>
  <r>
    <x v="0"/>
    <x v="20"/>
    <n v="1"/>
    <n v="5300"/>
    <x v="36"/>
    <x v="34"/>
    <x v="7"/>
    <x v="3"/>
  </r>
  <r>
    <x v="4"/>
    <x v="8"/>
    <n v="2"/>
    <n v="1200"/>
    <x v="30"/>
    <x v="28"/>
    <x v="7"/>
    <x v="5"/>
  </r>
  <r>
    <x v="9"/>
    <x v="10"/>
    <n v="1"/>
    <n v="1090"/>
    <x v="37"/>
    <x v="35"/>
    <x v="7"/>
    <x v="5"/>
  </r>
  <r>
    <x v="4"/>
    <x v="6"/>
    <n v="1"/>
    <n v="7250"/>
    <x v="38"/>
    <x v="36"/>
    <x v="7"/>
    <x v="0"/>
  </r>
  <r>
    <x v="10"/>
    <x v="1"/>
    <n v="3"/>
    <n v="1400"/>
    <x v="39"/>
    <x v="27"/>
    <x v="7"/>
    <x v="5"/>
  </r>
  <r>
    <x v="2"/>
    <x v="21"/>
    <n v="1"/>
    <n v="1500"/>
    <x v="40"/>
    <x v="37"/>
    <x v="7"/>
    <x v="11"/>
  </r>
  <r>
    <x v="7"/>
    <x v="3"/>
    <n v="1"/>
    <n v="1350"/>
    <x v="26"/>
    <x v="24"/>
    <x v="7"/>
    <x v="7"/>
  </r>
  <r>
    <x v="7"/>
    <x v="8"/>
    <n v="3"/>
    <n v="1200"/>
    <x v="9"/>
    <x v="1"/>
    <x v="7"/>
    <x v="12"/>
  </r>
  <r>
    <x v="1"/>
    <x v="19"/>
    <n v="3"/>
    <n v="7530"/>
    <x v="41"/>
    <x v="15"/>
    <x v="7"/>
    <x v="10"/>
  </r>
  <r>
    <x v="10"/>
    <x v="8"/>
    <n v="1"/>
    <n v="1200"/>
    <x v="8"/>
    <x v="8"/>
    <x v="7"/>
    <x v="2"/>
  </r>
  <r>
    <x v="8"/>
    <x v="9"/>
    <n v="3"/>
    <n v="1800"/>
    <x v="12"/>
    <x v="12"/>
    <x v="7"/>
    <x v="1"/>
  </r>
  <r>
    <x v="0"/>
    <x v="6"/>
    <n v="1"/>
    <n v="7250"/>
    <x v="38"/>
    <x v="36"/>
    <x v="7"/>
    <x v="7"/>
  </r>
  <r>
    <x v="9"/>
    <x v="13"/>
    <n v="3"/>
    <n v="1490"/>
    <x v="28"/>
    <x v="26"/>
    <x v="7"/>
    <x v="5"/>
  </r>
  <r>
    <x v="9"/>
    <x v="18"/>
    <n v="1"/>
    <n v="1200"/>
    <x v="8"/>
    <x v="8"/>
    <x v="7"/>
    <x v="12"/>
  </r>
  <r>
    <x v="1"/>
    <x v="11"/>
    <n v="1"/>
    <n v="8000"/>
    <x v="42"/>
    <x v="9"/>
    <x v="7"/>
    <x v="4"/>
  </r>
  <r>
    <x v="6"/>
    <x v="1"/>
    <n v="1"/>
    <n v="1400"/>
    <x v="14"/>
    <x v="14"/>
    <x v="7"/>
    <x v="0"/>
  </r>
  <r>
    <x v="5"/>
    <x v="3"/>
    <n v="1"/>
    <n v="1350"/>
    <x v="26"/>
    <x v="24"/>
    <x v="7"/>
    <x v="4"/>
  </r>
  <r>
    <x v="8"/>
    <x v="18"/>
    <n v="1"/>
    <n v="1200"/>
    <x v="8"/>
    <x v="8"/>
    <x v="7"/>
    <x v="10"/>
  </r>
  <r>
    <x v="6"/>
    <x v="20"/>
    <n v="1"/>
    <n v="5300"/>
    <x v="36"/>
    <x v="34"/>
    <x v="7"/>
    <x v="10"/>
  </r>
  <r>
    <x v="9"/>
    <x v="12"/>
    <n v="3"/>
    <n v="10590"/>
    <x v="43"/>
    <x v="38"/>
    <x v="7"/>
    <x v="0"/>
  </r>
  <r>
    <x v="4"/>
    <x v="17"/>
    <n v="1"/>
    <n v="1250"/>
    <x v="32"/>
    <x v="30"/>
    <x v="7"/>
    <x v="5"/>
  </r>
  <r>
    <x v="11"/>
    <x v="18"/>
    <n v="1"/>
    <n v="1200"/>
    <x v="8"/>
    <x v="8"/>
    <x v="7"/>
    <x v="2"/>
  </r>
  <r>
    <x v="4"/>
    <x v="1"/>
    <n v="3"/>
    <n v="1400"/>
    <x v="39"/>
    <x v="27"/>
    <x v="7"/>
    <x v="1"/>
  </r>
  <r>
    <x v="11"/>
    <x v="19"/>
    <n v="2"/>
    <n v="7530"/>
    <x v="44"/>
    <x v="39"/>
    <x v="7"/>
    <x v="4"/>
  </r>
  <r>
    <x v="6"/>
    <x v="5"/>
    <n v="1"/>
    <n v="7600"/>
    <x v="27"/>
    <x v="25"/>
    <x v="7"/>
    <x v="6"/>
  </r>
  <r>
    <x v="11"/>
    <x v="21"/>
    <n v="1"/>
    <n v="1500"/>
    <x v="40"/>
    <x v="37"/>
    <x v="7"/>
    <x v="9"/>
  </r>
  <r>
    <x v="9"/>
    <x v="4"/>
    <n v="2"/>
    <n v="2180"/>
    <x v="4"/>
    <x v="4"/>
    <x v="7"/>
    <x v="8"/>
  </r>
  <r>
    <x v="3"/>
    <x v="4"/>
    <n v="1"/>
    <n v="2180"/>
    <x v="10"/>
    <x v="40"/>
    <x v="7"/>
    <x v="1"/>
  </r>
  <r>
    <x v="9"/>
    <x v="15"/>
    <n v="1"/>
    <n v="5775"/>
    <x v="45"/>
    <x v="41"/>
    <x v="7"/>
    <x v="3"/>
  </r>
  <r>
    <x v="9"/>
    <x v="7"/>
    <n v="3"/>
    <n v="1100"/>
    <x v="7"/>
    <x v="7"/>
    <x v="7"/>
    <x v="6"/>
  </r>
  <r>
    <x v="10"/>
    <x v="15"/>
    <n v="1"/>
    <n v="5775"/>
    <x v="45"/>
    <x v="41"/>
    <x v="7"/>
    <x v="0"/>
  </r>
  <r>
    <x v="7"/>
    <x v="3"/>
    <n v="1"/>
    <n v="1350"/>
    <x v="26"/>
    <x v="24"/>
    <x v="7"/>
    <x v="4"/>
  </r>
  <r>
    <x v="0"/>
    <x v="5"/>
    <n v="3"/>
    <n v="7600"/>
    <x v="24"/>
    <x v="22"/>
    <x v="7"/>
    <x v="6"/>
  </r>
  <r>
    <x v="2"/>
    <x v="6"/>
    <n v="3"/>
    <n v="7250"/>
    <x v="25"/>
    <x v="23"/>
    <x v="7"/>
    <x v="5"/>
  </r>
  <r>
    <x v="11"/>
    <x v="13"/>
    <n v="2"/>
    <n v="1490"/>
    <x v="35"/>
    <x v="33"/>
    <x v="7"/>
    <x v="2"/>
  </r>
  <r>
    <x v="3"/>
    <x v="13"/>
    <n v="2"/>
    <n v="1490"/>
    <x v="35"/>
    <x v="33"/>
    <x v="7"/>
    <x v="0"/>
  </r>
  <r>
    <x v="8"/>
    <x v="10"/>
    <n v="2"/>
    <n v="1090"/>
    <x v="10"/>
    <x v="10"/>
    <x v="7"/>
    <x v="2"/>
  </r>
  <r>
    <x v="8"/>
    <x v="8"/>
    <n v="3"/>
    <n v="1200"/>
    <x v="9"/>
    <x v="1"/>
    <x v="7"/>
    <x v="5"/>
  </r>
  <r>
    <x v="11"/>
    <x v="10"/>
    <n v="2"/>
    <n v="1090"/>
    <x v="10"/>
    <x v="10"/>
    <x v="7"/>
    <x v="1"/>
  </r>
  <r>
    <x v="11"/>
    <x v="4"/>
    <n v="3"/>
    <n v="2180"/>
    <x v="11"/>
    <x v="11"/>
    <x v="7"/>
    <x v="3"/>
  </r>
  <r>
    <x v="2"/>
    <x v="20"/>
    <n v="3"/>
    <n v="5300"/>
    <x v="46"/>
    <x v="42"/>
    <x v="7"/>
    <x v="10"/>
  </r>
  <r>
    <x v="11"/>
    <x v="20"/>
    <n v="2"/>
    <n v="5300"/>
    <x v="47"/>
    <x v="43"/>
    <x v="7"/>
    <x v="0"/>
  </r>
  <r>
    <x v="5"/>
    <x v="6"/>
    <n v="2"/>
    <n v="7250"/>
    <x v="6"/>
    <x v="6"/>
    <x v="7"/>
    <x v="3"/>
  </r>
  <r>
    <x v="5"/>
    <x v="18"/>
    <n v="3"/>
    <n v="1200"/>
    <x v="9"/>
    <x v="1"/>
    <x v="7"/>
    <x v="1"/>
  </r>
  <r>
    <x v="3"/>
    <x v="0"/>
    <n v="1"/>
    <n v="6000"/>
    <x v="17"/>
    <x v="9"/>
    <x v="7"/>
    <x v="11"/>
  </r>
  <r>
    <x v="2"/>
    <x v="2"/>
    <n v="3"/>
    <n v="8450"/>
    <x v="48"/>
    <x v="44"/>
    <x v="7"/>
    <x v="0"/>
  </r>
  <r>
    <x v="6"/>
    <x v="14"/>
    <n v="1"/>
    <n v="4200"/>
    <x v="39"/>
    <x v="1"/>
    <x v="7"/>
    <x v="4"/>
  </r>
  <r>
    <x v="6"/>
    <x v="12"/>
    <n v="3"/>
    <n v="10590"/>
    <x v="43"/>
    <x v="38"/>
    <x v="7"/>
    <x v="11"/>
  </r>
  <r>
    <x v="5"/>
    <x v="18"/>
    <n v="1"/>
    <n v="1200"/>
    <x v="8"/>
    <x v="8"/>
    <x v="7"/>
    <x v="1"/>
  </r>
  <r>
    <x v="10"/>
    <x v="7"/>
    <n v="2"/>
    <n v="1100"/>
    <x v="18"/>
    <x v="14"/>
    <x v="7"/>
    <x v="4"/>
  </r>
  <r>
    <x v="9"/>
    <x v="22"/>
    <n v="2"/>
    <n v="3700"/>
    <x v="49"/>
    <x v="45"/>
    <x v="7"/>
    <x v="11"/>
  </r>
  <r>
    <x v="1"/>
    <x v="22"/>
    <n v="1"/>
    <n v="3700"/>
    <x v="50"/>
    <x v="37"/>
    <x v="7"/>
    <x v="1"/>
  </r>
  <r>
    <x v="6"/>
    <x v="7"/>
    <n v="3"/>
    <n v="1100"/>
    <x v="7"/>
    <x v="7"/>
    <x v="7"/>
    <x v="11"/>
  </r>
  <r>
    <x v="5"/>
    <x v="22"/>
    <n v="1"/>
    <n v="3700"/>
    <x v="50"/>
    <x v="37"/>
    <x v="7"/>
    <x v="5"/>
  </r>
  <r>
    <x v="10"/>
    <x v="13"/>
    <n v="1"/>
    <n v="1490"/>
    <x v="19"/>
    <x v="17"/>
    <x v="7"/>
    <x v="11"/>
  </r>
  <r>
    <x v="9"/>
    <x v="21"/>
    <n v="1"/>
    <n v="1500"/>
    <x v="40"/>
    <x v="37"/>
    <x v="7"/>
    <x v="11"/>
  </r>
  <r>
    <x v="8"/>
    <x v="10"/>
    <n v="2"/>
    <n v="1090"/>
    <x v="10"/>
    <x v="10"/>
    <x v="7"/>
    <x v="5"/>
  </r>
  <r>
    <x v="10"/>
    <x v="9"/>
    <n v="3"/>
    <n v="1800"/>
    <x v="12"/>
    <x v="12"/>
    <x v="7"/>
    <x v="10"/>
  </r>
  <r>
    <x v="7"/>
    <x v="19"/>
    <n v="2"/>
    <n v="7530"/>
    <x v="44"/>
    <x v="39"/>
    <x v="7"/>
    <x v="11"/>
  </r>
  <r>
    <x v="6"/>
    <x v="7"/>
    <n v="3"/>
    <n v="1100"/>
    <x v="7"/>
    <x v="7"/>
    <x v="7"/>
    <x v="11"/>
  </r>
  <r>
    <x v="9"/>
    <x v="3"/>
    <n v="3"/>
    <n v="1350"/>
    <x v="3"/>
    <x v="3"/>
    <x v="7"/>
    <x v="7"/>
  </r>
  <r>
    <x v="8"/>
    <x v="3"/>
    <n v="1"/>
    <n v="1350"/>
    <x v="26"/>
    <x v="24"/>
    <x v="7"/>
    <x v="5"/>
  </r>
  <r>
    <x v="7"/>
    <x v="10"/>
    <n v="2"/>
    <n v="1090"/>
    <x v="10"/>
    <x v="10"/>
    <x v="7"/>
    <x v="1"/>
  </r>
  <r>
    <x v="7"/>
    <x v="14"/>
    <n v="1"/>
    <n v="4200"/>
    <x v="39"/>
    <x v="1"/>
    <x v="7"/>
    <x v="2"/>
  </r>
  <r>
    <x v="9"/>
    <x v="9"/>
    <n v="2"/>
    <n v="1800"/>
    <x v="9"/>
    <x v="9"/>
    <x v="7"/>
    <x v="4"/>
  </r>
  <r>
    <x v="11"/>
    <x v="10"/>
    <n v="1"/>
    <n v="1090"/>
    <x v="37"/>
    <x v="35"/>
    <x v="7"/>
    <x v="8"/>
  </r>
  <r>
    <x v="0"/>
    <x v="5"/>
    <n v="1"/>
    <n v="7600"/>
    <x v="27"/>
    <x v="25"/>
    <x v="7"/>
    <x v="2"/>
  </r>
  <r>
    <x v="8"/>
    <x v="5"/>
    <n v="3"/>
    <n v="7600"/>
    <x v="24"/>
    <x v="22"/>
    <x v="7"/>
    <x v="6"/>
  </r>
  <r>
    <x v="2"/>
    <x v="22"/>
    <n v="1"/>
    <n v="3700"/>
    <x v="50"/>
    <x v="37"/>
    <x v="7"/>
    <x v="12"/>
  </r>
  <r>
    <x v="4"/>
    <x v="6"/>
    <n v="3"/>
    <n v="7250"/>
    <x v="25"/>
    <x v="23"/>
    <x v="7"/>
    <x v="7"/>
  </r>
  <r>
    <x v="1"/>
    <x v="5"/>
    <n v="3"/>
    <n v="7600"/>
    <x v="24"/>
    <x v="22"/>
    <x v="7"/>
    <x v="0"/>
  </r>
  <r>
    <x v="10"/>
    <x v="14"/>
    <n v="1"/>
    <n v="4200"/>
    <x v="39"/>
    <x v="1"/>
    <x v="7"/>
    <x v="1"/>
  </r>
  <r>
    <x v="6"/>
    <x v="17"/>
    <n v="3"/>
    <n v="1250"/>
    <x v="51"/>
    <x v="46"/>
    <x v="7"/>
    <x v="11"/>
  </r>
  <r>
    <x v="8"/>
    <x v="10"/>
    <n v="1"/>
    <n v="1090"/>
    <x v="37"/>
    <x v="35"/>
    <x v="7"/>
    <x v="6"/>
  </r>
  <r>
    <x v="3"/>
    <x v="4"/>
    <n v="1"/>
    <n v="2180"/>
    <x v="10"/>
    <x v="40"/>
    <x v="7"/>
    <x v="2"/>
  </r>
  <r>
    <x v="11"/>
    <x v="22"/>
    <n v="2"/>
    <n v="3700"/>
    <x v="49"/>
    <x v="45"/>
    <x v="7"/>
    <x v="9"/>
  </r>
  <r>
    <x v="9"/>
    <x v="0"/>
    <n v="2"/>
    <n v="6000"/>
    <x v="0"/>
    <x v="0"/>
    <x v="7"/>
    <x v="5"/>
  </r>
  <r>
    <x v="10"/>
    <x v="17"/>
    <n v="2"/>
    <n v="1250"/>
    <x v="52"/>
    <x v="7"/>
    <x v="7"/>
    <x v="1"/>
  </r>
  <r>
    <x v="11"/>
    <x v="5"/>
    <n v="1"/>
    <n v="7600"/>
    <x v="27"/>
    <x v="25"/>
    <x v="7"/>
    <x v="7"/>
  </r>
  <r>
    <x v="0"/>
    <x v="1"/>
    <n v="2"/>
    <n v="1400"/>
    <x v="1"/>
    <x v="1"/>
    <x v="7"/>
    <x v="8"/>
  </r>
  <r>
    <x v="4"/>
    <x v="4"/>
    <n v="2"/>
    <n v="2180"/>
    <x v="4"/>
    <x v="4"/>
    <x v="7"/>
    <x v="9"/>
  </r>
  <r>
    <x v="0"/>
    <x v="9"/>
    <n v="3"/>
    <n v="1800"/>
    <x v="12"/>
    <x v="12"/>
    <x v="7"/>
    <x v="5"/>
  </r>
  <r>
    <x v="2"/>
    <x v="21"/>
    <n v="1"/>
    <n v="1500"/>
    <x v="40"/>
    <x v="37"/>
    <x v="7"/>
    <x v="5"/>
  </r>
  <r>
    <x v="6"/>
    <x v="2"/>
    <n v="3"/>
    <n v="8450"/>
    <x v="48"/>
    <x v="44"/>
    <x v="7"/>
    <x v="3"/>
  </r>
  <r>
    <x v="9"/>
    <x v="21"/>
    <n v="3"/>
    <n v="1500"/>
    <x v="53"/>
    <x v="47"/>
    <x v="7"/>
    <x v="8"/>
  </r>
  <r>
    <x v="5"/>
    <x v="0"/>
    <n v="3"/>
    <n v="6000"/>
    <x v="54"/>
    <x v="13"/>
    <x v="7"/>
    <x v="6"/>
  </r>
  <r>
    <x v="11"/>
    <x v="18"/>
    <n v="1"/>
    <n v="1200"/>
    <x v="8"/>
    <x v="8"/>
    <x v="7"/>
    <x v="0"/>
  </r>
  <r>
    <x v="0"/>
    <x v="14"/>
    <n v="3"/>
    <n v="4200"/>
    <x v="31"/>
    <x v="29"/>
    <x v="7"/>
    <x v="7"/>
  </r>
  <r>
    <x v="10"/>
    <x v="5"/>
    <n v="3"/>
    <n v="7600"/>
    <x v="24"/>
    <x v="22"/>
    <x v="7"/>
    <x v="1"/>
  </r>
  <r>
    <x v="5"/>
    <x v="6"/>
    <n v="2"/>
    <n v="7250"/>
    <x v="6"/>
    <x v="6"/>
    <x v="7"/>
    <x v="6"/>
  </r>
  <r>
    <x v="1"/>
    <x v="19"/>
    <n v="2"/>
    <n v="7530"/>
    <x v="44"/>
    <x v="39"/>
    <x v="7"/>
    <x v="12"/>
  </r>
  <r>
    <x v="2"/>
    <x v="6"/>
    <n v="2"/>
    <n v="7250"/>
    <x v="6"/>
    <x v="6"/>
    <x v="7"/>
    <x v="4"/>
  </r>
  <r>
    <x v="1"/>
    <x v="0"/>
    <n v="1"/>
    <n v="6000"/>
    <x v="17"/>
    <x v="9"/>
    <x v="7"/>
    <x v="1"/>
  </r>
  <r>
    <x v="5"/>
    <x v="18"/>
    <n v="3"/>
    <n v="1200"/>
    <x v="9"/>
    <x v="1"/>
    <x v="7"/>
    <x v="8"/>
  </r>
  <r>
    <x v="11"/>
    <x v="20"/>
    <n v="2"/>
    <n v="5300"/>
    <x v="47"/>
    <x v="43"/>
    <x v="7"/>
    <x v="7"/>
  </r>
  <r>
    <x v="8"/>
    <x v="2"/>
    <n v="2"/>
    <n v="8450"/>
    <x v="2"/>
    <x v="2"/>
    <x v="7"/>
    <x v="12"/>
  </r>
  <r>
    <x v="4"/>
    <x v="3"/>
    <n v="1"/>
    <n v="1350"/>
    <x v="26"/>
    <x v="24"/>
    <x v="7"/>
    <x v="7"/>
  </r>
  <r>
    <x v="6"/>
    <x v="10"/>
    <n v="1"/>
    <n v="1090"/>
    <x v="37"/>
    <x v="35"/>
    <x v="7"/>
    <x v="2"/>
  </r>
  <r>
    <x v="4"/>
    <x v="4"/>
    <n v="1"/>
    <n v="2180"/>
    <x v="10"/>
    <x v="40"/>
    <x v="7"/>
    <x v="9"/>
  </r>
  <r>
    <x v="0"/>
    <x v="0"/>
    <n v="2"/>
    <n v="6000"/>
    <x v="0"/>
    <x v="0"/>
    <x v="7"/>
    <x v="0"/>
  </r>
  <r>
    <x v="1"/>
    <x v="1"/>
    <n v="2"/>
    <n v="1400"/>
    <x v="1"/>
    <x v="1"/>
    <x v="7"/>
    <x v="12"/>
  </r>
  <r>
    <x v="2"/>
    <x v="2"/>
    <n v="2"/>
    <n v="8450"/>
    <x v="2"/>
    <x v="2"/>
    <x v="7"/>
    <x v="9"/>
  </r>
  <r>
    <x v="3"/>
    <x v="3"/>
    <n v="3"/>
    <n v="1350"/>
    <x v="3"/>
    <x v="3"/>
    <x v="7"/>
    <x v="7"/>
  </r>
  <r>
    <x v="0"/>
    <x v="4"/>
    <n v="2"/>
    <n v="2180"/>
    <x v="4"/>
    <x v="4"/>
    <x v="7"/>
    <x v="3"/>
  </r>
  <r>
    <x v="4"/>
    <x v="5"/>
    <n v="2"/>
    <n v="7600"/>
    <x v="5"/>
    <x v="5"/>
    <x v="7"/>
    <x v="8"/>
  </r>
  <r>
    <x v="1"/>
    <x v="6"/>
    <n v="2"/>
    <n v="7250"/>
    <x v="6"/>
    <x v="6"/>
    <x v="7"/>
    <x v="1"/>
  </r>
  <r>
    <x v="3"/>
    <x v="7"/>
    <n v="3"/>
    <n v="1100"/>
    <x v="7"/>
    <x v="7"/>
    <x v="7"/>
    <x v="6"/>
  </r>
  <r>
    <x v="5"/>
    <x v="0"/>
    <n v="2"/>
    <n v="6000"/>
    <x v="0"/>
    <x v="0"/>
    <x v="7"/>
    <x v="4"/>
  </r>
  <r>
    <x v="0"/>
    <x v="8"/>
    <n v="1"/>
    <n v="1200"/>
    <x v="8"/>
    <x v="8"/>
    <x v="7"/>
    <x v="9"/>
  </r>
  <r>
    <x v="6"/>
    <x v="9"/>
    <n v="2"/>
    <n v="1800"/>
    <x v="9"/>
    <x v="9"/>
    <x v="7"/>
    <x v="5"/>
  </r>
  <r>
    <x v="6"/>
    <x v="10"/>
    <n v="2"/>
    <n v="1090"/>
    <x v="10"/>
    <x v="10"/>
    <x v="7"/>
    <x v="9"/>
  </r>
  <r>
    <x v="5"/>
    <x v="4"/>
    <n v="3"/>
    <n v="2180"/>
    <x v="11"/>
    <x v="11"/>
    <x v="7"/>
    <x v="5"/>
  </r>
  <r>
    <x v="7"/>
    <x v="9"/>
    <n v="3"/>
    <n v="1800"/>
    <x v="12"/>
    <x v="12"/>
    <x v="7"/>
    <x v="10"/>
  </r>
  <r>
    <x v="4"/>
    <x v="11"/>
    <n v="3"/>
    <n v="8000"/>
    <x v="13"/>
    <x v="13"/>
    <x v="7"/>
    <x v="0"/>
  </r>
  <r>
    <x v="5"/>
    <x v="1"/>
    <n v="1"/>
    <n v="1400"/>
    <x v="14"/>
    <x v="14"/>
    <x v="7"/>
    <x v="9"/>
  </r>
  <r>
    <x v="8"/>
    <x v="12"/>
    <n v="1"/>
    <n v="10590"/>
    <x v="15"/>
    <x v="15"/>
    <x v="7"/>
    <x v="7"/>
  </r>
  <r>
    <x v="9"/>
    <x v="3"/>
    <n v="2"/>
    <n v="1350"/>
    <x v="16"/>
    <x v="16"/>
    <x v="7"/>
    <x v="0"/>
  </r>
  <r>
    <x v="6"/>
    <x v="1"/>
    <n v="2"/>
    <n v="1400"/>
    <x v="1"/>
    <x v="1"/>
    <x v="7"/>
    <x v="8"/>
  </r>
  <r>
    <x v="3"/>
    <x v="0"/>
    <n v="1"/>
    <n v="6000"/>
    <x v="17"/>
    <x v="9"/>
    <x v="7"/>
    <x v="6"/>
  </r>
  <r>
    <x v="8"/>
    <x v="7"/>
    <n v="2"/>
    <n v="1100"/>
    <x v="18"/>
    <x v="14"/>
    <x v="7"/>
    <x v="3"/>
  </r>
  <r>
    <x v="2"/>
    <x v="0"/>
    <n v="2"/>
    <n v="6000"/>
    <x v="0"/>
    <x v="0"/>
    <x v="7"/>
    <x v="11"/>
  </r>
  <r>
    <x v="9"/>
    <x v="13"/>
    <n v="1"/>
    <n v="1490"/>
    <x v="19"/>
    <x v="17"/>
    <x v="7"/>
    <x v="1"/>
  </r>
  <r>
    <x v="8"/>
    <x v="12"/>
    <n v="2"/>
    <n v="10590"/>
    <x v="20"/>
    <x v="18"/>
    <x v="7"/>
    <x v="0"/>
  </r>
  <r>
    <x v="2"/>
    <x v="11"/>
    <n v="3"/>
    <n v="8000"/>
    <x v="13"/>
    <x v="13"/>
    <x v="7"/>
    <x v="5"/>
  </r>
  <r>
    <x v="6"/>
    <x v="7"/>
    <n v="1"/>
    <n v="1100"/>
    <x v="21"/>
    <x v="19"/>
    <x v="7"/>
    <x v="2"/>
  </r>
  <r>
    <x v="9"/>
    <x v="8"/>
    <n v="1"/>
    <n v="1200"/>
    <x v="8"/>
    <x v="8"/>
    <x v="7"/>
    <x v="11"/>
  </r>
  <r>
    <x v="4"/>
    <x v="14"/>
    <n v="2"/>
    <n v="4200"/>
    <x v="22"/>
    <x v="20"/>
    <x v="7"/>
    <x v="12"/>
  </r>
  <r>
    <x v="1"/>
    <x v="15"/>
    <n v="3"/>
    <n v="5775"/>
    <x v="23"/>
    <x v="21"/>
    <x v="7"/>
    <x v="8"/>
  </r>
  <r>
    <x v="10"/>
    <x v="5"/>
    <n v="3"/>
    <n v="7600"/>
    <x v="24"/>
    <x v="22"/>
    <x v="7"/>
    <x v="6"/>
  </r>
  <r>
    <x v="1"/>
    <x v="6"/>
    <n v="3"/>
    <n v="7250"/>
    <x v="25"/>
    <x v="23"/>
    <x v="7"/>
    <x v="2"/>
  </r>
  <r>
    <x v="0"/>
    <x v="6"/>
    <n v="3"/>
    <n v="7250"/>
    <x v="25"/>
    <x v="23"/>
    <x v="7"/>
    <x v="11"/>
  </r>
  <r>
    <x v="8"/>
    <x v="6"/>
    <n v="3"/>
    <n v="7250"/>
    <x v="25"/>
    <x v="23"/>
    <x v="7"/>
    <x v="12"/>
  </r>
  <r>
    <x v="5"/>
    <x v="3"/>
    <n v="1"/>
    <n v="1350"/>
    <x v="26"/>
    <x v="24"/>
    <x v="7"/>
    <x v="4"/>
  </r>
  <r>
    <x v="1"/>
    <x v="6"/>
    <n v="2"/>
    <n v="7250"/>
    <x v="6"/>
    <x v="6"/>
    <x v="7"/>
    <x v="10"/>
  </r>
  <r>
    <x v="6"/>
    <x v="5"/>
    <n v="1"/>
    <n v="7600"/>
    <x v="27"/>
    <x v="25"/>
    <x v="7"/>
    <x v="12"/>
  </r>
  <r>
    <x v="11"/>
    <x v="5"/>
    <n v="3"/>
    <n v="7600"/>
    <x v="24"/>
    <x v="22"/>
    <x v="7"/>
    <x v="1"/>
  </r>
  <r>
    <x v="1"/>
    <x v="13"/>
    <n v="3"/>
    <n v="1490"/>
    <x v="28"/>
    <x v="26"/>
    <x v="7"/>
    <x v="7"/>
  </r>
  <r>
    <x v="5"/>
    <x v="16"/>
    <n v="2"/>
    <n v="2900"/>
    <x v="29"/>
    <x v="27"/>
    <x v="7"/>
    <x v="0"/>
  </r>
  <r>
    <x v="9"/>
    <x v="13"/>
    <n v="1"/>
    <n v="1490"/>
    <x v="19"/>
    <x v="17"/>
    <x v="7"/>
    <x v="3"/>
  </r>
  <r>
    <x v="9"/>
    <x v="10"/>
    <n v="2"/>
    <n v="1090"/>
    <x v="10"/>
    <x v="10"/>
    <x v="7"/>
    <x v="10"/>
  </r>
  <r>
    <x v="5"/>
    <x v="8"/>
    <n v="2"/>
    <n v="1200"/>
    <x v="30"/>
    <x v="28"/>
    <x v="7"/>
    <x v="8"/>
  </r>
  <r>
    <x v="8"/>
    <x v="12"/>
    <n v="2"/>
    <n v="10590"/>
    <x v="20"/>
    <x v="18"/>
    <x v="7"/>
    <x v="9"/>
  </r>
  <r>
    <x v="6"/>
    <x v="14"/>
    <n v="3"/>
    <n v="4200"/>
    <x v="31"/>
    <x v="29"/>
    <x v="7"/>
    <x v="12"/>
  </r>
  <r>
    <x v="3"/>
    <x v="14"/>
    <n v="3"/>
    <n v="4200"/>
    <x v="31"/>
    <x v="29"/>
    <x v="7"/>
    <x v="7"/>
  </r>
  <r>
    <x v="7"/>
    <x v="12"/>
    <n v="2"/>
    <n v="10590"/>
    <x v="20"/>
    <x v="18"/>
    <x v="7"/>
    <x v="11"/>
  </r>
  <r>
    <x v="11"/>
    <x v="17"/>
    <n v="1"/>
    <n v="1250"/>
    <x v="32"/>
    <x v="30"/>
    <x v="7"/>
    <x v="8"/>
  </r>
  <r>
    <x v="0"/>
    <x v="13"/>
    <n v="3"/>
    <n v="1490"/>
    <x v="28"/>
    <x v="26"/>
    <x v="7"/>
    <x v="7"/>
  </r>
  <r>
    <x v="6"/>
    <x v="8"/>
    <n v="2"/>
    <n v="1200"/>
    <x v="30"/>
    <x v="28"/>
    <x v="7"/>
    <x v="10"/>
  </r>
  <r>
    <x v="2"/>
    <x v="4"/>
    <n v="3"/>
    <n v="2180"/>
    <x v="11"/>
    <x v="11"/>
    <x v="7"/>
    <x v="4"/>
  </r>
  <r>
    <x v="9"/>
    <x v="18"/>
    <n v="3"/>
    <n v="1200"/>
    <x v="9"/>
    <x v="1"/>
    <x v="7"/>
    <x v="12"/>
  </r>
  <r>
    <x v="0"/>
    <x v="9"/>
    <n v="1"/>
    <n v="1800"/>
    <x v="33"/>
    <x v="31"/>
    <x v="7"/>
    <x v="5"/>
  </r>
  <r>
    <x v="2"/>
    <x v="5"/>
    <n v="1"/>
    <n v="7600"/>
    <x v="27"/>
    <x v="25"/>
    <x v="7"/>
    <x v="9"/>
  </r>
  <r>
    <x v="7"/>
    <x v="19"/>
    <n v="1"/>
    <n v="7530"/>
    <x v="34"/>
    <x v="32"/>
    <x v="7"/>
    <x v="11"/>
  </r>
  <r>
    <x v="11"/>
    <x v="13"/>
    <n v="2"/>
    <n v="1490"/>
    <x v="35"/>
    <x v="33"/>
    <x v="7"/>
    <x v="3"/>
  </r>
  <r>
    <x v="0"/>
    <x v="20"/>
    <n v="1"/>
    <n v="5300"/>
    <x v="36"/>
    <x v="34"/>
    <x v="7"/>
    <x v="9"/>
  </r>
  <r>
    <x v="4"/>
    <x v="8"/>
    <n v="2"/>
    <n v="1200"/>
    <x v="30"/>
    <x v="28"/>
    <x v="7"/>
    <x v="10"/>
  </r>
  <r>
    <x v="9"/>
    <x v="10"/>
    <n v="1"/>
    <n v="1090"/>
    <x v="37"/>
    <x v="35"/>
    <x v="7"/>
    <x v="11"/>
  </r>
  <r>
    <x v="4"/>
    <x v="6"/>
    <n v="1"/>
    <n v="7250"/>
    <x v="38"/>
    <x v="36"/>
    <x v="7"/>
    <x v="1"/>
  </r>
  <r>
    <x v="10"/>
    <x v="1"/>
    <n v="3"/>
    <n v="1400"/>
    <x v="39"/>
    <x v="27"/>
    <x v="7"/>
    <x v="6"/>
  </r>
  <r>
    <x v="2"/>
    <x v="21"/>
    <n v="1"/>
    <n v="1500"/>
    <x v="40"/>
    <x v="37"/>
    <x v="7"/>
    <x v="7"/>
  </r>
  <r>
    <x v="7"/>
    <x v="3"/>
    <n v="1"/>
    <n v="1350"/>
    <x v="26"/>
    <x v="24"/>
    <x v="7"/>
    <x v="0"/>
  </r>
  <r>
    <x v="7"/>
    <x v="8"/>
    <n v="3"/>
    <n v="1200"/>
    <x v="9"/>
    <x v="1"/>
    <x v="7"/>
    <x v="1"/>
  </r>
  <r>
    <x v="1"/>
    <x v="19"/>
    <n v="3"/>
    <n v="7530"/>
    <x v="41"/>
    <x v="15"/>
    <x v="7"/>
    <x v="6"/>
  </r>
  <r>
    <x v="10"/>
    <x v="8"/>
    <n v="1"/>
    <n v="1200"/>
    <x v="8"/>
    <x v="8"/>
    <x v="7"/>
    <x v="12"/>
  </r>
  <r>
    <x v="8"/>
    <x v="9"/>
    <n v="3"/>
    <n v="1800"/>
    <x v="12"/>
    <x v="12"/>
    <x v="7"/>
    <x v="12"/>
  </r>
  <r>
    <x v="0"/>
    <x v="6"/>
    <n v="1"/>
    <n v="7250"/>
    <x v="38"/>
    <x v="36"/>
    <x v="8"/>
    <x v="8"/>
  </r>
  <r>
    <x v="9"/>
    <x v="13"/>
    <n v="3"/>
    <n v="1490"/>
    <x v="28"/>
    <x v="26"/>
    <x v="8"/>
    <x v="9"/>
  </r>
  <r>
    <x v="9"/>
    <x v="18"/>
    <n v="1"/>
    <n v="1200"/>
    <x v="8"/>
    <x v="8"/>
    <x v="8"/>
    <x v="10"/>
  </r>
  <r>
    <x v="1"/>
    <x v="11"/>
    <n v="1"/>
    <n v="8000"/>
    <x v="42"/>
    <x v="9"/>
    <x v="8"/>
    <x v="12"/>
  </r>
  <r>
    <x v="6"/>
    <x v="1"/>
    <n v="1"/>
    <n v="1400"/>
    <x v="14"/>
    <x v="14"/>
    <x v="8"/>
    <x v="6"/>
  </r>
  <r>
    <x v="5"/>
    <x v="3"/>
    <n v="1"/>
    <n v="1350"/>
    <x v="26"/>
    <x v="24"/>
    <x v="8"/>
    <x v="11"/>
  </r>
  <r>
    <x v="8"/>
    <x v="18"/>
    <n v="1"/>
    <n v="1200"/>
    <x v="8"/>
    <x v="8"/>
    <x v="8"/>
    <x v="6"/>
  </r>
  <r>
    <x v="6"/>
    <x v="20"/>
    <n v="1"/>
    <n v="5300"/>
    <x v="36"/>
    <x v="34"/>
    <x v="8"/>
    <x v="8"/>
  </r>
  <r>
    <x v="9"/>
    <x v="12"/>
    <n v="3"/>
    <n v="10590"/>
    <x v="43"/>
    <x v="38"/>
    <x v="8"/>
    <x v="11"/>
  </r>
  <r>
    <x v="4"/>
    <x v="17"/>
    <n v="1"/>
    <n v="1250"/>
    <x v="32"/>
    <x v="30"/>
    <x v="8"/>
    <x v="10"/>
  </r>
  <r>
    <x v="11"/>
    <x v="18"/>
    <n v="1"/>
    <n v="1200"/>
    <x v="8"/>
    <x v="8"/>
    <x v="8"/>
    <x v="0"/>
  </r>
  <r>
    <x v="4"/>
    <x v="1"/>
    <n v="3"/>
    <n v="1400"/>
    <x v="39"/>
    <x v="27"/>
    <x v="8"/>
    <x v="4"/>
  </r>
  <r>
    <x v="11"/>
    <x v="19"/>
    <n v="2"/>
    <n v="7530"/>
    <x v="44"/>
    <x v="39"/>
    <x v="8"/>
    <x v="11"/>
  </r>
  <r>
    <x v="6"/>
    <x v="5"/>
    <n v="1"/>
    <n v="7600"/>
    <x v="27"/>
    <x v="25"/>
    <x v="8"/>
    <x v="1"/>
  </r>
  <r>
    <x v="11"/>
    <x v="21"/>
    <n v="1"/>
    <n v="1500"/>
    <x v="40"/>
    <x v="37"/>
    <x v="8"/>
    <x v="3"/>
  </r>
  <r>
    <x v="9"/>
    <x v="16"/>
    <n v="2"/>
    <n v="2180"/>
    <x v="4"/>
    <x v="4"/>
    <x v="8"/>
    <x v="4"/>
  </r>
  <r>
    <x v="3"/>
    <x v="4"/>
    <n v="1"/>
    <n v="2180"/>
    <x v="10"/>
    <x v="40"/>
    <x v="8"/>
    <x v="11"/>
  </r>
  <r>
    <x v="9"/>
    <x v="15"/>
    <n v="1"/>
    <n v="5775"/>
    <x v="45"/>
    <x v="41"/>
    <x v="8"/>
    <x v="1"/>
  </r>
  <r>
    <x v="9"/>
    <x v="7"/>
    <n v="3"/>
    <n v="1100"/>
    <x v="7"/>
    <x v="7"/>
    <x v="8"/>
    <x v="10"/>
  </r>
  <r>
    <x v="10"/>
    <x v="15"/>
    <n v="1"/>
    <n v="5775"/>
    <x v="45"/>
    <x v="41"/>
    <x v="8"/>
    <x v="8"/>
  </r>
  <r>
    <x v="7"/>
    <x v="3"/>
    <n v="1"/>
    <n v="1350"/>
    <x v="26"/>
    <x v="24"/>
    <x v="8"/>
    <x v="6"/>
  </r>
  <r>
    <x v="0"/>
    <x v="5"/>
    <n v="3"/>
    <n v="7600"/>
    <x v="24"/>
    <x v="22"/>
    <x v="8"/>
    <x v="12"/>
  </r>
  <r>
    <x v="2"/>
    <x v="6"/>
    <n v="3"/>
    <n v="7250"/>
    <x v="25"/>
    <x v="23"/>
    <x v="8"/>
    <x v="9"/>
  </r>
  <r>
    <x v="11"/>
    <x v="13"/>
    <n v="2"/>
    <n v="1490"/>
    <x v="35"/>
    <x v="33"/>
    <x v="8"/>
    <x v="2"/>
  </r>
  <r>
    <x v="3"/>
    <x v="13"/>
    <n v="2"/>
    <n v="1490"/>
    <x v="35"/>
    <x v="33"/>
    <x v="8"/>
    <x v="0"/>
  </r>
  <r>
    <x v="8"/>
    <x v="10"/>
    <n v="2"/>
    <n v="1090"/>
    <x v="10"/>
    <x v="10"/>
    <x v="8"/>
    <x v="9"/>
  </r>
  <r>
    <x v="8"/>
    <x v="8"/>
    <n v="3"/>
    <n v="1200"/>
    <x v="9"/>
    <x v="1"/>
    <x v="8"/>
    <x v="11"/>
  </r>
  <r>
    <x v="11"/>
    <x v="10"/>
    <n v="2"/>
    <n v="1090"/>
    <x v="10"/>
    <x v="10"/>
    <x v="8"/>
    <x v="7"/>
  </r>
  <r>
    <x v="11"/>
    <x v="4"/>
    <n v="3"/>
    <n v="2180"/>
    <x v="11"/>
    <x v="11"/>
    <x v="8"/>
    <x v="0"/>
  </r>
  <r>
    <x v="2"/>
    <x v="20"/>
    <n v="3"/>
    <n v="5300"/>
    <x v="46"/>
    <x v="42"/>
    <x v="8"/>
    <x v="9"/>
  </r>
  <r>
    <x v="11"/>
    <x v="20"/>
    <n v="2"/>
    <n v="5300"/>
    <x v="47"/>
    <x v="43"/>
    <x v="8"/>
    <x v="10"/>
  </r>
  <r>
    <x v="5"/>
    <x v="6"/>
    <n v="2"/>
    <n v="7250"/>
    <x v="6"/>
    <x v="6"/>
    <x v="8"/>
    <x v="0"/>
  </r>
  <r>
    <x v="5"/>
    <x v="18"/>
    <n v="3"/>
    <n v="1200"/>
    <x v="9"/>
    <x v="1"/>
    <x v="8"/>
    <x v="0"/>
  </r>
  <r>
    <x v="3"/>
    <x v="0"/>
    <n v="1"/>
    <n v="6000"/>
    <x v="17"/>
    <x v="9"/>
    <x v="8"/>
    <x v="8"/>
  </r>
  <r>
    <x v="2"/>
    <x v="2"/>
    <n v="3"/>
    <n v="8450"/>
    <x v="48"/>
    <x v="44"/>
    <x v="8"/>
    <x v="4"/>
  </r>
  <r>
    <x v="6"/>
    <x v="14"/>
    <n v="1"/>
    <n v="4200"/>
    <x v="39"/>
    <x v="1"/>
    <x v="8"/>
    <x v="2"/>
  </r>
  <r>
    <x v="6"/>
    <x v="12"/>
    <n v="3"/>
    <n v="10590"/>
    <x v="43"/>
    <x v="38"/>
    <x v="8"/>
    <x v="0"/>
  </r>
  <r>
    <x v="5"/>
    <x v="18"/>
    <n v="1"/>
    <n v="1200"/>
    <x v="8"/>
    <x v="8"/>
    <x v="8"/>
    <x v="4"/>
  </r>
  <r>
    <x v="10"/>
    <x v="7"/>
    <n v="2"/>
    <n v="1100"/>
    <x v="18"/>
    <x v="14"/>
    <x v="8"/>
    <x v="6"/>
  </r>
  <r>
    <x v="9"/>
    <x v="22"/>
    <n v="2"/>
    <n v="3700"/>
    <x v="49"/>
    <x v="45"/>
    <x v="8"/>
    <x v="1"/>
  </r>
  <r>
    <x v="1"/>
    <x v="22"/>
    <n v="1"/>
    <n v="3700"/>
    <x v="50"/>
    <x v="37"/>
    <x v="8"/>
    <x v="3"/>
  </r>
  <r>
    <x v="6"/>
    <x v="7"/>
    <n v="3"/>
    <n v="1100"/>
    <x v="7"/>
    <x v="7"/>
    <x v="8"/>
    <x v="10"/>
  </r>
  <r>
    <x v="5"/>
    <x v="22"/>
    <n v="1"/>
    <n v="3700"/>
    <x v="50"/>
    <x v="37"/>
    <x v="8"/>
    <x v="9"/>
  </r>
  <r>
    <x v="10"/>
    <x v="13"/>
    <n v="1"/>
    <n v="1490"/>
    <x v="19"/>
    <x v="17"/>
    <x v="8"/>
    <x v="3"/>
  </r>
  <r>
    <x v="9"/>
    <x v="21"/>
    <n v="1"/>
    <n v="1500"/>
    <x v="40"/>
    <x v="37"/>
    <x v="8"/>
    <x v="12"/>
  </r>
  <r>
    <x v="8"/>
    <x v="10"/>
    <n v="2"/>
    <n v="1090"/>
    <x v="10"/>
    <x v="10"/>
    <x v="8"/>
    <x v="9"/>
  </r>
  <r>
    <x v="10"/>
    <x v="9"/>
    <n v="3"/>
    <n v="1800"/>
    <x v="12"/>
    <x v="12"/>
    <x v="8"/>
    <x v="5"/>
  </r>
  <r>
    <x v="7"/>
    <x v="19"/>
    <n v="2"/>
    <n v="7530"/>
    <x v="44"/>
    <x v="39"/>
    <x v="8"/>
    <x v="3"/>
  </r>
  <r>
    <x v="6"/>
    <x v="7"/>
    <n v="3"/>
    <n v="1100"/>
    <x v="7"/>
    <x v="7"/>
    <x v="8"/>
    <x v="4"/>
  </r>
  <r>
    <x v="9"/>
    <x v="3"/>
    <n v="3"/>
    <n v="1350"/>
    <x v="3"/>
    <x v="3"/>
    <x v="8"/>
    <x v="6"/>
  </r>
  <r>
    <x v="8"/>
    <x v="3"/>
    <n v="1"/>
    <n v="1350"/>
    <x v="26"/>
    <x v="24"/>
    <x v="8"/>
    <x v="7"/>
  </r>
  <r>
    <x v="7"/>
    <x v="10"/>
    <n v="2"/>
    <n v="1090"/>
    <x v="10"/>
    <x v="10"/>
    <x v="8"/>
    <x v="8"/>
  </r>
  <r>
    <x v="7"/>
    <x v="14"/>
    <n v="1"/>
    <n v="4200"/>
    <x v="39"/>
    <x v="1"/>
    <x v="8"/>
    <x v="1"/>
  </r>
  <r>
    <x v="9"/>
    <x v="9"/>
    <n v="2"/>
    <n v="1800"/>
    <x v="9"/>
    <x v="9"/>
    <x v="8"/>
    <x v="11"/>
  </r>
  <r>
    <x v="11"/>
    <x v="10"/>
    <n v="1"/>
    <n v="1090"/>
    <x v="37"/>
    <x v="35"/>
    <x v="8"/>
    <x v="12"/>
  </r>
  <r>
    <x v="0"/>
    <x v="5"/>
    <n v="1"/>
    <n v="7600"/>
    <x v="27"/>
    <x v="25"/>
    <x v="8"/>
    <x v="8"/>
  </r>
  <r>
    <x v="8"/>
    <x v="5"/>
    <n v="3"/>
    <n v="7600"/>
    <x v="24"/>
    <x v="22"/>
    <x v="8"/>
    <x v="6"/>
  </r>
  <r>
    <x v="2"/>
    <x v="22"/>
    <n v="1"/>
    <n v="3700"/>
    <x v="50"/>
    <x v="37"/>
    <x v="8"/>
    <x v="8"/>
  </r>
  <r>
    <x v="4"/>
    <x v="6"/>
    <n v="3"/>
    <n v="7250"/>
    <x v="25"/>
    <x v="23"/>
    <x v="8"/>
    <x v="3"/>
  </r>
  <r>
    <x v="1"/>
    <x v="5"/>
    <n v="3"/>
    <n v="7600"/>
    <x v="24"/>
    <x v="22"/>
    <x v="8"/>
    <x v="6"/>
  </r>
  <r>
    <x v="10"/>
    <x v="14"/>
    <n v="1"/>
    <n v="4200"/>
    <x v="39"/>
    <x v="1"/>
    <x v="8"/>
    <x v="5"/>
  </r>
  <r>
    <x v="6"/>
    <x v="17"/>
    <n v="3"/>
    <n v="1250"/>
    <x v="51"/>
    <x v="46"/>
    <x v="8"/>
    <x v="0"/>
  </r>
  <r>
    <x v="8"/>
    <x v="10"/>
    <n v="1"/>
    <n v="1090"/>
    <x v="37"/>
    <x v="35"/>
    <x v="8"/>
    <x v="5"/>
  </r>
  <r>
    <x v="3"/>
    <x v="4"/>
    <n v="1"/>
    <n v="2180"/>
    <x v="10"/>
    <x v="40"/>
    <x v="8"/>
    <x v="11"/>
  </r>
  <r>
    <x v="11"/>
    <x v="22"/>
    <n v="2"/>
    <n v="3700"/>
    <x v="49"/>
    <x v="45"/>
    <x v="8"/>
    <x v="12"/>
  </r>
  <r>
    <x v="9"/>
    <x v="0"/>
    <n v="2"/>
    <n v="6000"/>
    <x v="0"/>
    <x v="0"/>
    <x v="8"/>
    <x v="10"/>
  </r>
  <r>
    <x v="10"/>
    <x v="17"/>
    <n v="2"/>
    <n v="1250"/>
    <x v="52"/>
    <x v="7"/>
    <x v="8"/>
    <x v="5"/>
  </r>
  <r>
    <x v="11"/>
    <x v="5"/>
    <n v="1"/>
    <n v="7600"/>
    <x v="27"/>
    <x v="25"/>
    <x v="8"/>
    <x v="10"/>
  </r>
  <r>
    <x v="0"/>
    <x v="1"/>
    <n v="2"/>
    <n v="1400"/>
    <x v="1"/>
    <x v="1"/>
    <x v="8"/>
    <x v="11"/>
  </r>
  <r>
    <x v="4"/>
    <x v="4"/>
    <n v="2"/>
    <n v="2180"/>
    <x v="4"/>
    <x v="4"/>
    <x v="8"/>
    <x v="1"/>
  </r>
  <r>
    <x v="0"/>
    <x v="9"/>
    <n v="3"/>
    <n v="1800"/>
    <x v="12"/>
    <x v="12"/>
    <x v="8"/>
    <x v="3"/>
  </r>
  <r>
    <x v="2"/>
    <x v="21"/>
    <n v="1"/>
    <n v="1500"/>
    <x v="40"/>
    <x v="37"/>
    <x v="8"/>
    <x v="2"/>
  </r>
  <r>
    <x v="6"/>
    <x v="2"/>
    <n v="3"/>
    <n v="8450"/>
    <x v="48"/>
    <x v="44"/>
    <x v="8"/>
    <x v="12"/>
  </r>
  <r>
    <x v="9"/>
    <x v="21"/>
    <n v="3"/>
    <n v="1500"/>
    <x v="53"/>
    <x v="47"/>
    <x v="8"/>
    <x v="3"/>
  </r>
  <r>
    <x v="5"/>
    <x v="0"/>
    <n v="3"/>
    <n v="6000"/>
    <x v="54"/>
    <x v="13"/>
    <x v="8"/>
    <x v="7"/>
  </r>
  <r>
    <x v="11"/>
    <x v="18"/>
    <n v="1"/>
    <n v="1200"/>
    <x v="8"/>
    <x v="8"/>
    <x v="8"/>
    <x v="5"/>
  </r>
  <r>
    <x v="0"/>
    <x v="14"/>
    <n v="3"/>
    <n v="4200"/>
    <x v="31"/>
    <x v="29"/>
    <x v="8"/>
    <x v="2"/>
  </r>
  <r>
    <x v="10"/>
    <x v="5"/>
    <n v="3"/>
    <n v="7600"/>
    <x v="24"/>
    <x v="22"/>
    <x v="8"/>
    <x v="1"/>
  </r>
  <r>
    <x v="5"/>
    <x v="6"/>
    <n v="2"/>
    <n v="7250"/>
    <x v="6"/>
    <x v="6"/>
    <x v="8"/>
    <x v="8"/>
  </r>
  <r>
    <x v="1"/>
    <x v="19"/>
    <n v="2"/>
    <n v="7530"/>
    <x v="44"/>
    <x v="39"/>
    <x v="8"/>
    <x v="8"/>
  </r>
  <r>
    <x v="2"/>
    <x v="6"/>
    <n v="2"/>
    <n v="7250"/>
    <x v="6"/>
    <x v="6"/>
    <x v="8"/>
    <x v="7"/>
  </r>
  <r>
    <x v="1"/>
    <x v="0"/>
    <n v="1"/>
    <n v="6000"/>
    <x v="17"/>
    <x v="9"/>
    <x v="8"/>
    <x v="7"/>
  </r>
  <r>
    <x v="5"/>
    <x v="18"/>
    <n v="3"/>
    <n v="1200"/>
    <x v="9"/>
    <x v="1"/>
    <x v="8"/>
    <x v="1"/>
  </r>
  <r>
    <x v="11"/>
    <x v="20"/>
    <n v="2"/>
    <n v="5300"/>
    <x v="47"/>
    <x v="43"/>
    <x v="8"/>
    <x v="1"/>
  </r>
  <r>
    <x v="8"/>
    <x v="2"/>
    <n v="2"/>
    <n v="8450"/>
    <x v="2"/>
    <x v="2"/>
    <x v="8"/>
    <x v="2"/>
  </r>
  <r>
    <x v="4"/>
    <x v="3"/>
    <n v="1"/>
    <n v="1350"/>
    <x v="26"/>
    <x v="24"/>
    <x v="8"/>
    <x v="4"/>
  </r>
  <r>
    <x v="6"/>
    <x v="10"/>
    <n v="1"/>
    <n v="1090"/>
    <x v="37"/>
    <x v="35"/>
    <x v="8"/>
    <x v="4"/>
  </r>
  <r>
    <x v="4"/>
    <x v="4"/>
    <n v="1"/>
    <n v="2180"/>
    <x v="10"/>
    <x v="40"/>
    <x v="8"/>
    <x v="5"/>
  </r>
  <r>
    <x v="1"/>
    <x v="22"/>
    <n v="1"/>
    <n v="3700"/>
    <x v="50"/>
    <x v="37"/>
    <x v="8"/>
    <x v="9"/>
  </r>
  <r>
    <x v="6"/>
    <x v="7"/>
    <n v="3"/>
    <n v="1100"/>
    <x v="7"/>
    <x v="7"/>
    <x v="8"/>
    <x v="6"/>
  </r>
  <r>
    <x v="5"/>
    <x v="22"/>
    <n v="1"/>
    <n v="3700"/>
    <x v="50"/>
    <x v="37"/>
    <x v="8"/>
    <x v="6"/>
  </r>
  <r>
    <x v="10"/>
    <x v="13"/>
    <n v="1"/>
    <n v="1490"/>
    <x v="19"/>
    <x v="17"/>
    <x v="8"/>
    <x v="7"/>
  </r>
  <r>
    <x v="9"/>
    <x v="21"/>
    <n v="1"/>
    <n v="1500"/>
    <x v="40"/>
    <x v="37"/>
    <x v="8"/>
    <x v="7"/>
  </r>
  <r>
    <x v="8"/>
    <x v="10"/>
    <n v="2"/>
    <n v="1090"/>
    <x v="10"/>
    <x v="10"/>
    <x v="8"/>
    <x v="5"/>
  </r>
  <r>
    <x v="10"/>
    <x v="9"/>
    <n v="3"/>
    <n v="1800"/>
    <x v="12"/>
    <x v="12"/>
    <x v="8"/>
    <x v="11"/>
  </r>
  <r>
    <x v="7"/>
    <x v="19"/>
    <n v="2"/>
    <n v="7530"/>
    <x v="44"/>
    <x v="39"/>
    <x v="8"/>
    <x v="1"/>
  </r>
  <r>
    <x v="6"/>
    <x v="7"/>
    <n v="3"/>
    <n v="1100"/>
    <x v="7"/>
    <x v="7"/>
    <x v="8"/>
    <x v="4"/>
  </r>
  <r>
    <x v="9"/>
    <x v="3"/>
    <n v="3"/>
    <n v="1350"/>
    <x v="3"/>
    <x v="3"/>
    <x v="8"/>
    <x v="9"/>
  </r>
  <r>
    <x v="8"/>
    <x v="3"/>
    <n v="1"/>
    <n v="1350"/>
    <x v="26"/>
    <x v="24"/>
    <x v="8"/>
    <x v="4"/>
  </r>
  <r>
    <x v="7"/>
    <x v="10"/>
    <n v="2"/>
    <n v="1090"/>
    <x v="10"/>
    <x v="10"/>
    <x v="8"/>
    <x v="3"/>
  </r>
  <r>
    <x v="7"/>
    <x v="14"/>
    <n v="1"/>
    <n v="4200"/>
    <x v="39"/>
    <x v="1"/>
    <x v="8"/>
    <x v="2"/>
  </r>
  <r>
    <x v="9"/>
    <x v="9"/>
    <n v="2"/>
    <n v="1800"/>
    <x v="9"/>
    <x v="9"/>
    <x v="8"/>
    <x v="5"/>
  </r>
  <r>
    <x v="11"/>
    <x v="10"/>
    <n v="1"/>
    <n v="1090"/>
    <x v="37"/>
    <x v="35"/>
    <x v="8"/>
    <x v="8"/>
  </r>
  <r>
    <x v="0"/>
    <x v="5"/>
    <n v="1"/>
    <n v="7600"/>
    <x v="27"/>
    <x v="25"/>
    <x v="8"/>
    <x v="11"/>
  </r>
  <r>
    <x v="8"/>
    <x v="5"/>
    <n v="3"/>
    <n v="7600"/>
    <x v="24"/>
    <x v="22"/>
    <x v="8"/>
    <x v="0"/>
  </r>
  <r>
    <x v="2"/>
    <x v="22"/>
    <n v="1"/>
    <n v="3700"/>
    <x v="50"/>
    <x v="37"/>
    <x v="8"/>
    <x v="2"/>
  </r>
  <r>
    <x v="4"/>
    <x v="6"/>
    <n v="3"/>
    <n v="7250"/>
    <x v="25"/>
    <x v="23"/>
    <x v="8"/>
    <x v="10"/>
  </r>
  <r>
    <x v="1"/>
    <x v="5"/>
    <n v="3"/>
    <n v="7600"/>
    <x v="24"/>
    <x v="22"/>
    <x v="8"/>
    <x v="5"/>
  </r>
  <r>
    <x v="10"/>
    <x v="14"/>
    <n v="1"/>
    <n v="4200"/>
    <x v="39"/>
    <x v="1"/>
    <x v="8"/>
    <x v="4"/>
  </r>
  <r>
    <x v="6"/>
    <x v="17"/>
    <n v="3"/>
    <n v="1250"/>
    <x v="51"/>
    <x v="46"/>
    <x v="8"/>
    <x v="4"/>
  </r>
  <r>
    <x v="8"/>
    <x v="10"/>
    <n v="1"/>
    <n v="1090"/>
    <x v="37"/>
    <x v="35"/>
    <x v="8"/>
    <x v="4"/>
  </r>
  <r>
    <x v="3"/>
    <x v="4"/>
    <n v="1"/>
    <n v="2180"/>
    <x v="10"/>
    <x v="40"/>
    <x v="8"/>
    <x v="6"/>
  </r>
  <r>
    <x v="11"/>
    <x v="22"/>
    <n v="2"/>
    <n v="3700"/>
    <x v="49"/>
    <x v="45"/>
    <x v="8"/>
    <x v="2"/>
  </r>
  <r>
    <x v="9"/>
    <x v="0"/>
    <n v="2"/>
    <n v="6000"/>
    <x v="0"/>
    <x v="0"/>
    <x v="8"/>
    <x v="9"/>
  </r>
  <r>
    <x v="10"/>
    <x v="17"/>
    <n v="2"/>
    <n v="1250"/>
    <x v="52"/>
    <x v="7"/>
    <x v="8"/>
    <x v="8"/>
  </r>
  <r>
    <x v="11"/>
    <x v="5"/>
    <n v="1"/>
    <n v="7600"/>
    <x v="27"/>
    <x v="25"/>
    <x v="8"/>
    <x v="12"/>
  </r>
  <r>
    <x v="0"/>
    <x v="1"/>
    <n v="2"/>
    <n v="1400"/>
    <x v="1"/>
    <x v="1"/>
    <x v="8"/>
    <x v="2"/>
  </r>
  <r>
    <x v="4"/>
    <x v="4"/>
    <n v="2"/>
    <n v="2180"/>
    <x v="4"/>
    <x v="4"/>
    <x v="8"/>
    <x v="10"/>
  </r>
  <r>
    <x v="0"/>
    <x v="9"/>
    <n v="3"/>
    <n v="1800"/>
    <x v="12"/>
    <x v="12"/>
    <x v="8"/>
    <x v="7"/>
  </r>
  <r>
    <x v="2"/>
    <x v="21"/>
    <n v="1"/>
    <n v="1500"/>
    <x v="40"/>
    <x v="37"/>
    <x v="8"/>
    <x v="2"/>
  </r>
  <r>
    <x v="6"/>
    <x v="2"/>
    <n v="3"/>
    <n v="8450"/>
    <x v="48"/>
    <x v="44"/>
    <x v="8"/>
    <x v="10"/>
  </r>
  <r>
    <x v="9"/>
    <x v="21"/>
    <n v="3"/>
    <n v="1500"/>
    <x v="53"/>
    <x v="47"/>
    <x v="8"/>
    <x v="5"/>
  </r>
  <r>
    <x v="5"/>
    <x v="0"/>
    <n v="3"/>
    <n v="6000"/>
    <x v="54"/>
    <x v="13"/>
    <x v="8"/>
    <x v="0"/>
  </r>
  <r>
    <x v="11"/>
    <x v="18"/>
    <n v="1"/>
    <n v="1200"/>
    <x v="8"/>
    <x v="8"/>
    <x v="8"/>
    <x v="1"/>
  </r>
  <r>
    <x v="0"/>
    <x v="14"/>
    <n v="3"/>
    <n v="4200"/>
    <x v="31"/>
    <x v="29"/>
    <x v="8"/>
    <x v="3"/>
  </r>
  <r>
    <x v="10"/>
    <x v="5"/>
    <n v="3"/>
    <n v="7600"/>
    <x v="24"/>
    <x v="22"/>
    <x v="8"/>
    <x v="5"/>
  </r>
  <r>
    <x v="5"/>
    <x v="6"/>
    <n v="2"/>
    <n v="7250"/>
    <x v="6"/>
    <x v="6"/>
    <x v="8"/>
    <x v="6"/>
  </r>
  <r>
    <x v="1"/>
    <x v="19"/>
    <n v="2"/>
    <n v="7530"/>
    <x v="44"/>
    <x v="39"/>
    <x v="8"/>
    <x v="11"/>
  </r>
  <r>
    <x v="2"/>
    <x v="6"/>
    <n v="2"/>
    <n v="7250"/>
    <x v="6"/>
    <x v="6"/>
    <x v="9"/>
    <x v="0"/>
  </r>
  <r>
    <x v="1"/>
    <x v="0"/>
    <n v="1"/>
    <n v="6000"/>
    <x v="17"/>
    <x v="9"/>
    <x v="9"/>
    <x v="10"/>
  </r>
  <r>
    <x v="5"/>
    <x v="18"/>
    <n v="3"/>
    <n v="1200"/>
    <x v="9"/>
    <x v="1"/>
    <x v="9"/>
    <x v="3"/>
  </r>
  <r>
    <x v="11"/>
    <x v="20"/>
    <n v="2"/>
    <n v="5300"/>
    <x v="47"/>
    <x v="43"/>
    <x v="9"/>
    <x v="1"/>
  </r>
  <r>
    <x v="8"/>
    <x v="2"/>
    <n v="2"/>
    <n v="8450"/>
    <x v="2"/>
    <x v="2"/>
    <x v="9"/>
    <x v="6"/>
  </r>
  <r>
    <x v="4"/>
    <x v="3"/>
    <n v="1"/>
    <n v="1350"/>
    <x v="26"/>
    <x v="24"/>
    <x v="9"/>
    <x v="12"/>
  </r>
  <r>
    <x v="6"/>
    <x v="10"/>
    <n v="1"/>
    <n v="1090"/>
    <x v="37"/>
    <x v="35"/>
    <x v="9"/>
    <x v="7"/>
  </r>
  <r>
    <x v="4"/>
    <x v="4"/>
    <n v="1"/>
    <n v="2180"/>
    <x v="10"/>
    <x v="40"/>
    <x v="9"/>
    <x v="8"/>
  </r>
  <r>
    <x v="0"/>
    <x v="0"/>
    <n v="2"/>
    <n v="6000"/>
    <x v="0"/>
    <x v="0"/>
    <x v="9"/>
    <x v="10"/>
  </r>
  <r>
    <x v="1"/>
    <x v="1"/>
    <n v="2"/>
    <n v="1400"/>
    <x v="1"/>
    <x v="1"/>
    <x v="9"/>
    <x v="7"/>
  </r>
  <r>
    <x v="2"/>
    <x v="2"/>
    <n v="2"/>
    <n v="8450"/>
    <x v="2"/>
    <x v="2"/>
    <x v="9"/>
    <x v="0"/>
  </r>
  <r>
    <x v="3"/>
    <x v="3"/>
    <n v="3"/>
    <n v="1350"/>
    <x v="3"/>
    <x v="3"/>
    <x v="9"/>
    <x v="3"/>
  </r>
  <r>
    <x v="0"/>
    <x v="4"/>
    <n v="2"/>
    <n v="2180"/>
    <x v="4"/>
    <x v="4"/>
    <x v="9"/>
    <x v="4"/>
  </r>
  <r>
    <x v="4"/>
    <x v="5"/>
    <n v="2"/>
    <n v="7600"/>
    <x v="5"/>
    <x v="5"/>
    <x v="9"/>
    <x v="11"/>
  </r>
  <r>
    <x v="1"/>
    <x v="6"/>
    <n v="2"/>
    <n v="7250"/>
    <x v="6"/>
    <x v="6"/>
    <x v="9"/>
    <x v="11"/>
  </r>
  <r>
    <x v="3"/>
    <x v="7"/>
    <n v="3"/>
    <n v="1100"/>
    <x v="7"/>
    <x v="7"/>
    <x v="9"/>
    <x v="1"/>
  </r>
  <r>
    <x v="5"/>
    <x v="0"/>
    <n v="2"/>
    <n v="6000"/>
    <x v="0"/>
    <x v="0"/>
    <x v="9"/>
    <x v="0"/>
  </r>
  <r>
    <x v="0"/>
    <x v="8"/>
    <n v="1"/>
    <n v="1200"/>
    <x v="8"/>
    <x v="8"/>
    <x v="9"/>
    <x v="3"/>
  </r>
  <r>
    <x v="6"/>
    <x v="9"/>
    <n v="2"/>
    <n v="1800"/>
    <x v="9"/>
    <x v="9"/>
    <x v="9"/>
    <x v="6"/>
  </r>
  <r>
    <x v="6"/>
    <x v="10"/>
    <n v="2"/>
    <n v="1090"/>
    <x v="10"/>
    <x v="10"/>
    <x v="9"/>
    <x v="3"/>
  </r>
  <r>
    <x v="5"/>
    <x v="4"/>
    <n v="3"/>
    <n v="2180"/>
    <x v="11"/>
    <x v="11"/>
    <x v="9"/>
    <x v="3"/>
  </r>
  <r>
    <x v="7"/>
    <x v="9"/>
    <n v="3"/>
    <n v="1800"/>
    <x v="12"/>
    <x v="12"/>
    <x v="9"/>
    <x v="3"/>
  </r>
  <r>
    <x v="4"/>
    <x v="11"/>
    <n v="3"/>
    <n v="8000"/>
    <x v="13"/>
    <x v="13"/>
    <x v="9"/>
    <x v="7"/>
  </r>
  <r>
    <x v="5"/>
    <x v="1"/>
    <n v="1"/>
    <n v="1400"/>
    <x v="14"/>
    <x v="14"/>
    <x v="9"/>
    <x v="5"/>
  </r>
  <r>
    <x v="8"/>
    <x v="12"/>
    <n v="1"/>
    <n v="10590"/>
    <x v="15"/>
    <x v="15"/>
    <x v="9"/>
    <x v="4"/>
  </r>
  <r>
    <x v="9"/>
    <x v="3"/>
    <n v="2"/>
    <n v="1350"/>
    <x v="16"/>
    <x v="16"/>
    <x v="9"/>
    <x v="7"/>
  </r>
  <r>
    <x v="6"/>
    <x v="1"/>
    <n v="2"/>
    <n v="1400"/>
    <x v="1"/>
    <x v="1"/>
    <x v="9"/>
    <x v="1"/>
  </r>
  <r>
    <x v="3"/>
    <x v="0"/>
    <n v="1"/>
    <n v="6000"/>
    <x v="17"/>
    <x v="9"/>
    <x v="9"/>
    <x v="6"/>
  </r>
  <r>
    <x v="8"/>
    <x v="7"/>
    <n v="2"/>
    <n v="1100"/>
    <x v="18"/>
    <x v="14"/>
    <x v="9"/>
    <x v="12"/>
  </r>
  <r>
    <x v="2"/>
    <x v="0"/>
    <n v="2"/>
    <n v="6000"/>
    <x v="0"/>
    <x v="0"/>
    <x v="9"/>
    <x v="3"/>
  </r>
  <r>
    <x v="9"/>
    <x v="13"/>
    <n v="1"/>
    <n v="1490"/>
    <x v="19"/>
    <x v="17"/>
    <x v="9"/>
    <x v="6"/>
  </r>
  <r>
    <x v="8"/>
    <x v="12"/>
    <n v="2"/>
    <n v="10590"/>
    <x v="20"/>
    <x v="18"/>
    <x v="9"/>
    <x v="1"/>
  </r>
  <r>
    <x v="2"/>
    <x v="11"/>
    <n v="3"/>
    <n v="8000"/>
    <x v="13"/>
    <x v="13"/>
    <x v="9"/>
    <x v="10"/>
  </r>
  <r>
    <x v="6"/>
    <x v="7"/>
    <n v="1"/>
    <n v="1100"/>
    <x v="21"/>
    <x v="19"/>
    <x v="9"/>
    <x v="11"/>
  </r>
  <r>
    <x v="9"/>
    <x v="8"/>
    <n v="1"/>
    <n v="1200"/>
    <x v="8"/>
    <x v="8"/>
    <x v="9"/>
    <x v="11"/>
  </r>
  <r>
    <x v="4"/>
    <x v="14"/>
    <n v="2"/>
    <n v="4200"/>
    <x v="22"/>
    <x v="20"/>
    <x v="9"/>
    <x v="4"/>
  </r>
  <r>
    <x v="1"/>
    <x v="15"/>
    <n v="3"/>
    <n v="5775"/>
    <x v="23"/>
    <x v="21"/>
    <x v="9"/>
    <x v="9"/>
  </r>
  <r>
    <x v="10"/>
    <x v="5"/>
    <n v="3"/>
    <n v="7600"/>
    <x v="24"/>
    <x v="22"/>
    <x v="9"/>
    <x v="10"/>
  </r>
  <r>
    <x v="1"/>
    <x v="6"/>
    <n v="3"/>
    <n v="7250"/>
    <x v="25"/>
    <x v="23"/>
    <x v="9"/>
    <x v="12"/>
  </r>
  <r>
    <x v="0"/>
    <x v="6"/>
    <n v="3"/>
    <n v="7250"/>
    <x v="25"/>
    <x v="23"/>
    <x v="9"/>
    <x v="11"/>
  </r>
  <r>
    <x v="8"/>
    <x v="6"/>
    <n v="3"/>
    <n v="7250"/>
    <x v="25"/>
    <x v="23"/>
    <x v="9"/>
    <x v="1"/>
  </r>
  <r>
    <x v="5"/>
    <x v="3"/>
    <n v="1"/>
    <n v="1350"/>
    <x v="26"/>
    <x v="24"/>
    <x v="9"/>
    <x v="8"/>
  </r>
  <r>
    <x v="1"/>
    <x v="6"/>
    <n v="2"/>
    <n v="7250"/>
    <x v="6"/>
    <x v="6"/>
    <x v="9"/>
    <x v="8"/>
  </r>
  <r>
    <x v="6"/>
    <x v="5"/>
    <n v="1"/>
    <n v="7600"/>
    <x v="27"/>
    <x v="25"/>
    <x v="9"/>
    <x v="6"/>
  </r>
  <r>
    <x v="11"/>
    <x v="5"/>
    <n v="3"/>
    <n v="7600"/>
    <x v="24"/>
    <x v="22"/>
    <x v="9"/>
    <x v="3"/>
  </r>
  <r>
    <x v="1"/>
    <x v="13"/>
    <n v="3"/>
    <n v="1490"/>
    <x v="28"/>
    <x v="26"/>
    <x v="9"/>
    <x v="4"/>
  </r>
  <r>
    <x v="5"/>
    <x v="16"/>
    <n v="2"/>
    <n v="2900"/>
    <x v="29"/>
    <x v="27"/>
    <x v="9"/>
    <x v="5"/>
  </r>
  <r>
    <x v="9"/>
    <x v="13"/>
    <n v="1"/>
    <n v="1490"/>
    <x v="19"/>
    <x v="17"/>
    <x v="9"/>
    <x v="11"/>
  </r>
  <r>
    <x v="9"/>
    <x v="10"/>
    <n v="2"/>
    <n v="1090"/>
    <x v="10"/>
    <x v="10"/>
    <x v="9"/>
    <x v="4"/>
  </r>
  <r>
    <x v="5"/>
    <x v="8"/>
    <n v="2"/>
    <n v="1200"/>
    <x v="30"/>
    <x v="28"/>
    <x v="9"/>
    <x v="11"/>
  </r>
  <r>
    <x v="8"/>
    <x v="12"/>
    <n v="2"/>
    <n v="10590"/>
    <x v="20"/>
    <x v="18"/>
    <x v="9"/>
    <x v="5"/>
  </r>
  <r>
    <x v="6"/>
    <x v="14"/>
    <n v="3"/>
    <n v="4200"/>
    <x v="31"/>
    <x v="29"/>
    <x v="9"/>
    <x v="7"/>
  </r>
  <r>
    <x v="3"/>
    <x v="14"/>
    <n v="3"/>
    <n v="4200"/>
    <x v="31"/>
    <x v="29"/>
    <x v="9"/>
    <x v="8"/>
  </r>
  <r>
    <x v="7"/>
    <x v="12"/>
    <n v="2"/>
    <n v="10590"/>
    <x v="20"/>
    <x v="18"/>
    <x v="9"/>
    <x v="0"/>
  </r>
  <r>
    <x v="11"/>
    <x v="17"/>
    <n v="1"/>
    <n v="1250"/>
    <x v="32"/>
    <x v="30"/>
    <x v="9"/>
    <x v="4"/>
  </r>
  <r>
    <x v="0"/>
    <x v="13"/>
    <n v="3"/>
    <n v="1490"/>
    <x v="28"/>
    <x v="26"/>
    <x v="9"/>
    <x v="3"/>
  </r>
  <r>
    <x v="6"/>
    <x v="8"/>
    <n v="2"/>
    <n v="1200"/>
    <x v="30"/>
    <x v="28"/>
    <x v="9"/>
    <x v="0"/>
  </r>
  <r>
    <x v="2"/>
    <x v="4"/>
    <n v="3"/>
    <n v="2180"/>
    <x v="11"/>
    <x v="11"/>
    <x v="9"/>
    <x v="11"/>
  </r>
  <r>
    <x v="9"/>
    <x v="18"/>
    <n v="3"/>
    <n v="1200"/>
    <x v="9"/>
    <x v="1"/>
    <x v="9"/>
    <x v="3"/>
  </r>
  <r>
    <x v="0"/>
    <x v="9"/>
    <n v="1"/>
    <n v="1800"/>
    <x v="33"/>
    <x v="31"/>
    <x v="9"/>
    <x v="9"/>
  </r>
  <r>
    <x v="2"/>
    <x v="5"/>
    <n v="1"/>
    <n v="7600"/>
    <x v="27"/>
    <x v="25"/>
    <x v="9"/>
    <x v="10"/>
  </r>
  <r>
    <x v="7"/>
    <x v="19"/>
    <n v="1"/>
    <n v="7530"/>
    <x v="34"/>
    <x v="32"/>
    <x v="9"/>
    <x v="10"/>
  </r>
  <r>
    <x v="11"/>
    <x v="13"/>
    <n v="2"/>
    <n v="1490"/>
    <x v="35"/>
    <x v="33"/>
    <x v="9"/>
    <x v="10"/>
  </r>
  <r>
    <x v="0"/>
    <x v="20"/>
    <n v="1"/>
    <n v="5300"/>
    <x v="36"/>
    <x v="34"/>
    <x v="9"/>
    <x v="5"/>
  </r>
  <r>
    <x v="4"/>
    <x v="8"/>
    <n v="2"/>
    <n v="1200"/>
    <x v="30"/>
    <x v="28"/>
    <x v="9"/>
    <x v="9"/>
  </r>
  <r>
    <x v="9"/>
    <x v="10"/>
    <n v="1"/>
    <n v="1090"/>
    <x v="37"/>
    <x v="35"/>
    <x v="9"/>
    <x v="10"/>
  </r>
  <r>
    <x v="4"/>
    <x v="6"/>
    <n v="1"/>
    <n v="7250"/>
    <x v="38"/>
    <x v="36"/>
    <x v="9"/>
    <x v="7"/>
  </r>
  <r>
    <x v="10"/>
    <x v="1"/>
    <n v="3"/>
    <n v="1400"/>
    <x v="39"/>
    <x v="27"/>
    <x v="9"/>
    <x v="7"/>
  </r>
  <r>
    <x v="2"/>
    <x v="21"/>
    <n v="1"/>
    <n v="1500"/>
    <x v="40"/>
    <x v="37"/>
    <x v="9"/>
    <x v="10"/>
  </r>
  <r>
    <x v="7"/>
    <x v="3"/>
    <n v="1"/>
    <n v="1350"/>
    <x v="26"/>
    <x v="24"/>
    <x v="9"/>
    <x v="3"/>
  </r>
  <r>
    <x v="7"/>
    <x v="8"/>
    <n v="3"/>
    <n v="1200"/>
    <x v="9"/>
    <x v="1"/>
    <x v="9"/>
    <x v="9"/>
  </r>
  <r>
    <x v="1"/>
    <x v="19"/>
    <n v="3"/>
    <n v="7530"/>
    <x v="41"/>
    <x v="15"/>
    <x v="9"/>
    <x v="10"/>
  </r>
  <r>
    <x v="10"/>
    <x v="8"/>
    <n v="1"/>
    <n v="1200"/>
    <x v="8"/>
    <x v="8"/>
    <x v="9"/>
    <x v="10"/>
  </r>
  <r>
    <x v="8"/>
    <x v="9"/>
    <n v="3"/>
    <n v="1800"/>
    <x v="12"/>
    <x v="12"/>
    <x v="9"/>
    <x v="4"/>
  </r>
  <r>
    <x v="0"/>
    <x v="6"/>
    <n v="1"/>
    <n v="7250"/>
    <x v="38"/>
    <x v="36"/>
    <x v="9"/>
    <x v="2"/>
  </r>
  <r>
    <x v="9"/>
    <x v="13"/>
    <n v="3"/>
    <n v="1490"/>
    <x v="28"/>
    <x v="26"/>
    <x v="9"/>
    <x v="4"/>
  </r>
  <r>
    <x v="9"/>
    <x v="18"/>
    <n v="1"/>
    <n v="1200"/>
    <x v="8"/>
    <x v="8"/>
    <x v="9"/>
    <x v="1"/>
  </r>
  <r>
    <x v="1"/>
    <x v="11"/>
    <n v="1"/>
    <n v="8000"/>
    <x v="42"/>
    <x v="9"/>
    <x v="9"/>
    <x v="8"/>
  </r>
  <r>
    <x v="6"/>
    <x v="1"/>
    <n v="1"/>
    <n v="1400"/>
    <x v="14"/>
    <x v="14"/>
    <x v="9"/>
    <x v="5"/>
  </r>
  <r>
    <x v="5"/>
    <x v="3"/>
    <n v="1"/>
    <n v="1350"/>
    <x v="26"/>
    <x v="24"/>
    <x v="9"/>
    <x v="4"/>
  </r>
  <r>
    <x v="8"/>
    <x v="18"/>
    <n v="1"/>
    <n v="1200"/>
    <x v="8"/>
    <x v="8"/>
    <x v="9"/>
    <x v="9"/>
  </r>
  <r>
    <x v="6"/>
    <x v="20"/>
    <n v="1"/>
    <n v="5300"/>
    <x v="36"/>
    <x v="34"/>
    <x v="9"/>
    <x v="4"/>
  </r>
  <r>
    <x v="9"/>
    <x v="12"/>
    <n v="3"/>
    <n v="10590"/>
    <x v="43"/>
    <x v="38"/>
    <x v="9"/>
    <x v="5"/>
  </r>
  <r>
    <x v="4"/>
    <x v="17"/>
    <n v="1"/>
    <n v="1250"/>
    <x v="32"/>
    <x v="30"/>
    <x v="9"/>
    <x v="8"/>
  </r>
  <r>
    <x v="11"/>
    <x v="18"/>
    <n v="1"/>
    <n v="1200"/>
    <x v="8"/>
    <x v="8"/>
    <x v="9"/>
    <x v="3"/>
  </r>
  <r>
    <x v="4"/>
    <x v="1"/>
    <n v="3"/>
    <n v="1400"/>
    <x v="39"/>
    <x v="27"/>
    <x v="9"/>
    <x v="7"/>
  </r>
  <r>
    <x v="11"/>
    <x v="19"/>
    <n v="2"/>
    <n v="7530"/>
    <x v="44"/>
    <x v="39"/>
    <x v="9"/>
    <x v="5"/>
  </r>
  <r>
    <x v="6"/>
    <x v="5"/>
    <n v="1"/>
    <n v="7600"/>
    <x v="27"/>
    <x v="25"/>
    <x v="9"/>
    <x v="5"/>
  </r>
  <r>
    <x v="11"/>
    <x v="21"/>
    <n v="1"/>
    <n v="1500"/>
    <x v="40"/>
    <x v="37"/>
    <x v="9"/>
    <x v="12"/>
  </r>
  <r>
    <x v="9"/>
    <x v="4"/>
    <n v="2"/>
    <n v="2180"/>
    <x v="4"/>
    <x v="4"/>
    <x v="9"/>
    <x v="7"/>
  </r>
  <r>
    <x v="3"/>
    <x v="4"/>
    <n v="1"/>
    <n v="2180"/>
    <x v="10"/>
    <x v="40"/>
    <x v="9"/>
    <x v="6"/>
  </r>
  <r>
    <x v="9"/>
    <x v="15"/>
    <n v="1"/>
    <n v="5775"/>
    <x v="45"/>
    <x v="41"/>
    <x v="9"/>
    <x v="2"/>
  </r>
  <r>
    <x v="9"/>
    <x v="7"/>
    <n v="3"/>
    <n v="1100"/>
    <x v="7"/>
    <x v="7"/>
    <x v="9"/>
    <x v="4"/>
  </r>
  <r>
    <x v="10"/>
    <x v="15"/>
    <n v="1"/>
    <n v="5775"/>
    <x v="45"/>
    <x v="41"/>
    <x v="9"/>
    <x v="10"/>
  </r>
  <r>
    <x v="7"/>
    <x v="3"/>
    <n v="1"/>
    <n v="1350"/>
    <x v="26"/>
    <x v="24"/>
    <x v="9"/>
    <x v="12"/>
  </r>
  <r>
    <x v="0"/>
    <x v="5"/>
    <n v="3"/>
    <n v="7600"/>
    <x v="24"/>
    <x v="22"/>
    <x v="9"/>
    <x v="9"/>
  </r>
  <r>
    <x v="2"/>
    <x v="6"/>
    <n v="3"/>
    <n v="7250"/>
    <x v="25"/>
    <x v="23"/>
    <x v="9"/>
    <x v="5"/>
  </r>
  <r>
    <x v="11"/>
    <x v="13"/>
    <n v="2"/>
    <n v="1490"/>
    <x v="35"/>
    <x v="33"/>
    <x v="9"/>
    <x v="1"/>
  </r>
  <r>
    <x v="3"/>
    <x v="13"/>
    <n v="2"/>
    <n v="1490"/>
    <x v="35"/>
    <x v="33"/>
    <x v="9"/>
    <x v="0"/>
  </r>
  <r>
    <x v="8"/>
    <x v="10"/>
    <n v="2"/>
    <n v="1090"/>
    <x v="10"/>
    <x v="10"/>
    <x v="9"/>
    <x v="11"/>
  </r>
  <r>
    <x v="8"/>
    <x v="8"/>
    <n v="3"/>
    <n v="1200"/>
    <x v="9"/>
    <x v="1"/>
    <x v="9"/>
    <x v="10"/>
  </r>
  <r>
    <x v="11"/>
    <x v="10"/>
    <n v="2"/>
    <n v="1090"/>
    <x v="10"/>
    <x v="10"/>
    <x v="9"/>
    <x v="9"/>
  </r>
  <r>
    <x v="11"/>
    <x v="4"/>
    <n v="3"/>
    <n v="2180"/>
    <x v="11"/>
    <x v="11"/>
    <x v="9"/>
    <x v="11"/>
  </r>
  <r>
    <x v="2"/>
    <x v="20"/>
    <n v="3"/>
    <n v="5300"/>
    <x v="46"/>
    <x v="42"/>
    <x v="9"/>
    <x v="10"/>
  </r>
  <r>
    <x v="11"/>
    <x v="20"/>
    <n v="2"/>
    <n v="5300"/>
    <x v="47"/>
    <x v="43"/>
    <x v="9"/>
    <x v="10"/>
  </r>
  <r>
    <x v="5"/>
    <x v="6"/>
    <n v="2"/>
    <n v="7250"/>
    <x v="6"/>
    <x v="6"/>
    <x v="9"/>
    <x v="6"/>
  </r>
  <r>
    <x v="5"/>
    <x v="18"/>
    <n v="3"/>
    <n v="1200"/>
    <x v="9"/>
    <x v="1"/>
    <x v="9"/>
    <x v="9"/>
  </r>
  <r>
    <x v="3"/>
    <x v="0"/>
    <n v="1"/>
    <n v="6000"/>
    <x v="17"/>
    <x v="9"/>
    <x v="9"/>
    <x v="4"/>
  </r>
  <r>
    <x v="2"/>
    <x v="2"/>
    <n v="3"/>
    <n v="8450"/>
    <x v="48"/>
    <x v="44"/>
    <x v="9"/>
    <x v="9"/>
  </r>
  <r>
    <x v="6"/>
    <x v="14"/>
    <n v="1"/>
    <n v="4200"/>
    <x v="39"/>
    <x v="1"/>
    <x v="9"/>
    <x v="5"/>
  </r>
  <r>
    <x v="6"/>
    <x v="12"/>
    <n v="3"/>
    <n v="10590"/>
    <x v="43"/>
    <x v="38"/>
    <x v="9"/>
    <x v="0"/>
  </r>
  <r>
    <x v="5"/>
    <x v="18"/>
    <n v="1"/>
    <n v="1200"/>
    <x v="8"/>
    <x v="8"/>
    <x v="9"/>
    <x v="3"/>
  </r>
  <r>
    <x v="10"/>
    <x v="7"/>
    <n v="2"/>
    <n v="1100"/>
    <x v="18"/>
    <x v="14"/>
    <x v="9"/>
    <x v="11"/>
  </r>
  <r>
    <x v="9"/>
    <x v="22"/>
    <n v="2"/>
    <n v="3700"/>
    <x v="49"/>
    <x v="45"/>
    <x v="9"/>
    <x v="4"/>
  </r>
  <r>
    <x v="1"/>
    <x v="22"/>
    <n v="1"/>
    <n v="3700"/>
    <x v="50"/>
    <x v="37"/>
    <x v="9"/>
    <x v="5"/>
  </r>
  <r>
    <x v="6"/>
    <x v="7"/>
    <n v="3"/>
    <n v="1100"/>
    <x v="7"/>
    <x v="7"/>
    <x v="10"/>
    <x v="7"/>
  </r>
  <r>
    <x v="5"/>
    <x v="22"/>
    <n v="1"/>
    <n v="3700"/>
    <x v="50"/>
    <x v="37"/>
    <x v="10"/>
    <x v="7"/>
  </r>
  <r>
    <x v="10"/>
    <x v="13"/>
    <n v="1"/>
    <n v="1490"/>
    <x v="19"/>
    <x v="17"/>
    <x v="10"/>
    <x v="6"/>
  </r>
  <r>
    <x v="9"/>
    <x v="21"/>
    <n v="1"/>
    <n v="1500"/>
    <x v="40"/>
    <x v="37"/>
    <x v="10"/>
    <x v="4"/>
  </r>
  <r>
    <x v="8"/>
    <x v="10"/>
    <n v="2"/>
    <n v="1090"/>
    <x v="10"/>
    <x v="10"/>
    <x v="10"/>
    <x v="10"/>
  </r>
  <r>
    <x v="10"/>
    <x v="9"/>
    <n v="3"/>
    <n v="1800"/>
    <x v="12"/>
    <x v="12"/>
    <x v="10"/>
    <x v="8"/>
  </r>
  <r>
    <x v="7"/>
    <x v="19"/>
    <n v="2"/>
    <n v="7530"/>
    <x v="44"/>
    <x v="39"/>
    <x v="10"/>
    <x v="0"/>
  </r>
  <r>
    <x v="6"/>
    <x v="7"/>
    <n v="3"/>
    <n v="1100"/>
    <x v="7"/>
    <x v="7"/>
    <x v="10"/>
    <x v="7"/>
  </r>
  <r>
    <x v="9"/>
    <x v="3"/>
    <n v="3"/>
    <n v="1350"/>
    <x v="3"/>
    <x v="3"/>
    <x v="10"/>
    <x v="6"/>
  </r>
  <r>
    <x v="8"/>
    <x v="3"/>
    <n v="1"/>
    <n v="1350"/>
    <x v="26"/>
    <x v="24"/>
    <x v="10"/>
    <x v="6"/>
  </r>
  <r>
    <x v="7"/>
    <x v="8"/>
    <n v="2"/>
    <n v="1090"/>
    <x v="10"/>
    <x v="10"/>
    <x v="10"/>
    <x v="7"/>
  </r>
  <r>
    <x v="7"/>
    <x v="14"/>
    <n v="1"/>
    <n v="4200"/>
    <x v="39"/>
    <x v="1"/>
    <x v="10"/>
    <x v="9"/>
  </r>
  <r>
    <x v="9"/>
    <x v="9"/>
    <n v="2"/>
    <n v="1800"/>
    <x v="9"/>
    <x v="9"/>
    <x v="10"/>
    <x v="11"/>
  </r>
  <r>
    <x v="11"/>
    <x v="10"/>
    <n v="1"/>
    <n v="1090"/>
    <x v="37"/>
    <x v="35"/>
    <x v="10"/>
    <x v="8"/>
  </r>
  <r>
    <x v="0"/>
    <x v="5"/>
    <n v="1"/>
    <n v="7600"/>
    <x v="27"/>
    <x v="25"/>
    <x v="10"/>
    <x v="6"/>
  </r>
  <r>
    <x v="8"/>
    <x v="5"/>
    <n v="3"/>
    <n v="7600"/>
    <x v="24"/>
    <x v="22"/>
    <x v="10"/>
    <x v="8"/>
  </r>
  <r>
    <x v="2"/>
    <x v="22"/>
    <n v="1"/>
    <n v="3700"/>
    <x v="50"/>
    <x v="37"/>
    <x v="10"/>
    <x v="0"/>
  </r>
  <r>
    <x v="4"/>
    <x v="6"/>
    <n v="3"/>
    <n v="7250"/>
    <x v="25"/>
    <x v="23"/>
    <x v="10"/>
    <x v="12"/>
  </r>
  <r>
    <x v="1"/>
    <x v="5"/>
    <n v="3"/>
    <n v="7600"/>
    <x v="24"/>
    <x v="22"/>
    <x v="10"/>
    <x v="0"/>
  </r>
  <r>
    <x v="10"/>
    <x v="14"/>
    <n v="1"/>
    <n v="4200"/>
    <x v="39"/>
    <x v="1"/>
    <x v="10"/>
    <x v="7"/>
  </r>
  <r>
    <x v="6"/>
    <x v="17"/>
    <n v="3"/>
    <n v="1250"/>
    <x v="51"/>
    <x v="46"/>
    <x v="10"/>
    <x v="0"/>
  </r>
  <r>
    <x v="8"/>
    <x v="10"/>
    <n v="1"/>
    <n v="1090"/>
    <x v="37"/>
    <x v="35"/>
    <x v="10"/>
    <x v="0"/>
  </r>
  <r>
    <x v="3"/>
    <x v="12"/>
    <n v="1"/>
    <n v="2180"/>
    <x v="10"/>
    <x v="40"/>
    <x v="10"/>
    <x v="6"/>
  </r>
  <r>
    <x v="11"/>
    <x v="22"/>
    <n v="2"/>
    <n v="3700"/>
    <x v="49"/>
    <x v="45"/>
    <x v="10"/>
    <x v="5"/>
  </r>
  <r>
    <x v="9"/>
    <x v="0"/>
    <n v="2"/>
    <n v="6000"/>
    <x v="0"/>
    <x v="0"/>
    <x v="10"/>
    <x v="4"/>
  </r>
  <r>
    <x v="10"/>
    <x v="17"/>
    <n v="2"/>
    <n v="1250"/>
    <x v="52"/>
    <x v="7"/>
    <x v="10"/>
    <x v="8"/>
  </r>
  <r>
    <x v="11"/>
    <x v="5"/>
    <n v="1"/>
    <n v="7600"/>
    <x v="27"/>
    <x v="25"/>
    <x v="10"/>
    <x v="7"/>
  </r>
  <r>
    <x v="0"/>
    <x v="1"/>
    <n v="2"/>
    <n v="1400"/>
    <x v="1"/>
    <x v="1"/>
    <x v="10"/>
    <x v="4"/>
  </r>
  <r>
    <x v="4"/>
    <x v="4"/>
    <n v="2"/>
    <n v="2180"/>
    <x v="4"/>
    <x v="4"/>
    <x v="10"/>
    <x v="12"/>
  </r>
  <r>
    <x v="0"/>
    <x v="9"/>
    <n v="3"/>
    <n v="1800"/>
    <x v="12"/>
    <x v="12"/>
    <x v="10"/>
    <x v="8"/>
  </r>
  <r>
    <x v="2"/>
    <x v="21"/>
    <n v="1"/>
    <n v="1500"/>
    <x v="40"/>
    <x v="37"/>
    <x v="10"/>
    <x v="7"/>
  </r>
  <r>
    <x v="6"/>
    <x v="2"/>
    <n v="3"/>
    <n v="8450"/>
    <x v="48"/>
    <x v="44"/>
    <x v="10"/>
    <x v="10"/>
  </r>
  <r>
    <x v="9"/>
    <x v="21"/>
    <n v="3"/>
    <n v="1500"/>
    <x v="53"/>
    <x v="47"/>
    <x v="10"/>
    <x v="2"/>
  </r>
  <r>
    <x v="5"/>
    <x v="0"/>
    <n v="3"/>
    <n v="6000"/>
    <x v="54"/>
    <x v="13"/>
    <x v="10"/>
    <x v="1"/>
  </r>
  <r>
    <x v="11"/>
    <x v="18"/>
    <n v="1"/>
    <n v="1200"/>
    <x v="8"/>
    <x v="8"/>
    <x v="10"/>
    <x v="2"/>
  </r>
  <r>
    <x v="0"/>
    <x v="14"/>
    <n v="3"/>
    <n v="4200"/>
    <x v="31"/>
    <x v="29"/>
    <x v="10"/>
    <x v="11"/>
  </r>
  <r>
    <x v="10"/>
    <x v="5"/>
    <n v="3"/>
    <n v="7600"/>
    <x v="24"/>
    <x v="22"/>
    <x v="10"/>
    <x v="6"/>
  </r>
  <r>
    <x v="5"/>
    <x v="15"/>
    <n v="2"/>
    <n v="7250"/>
    <x v="6"/>
    <x v="6"/>
    <x v="10"/>
    <x v="8"/>
  </r>
  <r>
    <x v="1"/>
    <x v="19"/>
    <n v="2"/>
    <n v="7530"/>
    <x v="44"/>
    <x v="39"/>
    <x v="10"/>
    <x v="9"/>
  </r>
  <r>
    <x v="2"/>
    <x v="6"/>
    <n v="2"/>
    <n v="7250"/>
    <x v="6"/>
    <x v="6"/>
    <x v="10"/>
    <x v="2"/>
  </r>
  <r>
    <x v="1"/>
    <x v="0"/>
    <n v="1"/>
    <n v="6000"/>
    <x v="17"/>
    <x v="9"/>
    <x v="10"/>
    <x v="5"/>
  </r>
  <r>
    <x v="5"/>
    <x v="18"/>
    <n v="3"/>
    <n v="1200"/>
    <x v="9"/>
    <x v="1"/>
    <x v="10"/>
    <x v="11"/>
  </r>
  <r>
    <x v="11"/>
    <x v="20"/>
    <n v="2"/>
    <n v="5300"/>
    <x v="47"/>
    <x v="43"/>
    <x v="10"/>
    <x v="12"/>
  </r>
  <r>
    <x v="8"/>
    <x v="2"/>
    <n v="2"/>
    <n v="8450"/>
    <x v="2"/>
    <x v="2"/>
    <x v="10"/>
    <x v="12"/>
  </r>
  <r>
    <x v="4"/>
    <x v="3"/>
    <n v="1"/>
    <n v="1350"/>
    <x v="26"/>
    <x v="24"/>
    <x v="10"/>
    <x v="3"/>
  </r>
  <r>
    <x v="6"/>
    <x v="10"/>
    <n v="1"/>
    <n v="1090"/>
    <x v="37"/>
    <x v="35"/>
    <x v="10"/>
    <x v="4"/>
  </r>
  <r>
    <x v="4"/>
    <x v="4"/>
    <n v="1"/>
    <n v="2180"/>
    <x v="10"/>
    <x v="40"/>
    <x v="10"/>
    <x v="6"/>
  </r>
  <r>
    <x v="1"/>
    <x v="22"/>
    <n v="1"/>
    <n v="3700"/>
    <x v="50"/>
    <x v="37"/>
    <x v="10"/>
    <x v="0"/>
  </r>
  <r>
    <x v="6"/>
    <x v="7"/>
    <n v="3"/>
    <n v="1100"/>
    <x v="7"/>
    <x v="7"/>
    <x v="10"/>
    <x v="2"/>
  </r>
  <r>
    <x v="5"/>
    <x v="22"/>
    <n v="1"/>
    <n v="3700"/>
    <x v="50"/>
    <x v="37"/>
    <x v="10"/>
    <x v="4"/>
  </r>
  <r>
    <x v="10"/>
    <x v="13"/>
    <n v="1"/>
    <n v="1490"/>
    <x v="19"/>
    <x v="17"/>
    <x v="10"/>
    <x v="1"/>
  </r>
  <r>
    <x v="9"/>
    <x v="21"/>
    <n v="1"/>
    <n v="1500"/>
    <x v="40"/>
    <x v="37"/>
    <x v="10"/>
    <x v="11"/>
  </r>
  <r>
    <x v="8"/>
    <x v="10"/>
    <n v="2"/>
    <n v="1090"/>
    <x v="10"/>
    <x v="10"/>
    <x v="10"/>
    <x v="10"/>
  </r>
  <r>
    <x v="10"/>
    <x v="11"/>
    <n v="3"/>
    <n v="1800"/>
    <x v="12"/>
    <x v="12"/>
    <x v="10"/>
    <x v="7"/>
  </r>
  <r>
    <x v="7"/>
    <x v="19"/>
    <n v="2"/>
    <n v="7530"/>
    <x v="44"/>
    <x v="39"/>
    <x v="10"/>
    <x v="5"/>
  </r>
  <r>
    <x v="6"/>
    <x v="7"/>
    <n v="3"/>
    <n v="1100"/>
    <x v="7"/>
    <x v="7"/>
    <x v="10"/>
    <x v="5"/>
  </r>
  <r>
    <x v="9"/>
    <x v="3"/>
    <n v="3"/>
    <n v="1350"/>
    <x v="3"/>
    <x v="3"/>
    <x v="10"/>
    <x v="4"/>
  </r>
  <r>
    <x v="8"/>
    <x v="3"/>
    <n v="1"/>
    <n v="1350"/>
    <x v="26"/>
    <x v="24"/>
    <x v="10"/>
    <x v="4"/>
  </r>
  <r>
    <x v="7"/>
    <x v="10"/>
    <n v="2"/>
    <n v="1090"/>
    <x v="10"/>
    <x v="10"/>
    <x v="10"/>
    <x v="5"/>
  </r>
  <r>
    <x v="7"/>
    <x v="14"/>
    <n v="1"/>
    <n v="4200"/>
    <x v="39"/>
    <x v="1"/>
    <x v="10"/>
    <x v="6"/>
  </r>
  <r>
    <x v="9"/>
    <x v="9"/>
    <n v="2"/>
    <n v="1800"/>
    <x v="9"/>
    <x v="9"/>
    <x v="10"/>
    <x v="9"/>
  </r>
  <r>
    <x v="11"/>
    <x v="10"/>
    <n v="1"/>
    <n v="1090"/>
    <x v="37"/>
    <x v="35"/>
    <x v="10"/>
    <x v="2"/>
  </r>
  <r>
    <x v="0"/>
    <x v="5"/>
    <n v="1"/>
    <n v="7600"/>
    <x v="27"/>
    <x v="25"/>
    <x v="10"/>
    <x v="10"/>
  </r>
  <r>
    <x v="8"/>
    <x v="5"/>
    <n v="3"/>
    <n v="7600"/>
    <x v="24"/>
    <x v="22"/>
    <x v="10"/>
    <x v="10"/>
  </r>
  <r>
    <x v="2"/>
    <x v="22"/>
    <n v="1"/>
    <n v="3700"/>
    <x v="50"/>
    <x v="37"/>
    <x v="10"/>
    <x v="3"/>
  </r>
  <r>
    <x v="4"/>
    <x v="6"/>
    <n v="3"/>
    <n v="7250"/>
    <x v="25"/>
    <x v="23"/>
    <x v="10"/>
    <x v="9"/>
  </r>
  <r>
    <x v="1"/>
    <x v="5"/>
    <n v="3"/>
    <n v="7600"/>
    <x v="24"/>
    <x v="22"/>
    <x v="10"/>
    <x v="9"/>
  </r>
  <r>
    <x v="10"/>
    <x v="14"/>
    <n v="1"/>
    <n v="4200"/>
    <x v="39"/>
    <x v="1"/>
    <x v="10"/>
    <x v="7"/>
  </r>
  <r>
    <x v="6"/>
    <x v="17"/>
    <n v="3"/>
    <n v="1250"/>
    <x v="51"/>
    <x v="46"/>
    <x v="10"/>
    <x v="6"/>
  </r>
  <r>
    <x v="8"/>
    <x v="10"/>
    <n v="1"/>
    <n v="1090"/>
    <x v="37"/>
    <x v="35"/>
    <x v="10"/>
    <x v="6"/>
  </r>
  <r>
    <x v="3"/>
    <x v="4"/>
    <n v="1"/>
    <n v="2180"/>
    <x v="10"/>
    <x v="40"/>
    <x v="10"/>
    <x v="7"/>
  </r>
  <r>
    <x v="11"/>
    <x v="22"/>
    <n v="2"/>
    <n v="3700"/>
    <x v="49"/>
    <x v="45"/>
    <x v="10"/>
    <x v="2"/>
  </r>
  <r>
    <x v="9"/>
    <x v="0"/>
    <n v="2"/>
    <n v="6000"/>
    <x v="0"/>
    <x v="0"/>
    <x v="10"/>
    <x v="6"/>
  </r>
  <r>
    <x v="10"/>
    <x v="17"/>
    <n v="2"/>
    <n v="1250"/>
    <x v="52"/>
    <x v="7"/>
    <x v="10"/>
    <x v="4"/>
  </r>
  <r>
    <x v="11"/>
    <x v="5"/>
    <n v="1"/>
    <n v="7600"/>
    <x v="27"/>
    <x v="25"/>
    <x v="10"/>
    <x v="9"/>
  </r>
  <r>
    <x v="0"/>
    <x v="1"/>
    <n v="2"/>
    <n v="1400"/>
    <x v="1"/>
    <x v="1"/>
    <x v="10"/>
    <x v="5"/>
  </r>
  <r>
    <x v="4"/>
    <x v="4"/>
    <n v="2"/>
    <n v="2180"/>
    <x v="4"/>
    <x v="4"/>
    <x v="10"/>
    <x v="1"/>
  </r>
  <r>
    <x v="0"/>
    <x v="9"/>
    <n v="3"/>
    <n v="1800"/>
    <x v="12"/>
    <x v="12"/>
    <x v="10"/>
    <x v="9"/>
  </r>
  <r>
    <x v="2"/>
    <x v="21"/>
    <n v="1"/>
    <n v="1500"/>
    <x v="40"/>
    <x v="37"/>
    <x v="10"/>
    <x v="2"/>
  </r>
  <r>
    <x v="6"/>
    <x v="2"/>
    <n v="3"/>
    <n v="8450"/>
    <x v="48"/>
    <x v="44"/>
    <x v="10"/>
    <x v="5"/>
  </r>
  <r>
    <x v="9"/>
    <x v="21"/>
    <n v="3"/>
    <n v="1500"/>
    <x v="53"/>
    <x v="47"/>
    <x v="10"/>
    <x v="1"/>
  </r>
  <r>
    <x v="5"/>
    <x v="0"/>
    <n v="3"/>
    <n v="6000"/>
    <x v="54"/>
    <x v="13"/>
    <x v="10"/>
    <x v="4"/>
  </r>
  <r>
    <x v="11"/>
    <x v="18"/>
    <n v="1"/>
    <n v="1200"/>
    <x v="8"/>
    <x v="8"/>
    <x v="10"/>
    <x v="11"/>
  </r>
  <r>
    <x v="0"/>
    <x v="14"/>
    <n v="3"/>
    <n v="4200"/>
    <x v="31"/>
    <x v="29"/>
    <x v="10"/>
    <x v="2"/>
  </r>
  <r>
    <x v="10"/>
    <x v="5"/>
    <n v="3"/>
    <n v="7600"/>
    <x v="24"/>
    <x v="22"/>
    <x v="10"/>
    <x v="10"/>
  </r>
  <r>
    <x v="5"/>
    <x v="6"/>
    <n v="2"/>
    <n v="7250"/>
    <x v="6"/>
    <x v="6"/>
    <x v="10"/>
    <x v="12"/>
  </r>
  <r>
    <x v="1"/>
    <x v="19"/>
    <n v="2"/>
    <n v="7530"/>
    <x v="44"/>
    <x v="39"/>
    <x v="10"/>
    <x v="0"/>
  </r>
  <r>
    <x v="2"/>
    <x v="6"/>
    <n v="2"/>
    <n v="7250"/>
    <x v="6"/>
    <x v="6"/>
    <x v="10"/>
    <x v="2"/>
  </r>
  <r>
    <x v="1"/>
    <x v="0"/>
    <n v="1"/>
    <n v="6000"/>
    <x v="17"/>
    <x v="9"/>
    <x v="10"/>
    <x v="6"/>
  </r>
  <r>
    <x v="5"/>
    <x v="18"/>
    <n v="3"/>
    <n v="1200"/>
    <x v="9"/>
    <x v="1"/>
    <x v="10"/>
    <x v="8"/>
  </r>
  <r>
    <x v="11"/>
    <x v="20"/>
    <n v="2"/>
    <n v="5300"/>
    <x v="47"/>
    <x v="43"/>
    <x v="10"/>
    <x v="8"/>
  </r>
  <r>
    <x v="8"/>
    <x v="2"/>
    <n v="2"/>
    <n v="8450"/>
    <x v="2"/>
    <x v="2"/>
    <x v="10"/>
    <x v="10"/>
  </r>
  <r>
    <x v="4"/>
    <x v="3"/>
    <n v="1"/>
    <n v="1350"/>
    <x v="26"/>
    <x v="24"/>
    <x v="10"/>
    <x v="2"/>
  </r>
  <r>
    <x v="6"/>
    <x v="10"/>
    <n v="1"/>
    <n v="1090"/>
    <x v="37"/>
    <x v="35"/>
    <x v="10"/>
    <x v="7"/>
  </r>
  <r>
    <x v="4"/>
    <x v="4"/>
    <n v="1"/>
    <n v="2180"/>
    <x v="10"/>
    <x v="40"/>
    <x v="10"/>
    <x v="12"/>
  </r>
  <r>
    <x v="0"/>
    <x v="0"/>
    <n v="2"/>
    <n v="6000"/>
    <x v="0"/>
    <x v="0"/>
    <x v="10"/>
    <x v="1"/>
  </r>
  <r>
    <x v="1"/>
    <x v="1"/>
    <n v="2"/>
    <n v="1400"/>
    <x v="1"/>
    <x v="1"/>
    <x v="10"/>
    <x v="9"/>
  </r>
  <r>
    <x v="2"/>
    <x v="2"/>
    <n v="2"/>
    <n v="8450"/>
    <x v="2"/>
    <x v="2"/>
    <x v="10"/>
    <x v="1"/>
  </r>
  <r>
    <x v="3"/>
    <x v="3"/>
    <n v="3"/>
    <n v="1350"/>
    <x v="3"/>
    <x v="3"/>
    <x v="10"/>
    <x v="2"/>
  </r>
  <r>
    <x v="0"/>
    <x v="4"/>
    <n v="2"/>
    <n v="2180"/>
    <x v="4"/>
    <x v="4"/>
    <x v="10"/>
    <x v="5"/>
  </r>
  <r>
    <x v="4"/>
    <x v="5"/>
    <n v="2"/>
    <n v="7600"/>
    <x v="5"/>
    <x v="5"/>
    <x v="10"/>
    <x v="8"/>
  </r>
  <r>
    <x v="1"/>
    <x v="6"/>
    <n v="2"/>
    <n v="7250"/>
    <x v="6"/>
    <x v="6"/>
    <x v="10"/>
    <x v="3"/>
  </r>
  <r>
    <x v="3"/>
    <x v="7"/>
    <n v="3"/>
    <n v="1100"/>
    <x v="7"/>
    <x v="7"/>
    <x v="10"/>
    <x v="5"/>
  </r>
  <r>
    <x v="5"/>
    <x v="0"/>
    <n v="2"/>
    <n v="6000"/>
    <x v="0"/>
    <x v="0"/>
    <x v="11"/>
    <x v="7"/>
  </r>
  <r>
    <x v="0"/>
    <x v="8"/>
    <n v="1"/>
    <n v="1200"/>
    <x v="8"/>
    <x v="8"/>
    <x v="11"/>
    <x v="10"/>
  </r>
  <r>
    <x v="6"/>
    <x v="9"/>
    <n v="2"/>
    <n v="1800"/>
    <x v="9"/>
    <x v="9"/>
    <x v="11"/>
    <x v="11"/>
  </r>
  <r>
    <x v="6"/>
    <x v="10"/>
    <n v="2"/>
    <n v="1090"/>
    <x v="10"/>
    <x v="10"/>
    <x v="11"/>
    <x v="0"/>
  </r>
  <r>
    <x v="5"/>
    <x v="4"/>
    <n v="3"/>
    <n v="2180"/>
    <x v="11"/>
    <x v="11"/>
    <x v="11"/>
    <x v="7"/>
  </r>
  <r>
    <x v="7"/>
    <x v="9"/>
    <n v="3"/>
    <n v="1800"/>
    <x v="12"/>
    <x v="12"/>
    <x v="11"/>
    <x v="8"/>
  </r>
  <r>
    <x v="4"/>
    <x v="11"/>
    <n v="3"/>
    <n v="8000"/>
    <x v="13"/>
    <x v="13"/>
    <x v="11"/>
    <x v="2"/>
  </r>
  <r>
    <x v="5"/>
    <x v="1"/>
    <n v="1"/>
    <n v="1400"/>
    <x v="14"/>
    <x v="14"/>
    <x v="11"/>
    <x v="6"/>
  </r>
  <r>
    <x v="8"/>
    <x v="12"/>
    <n v="1"/>
    <n v="10590"/>
    <x v="15"/>
    <x v="15"/>
    <x v="11"/>
    <x v="8"/>
  </r>
  <r>
    <x v="9"/>
    <x v="3"/>
    <n v="2"/>
    <n v="1350"/>
    <x v="16"/>
    <x v="16"/>
    <x v="11"/>
    <x v="2"/>
  </r>
  <r>
    <x v="6"/>
    <x v="1"/>
    <n v="2"/>
    <n v="1400"/>
    <x v="1"/>
    <x v="1"/>
    <x v="11"/>
    <x v="5"/>
  </r>
  <r>
    <x v="3"/>
    <x v="0"/>
    <n v="1"/>
    <n v="6000"/>
    <x v="17"/>
    <x v="9"/>
    <x v="11"/>
    <x v="6"/>
  </r>
  <r>
    <x v="8"/>
    <x v="7"/>
    <n v="2"/>
    <n v="1100"/>
    <x v="18"/>
    <x v="14"/>
    <x v="11"/>
    <x v="4"/>
  </r>
  <r>
    <x v="2"/>
    <x v="0"/>
    <n v="2"/>
    <n v="6000"/>
    <x v="0"/>
    <x v="0"/>
    <x v="11"/>
    <x v="12"/>
  </r>
  <r>
    <x v="9"/>
    <x v="13"/>
    <n v="1"/>
    <n v="1490"/>
    <x v="19"/>
    <x v="17"/>
    <x v="11"/>
    <x v="0"/>
  </r>
  <r>
    <x v="8"/>
    <x v="12"/>
    <n v="2"/>
    <n v="10590"/>
    <x v="20"/>
    <x v="18"/>
    <x v="11"/>
    <x v="12"/>
  </r>
  <r>
    <x v="2"/>
    <x v="11"/>
    <n v="3"/>
    <n v="8000"/>
    <x v="13"/>
    <x v="13"/>
    <x v="11"/>
    <x v="12"/>
  </r>
  <r>
    <x v="6"/>
    <x v="7"/>
    <n v="1"/>
    <n v="1100"/>
    <x v="21"/>
    <x v="19"/>
    <x v="11"/>
    <x v="1"/>
  </r>
  <r>
    <x v="9"/>
    <x v="8"/>
    <n v="1"/>
    <n v="1200"/>
    <x v="8"/>
    <x v="8"/>
    <x v="11"/>
    <x v="4"/>
  </r>
  <r>
    <x v="4"/>
    <x v="14"/>
    <n v="2"/>
    <n v="4200"/>
    <x v="22"/>
    <x v="20"/>
    <x v="11"/>
    <x v="12"/>
  </r>
  <r>
    <x v="1"/>
    <x v="15"/>
    <n v="3"/>
    <n v="5775"/>
    <x v="23"/>
    <x v="21"/>
    <x v="11"/>
    <x v="11"/>
  </r>
  <r>
    <x v="10"/>
    <x v="5"/>
    <n v="3"/>
    <n v="7600"/>
    <x v="24"/>
    <x v="22"/>
    <x v="11"/>
    <x v="0"/>
  </r>
  <r>
    <x v="1"/>
    <x v="6"/>
    <n v="3"/>
    <n v="7250"/>
    <x v="25"/>
    <x v="23"/>
    <x v="11"/>
    <x v="12"/>
  </r>
  <r>
    <x v="0"/>
    <x v="6"/>
    <n v="3"/>
    <n v="7250"/>
    <x v="25"/>
    <x v="23"/>
    <x v="11"/>
    <x v="6"/>
  </r>
  <r>
    <x v="8"/>
    <x v="6"/>
    <n v="3"/>
    <n v="7250"/>
    <x v="25"/>
    <x v="23"/>
    <x v="11"/>
    <x v="10"/>
  </r>
  <r>
    <x v="5"/>
    <x v="3"/>
    <n v="1"/>
    <n v="1350"/>
    <x v="26"/>
    <x v="24"/>
    <x v="11"/>
    <x v="5"/>
  </r>
  <r>
    <x v="1"/>
    <x v="6"/>
    <n v="2"/>
    <n v="7250"/>
    <x v="6"/>
    <x v="6"/>
    <x v="11"/>
    <x v="11"/>
  </r>
  <r>
    <x v="6"/>
    <x v="5"/>
    <n v="1"/>
    <n v="7600"/>
    <x v="27"/>
    <x v="25"/>
    <x v="11"/>
    <x v="1"/>
  </r>
  <r>
    <x v="11"/>
    <x v="5"/>
    <n v="3"/>
    <n v="7600"/>
    <x v="24"/>
    <x v="22"/>
    <x v="11"/>
    <x v="2"/>
  </r>
  <r>
    <x v="1"/>
    <x v="13"/>
    <n v="3"/>
    <n v="1490"/>
    <x v="28"/>
    <x v="26"/>
    <x v="11"/>
    <x v="11"/>
  </r>
  <r>
    <x v="5"/>
    <x v="16"/>
    <n v="2"/>
    <n v="2900"/>
    <x v="29"/>
    <x v="27"/>
    <x v="11"/>
    <x v="10"/>
  </r>
  <r>
    <x v="9"/>
    <x v="13"/>
    <n v="1"/>
    <n v="1490"/>
    <x v="19"/>
    <x v="17"/>
    <x v="11"/>
    <x v="11"/>
  </r>
  <r>
    <x v="9"/>
    <x v="10"/>
    <n v="2"/>
    <n v="1090"/>
    <x v="10"/>
    <x v="10"/>
    <x v="11"/>
    <x v="3"/>
  </r>
  <r>
    <x v="5"/>
    <x v="8"/>
    <n v="2"/>
    <n v="1200"/>
    <x v="30"/>
    <x v="28"/>
    <x v="11"/>
    <x v="4"/>
  </r>
  <r>
    <x v="8"/>
    <x v="12"/>
    <n v="2"/>
    <n v="10590"/>
    <x v="20"/>
    <x v="18"/>
    <x v="11"/>
    <x v="9"/>
  </r>
  <r>
    <x v="6"/>
    <x v="14"/>
    <n v="3"/>
    <n v="4200"/>
    <x v="31"/>
    <x v="29"/>
    <x v="11"/>
    <x v="11"/>
  </r>
  <r>
    <x v="3"/>
    <x v="14"/>
    <n v="3"/>
    <n v="4200"/>
    <x v="31"/>
    <x v="29"/>
    <x v="11"/>
    <x v="1"/>
  </r>
  <r>
    <x v="7"/>
    <x v="12"/>
    <n v="2"/>
    <n v="10590"/>
    <x v="20"/>
    <x v="18"/>
    <x v="11"/>
    <x v="7"/>
  </r>
  <r>
    <x v="11"/>
    <x v="17"/>
    <n v="1"/>
    <n v="1250"/>
    <x v="32"/>
    <x v="30"/>
    <x v="11"/>
    <x v="12"/>
  </r>
  <r>
    <x v="0"/>
    <x v="13"/>
    <n v="3"/>
    <n v="1490"/>
    <x v="28"/>
    <x v="26"/>
    <x v="11"/>
    <x v="2"/>
  </r>
  <r>
    <x v="6"/>
    <x v="8"/>
    <n v="2"/>
    <n v="1200"/>
    <x v="30"/>
    <x v="28"/>
    <x v="11"/>
    <x v="4"/>
  </r>
  <r>
    <x v="2"/>
    <x v="4"/>
    <n v="3"/>
    <n v="2180"/>
    <x v="11"/>
    <x v="11"/>
    <x v="11"/>
    <x v="3"/>
  </r>
  <r>
    <x v="9"/>
    <x v="18"/>
    <n v="3"/>
    <n v="1200"/>
    <x v="9"/>
    <x v="1"/>
    <x v="11"/>
    <x v="12"/>
  </r>
  <r>
    <x v="0"/>
    <x v="9"/>
    <n v="1"/>
    <n v="1800"/>
    <x v="33"/>
    <x v="31"/>
    <x v="11"/>
    <x v="4"/>
  </r>
  <r>
    <x v="2"/>
    <x v="5"/>
    <n v="1"/>
    <n v="7600"/>
    <x v="27"/>
    <x v="25"/>
    <x v="11"/>
    <x v="5"/>
  </r>
  <r>
    <x v="7"/>
    <x v="19"/>
    <n v="1"/>
    <n v="7530"/>
    <x v="34"/>
    <x v="32"/>
    <x v="11"/>
    <x v="2"/>
  </r>
  <r>
    <x v="11"/>
    <x v="13"/>
    <n v="2"/>
    <n v="1490"/>
    <x v="35"/>
    <x v="33"/>
    <x v="11"/>
    <x v="0"/>
  </r>
  <r>
    <x v="0"/>
    <x v="20"/>
    <n v="1"/>
    <n v="5300"/>
    <x v="36"/>
    <x v="34"/>
    <x v="11"/>
    <x v="9"/>
  </r>
  <r>
    <x v="4"/>
    <x v="8"/>
    <n v="2"/>
    <n v="1200"/>
    <x v="30"/>
    <x v="28"/>
    <x v="11"/>
    <x v="10"/>
  </r>
  <r>
    <x v="9"/>
    <x v="10"/>
    <n v="1"/>
    <n v="1090"/>
    <x v="37"/>
    <x v="35"/>
    <x v="11"/>
    <x v="2"/>
  </r>
  <r>
    <x v="4"/>
    <x v="6"/>
    <n v="1"/>
    <n v="7250"/>
    <x v="38"/>
    <x v="36"/>
    <x v="11"/>
    <x v="1"/>
  </r>
  <r>
    <x v="10"/>
    <x v="1"/>
    <n v="3"/>
    <n v="1400"/>
    <x v="39"/>
    <x v="27"/>
    <x v="11"/>
    <x v="7"/>
  </r>
  <r>
    <x v="2"/>
    <x v="21"/>
    <n v="1"/>
    <n v="1500"/>
    <x v="40"/>
    <x v="37"/>
    <x v="11"/>
    <x v="0"/>
  </r>
  <r>
    <x v="7"/>
    <x v="3"/>
    <n v="1"/>
    <n v="1350"/>
    <x v="26"/>
    <x v="24"/>
    <x v="11"/>
    <x v="9"/>
  </r>
  <r>
    <x v="7"/>
    <x v="8"/>
    <n v="3"/>
    <n v="1200"/>
    <x v="9"/>
    <x v="1"/>
    <x v="11"/>
    <x v="2"/>
  </r>
  <r>
    <x v="1"/>
    <x v="19"/>
    <n v="3"/>
    <n v="7530"/>
    <x v="41"/>
    <x v="15"/>
    <x v="11"/>
    <x v="5"/>
  </r>
  <r>
    <x v="10"/>
    <x v="8"/>
    <n v="1"/>
    <n v="1200"/>
    <x v="8"/>
    <x v="8"/>
    <x v="11"/>
    <x v="1"/>
  </r>
  <r>
    <x v="8"/>
    <x v="9"/>
    <n v="3"/>
    <n v="1800"/>
    <x v="12"/>
    <x v="12"/>
    <x v="11"/>
    <x v="5"/>
  </r>
  <r>
    <x v="0"/>
    <x v="6"/>
    <n v="1"/>
    <n v="7250"/>
    <x v="38"/>
    <x v="36"/>
    <x v="11"/>
    <x v="4"/>
  </r>
  <r>
    <x v="9"/>
    <x v="13"/>
    <n v="3"/>
    <n v="1490"/>
    <x v="28"/>
    <x v="26"/>
    <x v="11"/>
    <x v="10"/>
  </r>
  <r>
    <x v="9"/>
    <x v="18"/>
    <n v="1"/>
    <n v="1200"/>
    <x v="8"/>
    <x v="8"/>
    <x v="11"/>
    <x v="4"/>
  </r>
  <r>
    <x v="1"/>
    <x v="11"/>
    <n v="1"/>
    <n v="8000"/>
    <x v="42"/>
    <x v="9"/>
    <x v="11"/>
    <x v="7"/>
  </r>
  <r>
    <x v="6"/>
    <x v="1"/>
    <n v="1"/>
    <n v="1400"/>
    <x v="14"/>
    <x v="14"/>
    <x v="11"/>
    <x v="7"/>
  </r>
  <r>
    <x v="5"/>
    <x v="3"/>
    <n v="1"/>
    <n v="1350"/>
    <x v="26"/>
    <x v="24"/>
    <x v="11"/>
    <x v="10"/>
  </r>
  <r>
    <x v="8"/>
    <x v="18"/>
    <n v="1"/>
    <n v="1200"/>
    <x v="8"/>
    <x v="8"/>
    <x v="11"/>
    <x v="4"/>
  </r>
  <r>
    <x v="6"/>
    <x v="20"/>
    <n v="1"/>
    <n v="5300"/>
    <x v="36"/>
    <x v="34"/>
    <x v="11"/>
    <x v="8"/>
  </r>
  <r>
    <x v="9"/>
    <x v="12"/>
    <n v="3"/>
    <n v="10590"/>
    <x v="43"/>
    <x v="38"/>
    <x v="11"/>
    <x v="6"/>
  </r>
  <r>
    <x v="4"/>
    <x v="17"/>
    <n v="1"/>
    <n v="1250"/>
    <x v="32"/>
    <x v="30"/>
    <x v="11"/>
    <x v="10"/>
  </r>
  <r>
    <x v="11"/>
    <x v="18"/>
    <n v="1"/>
    <n v="1200"/>
    <x v="8"/>
    <x v="8"/>
    <x v="11"/>
    <x v="4"/>
  </r>
  <r>
    <x v="4"/>
    <x v="1"/>
    <n v="3"/>
    <n v="1400"/>
    <x v="39"/>
    <x v="27"/>
    <x v="11"/>
    <x v="0"/>
  </r>
  <r>
    <x v="11"/>
    <x v="19"/>
    <n v="2"/>
    <n v="7530"/>
    <x v="44"/>
    <x v="39"/>
    <x v="11"/>
    <x v="12"/>
  </r>
  <r>
    <x v="6"/>
    <x v="5"/>
    <n v="1"/>
    <n v="7600"/>
    <x v="27"/>
    <x v="25"/>
    <x v="11"/>
    <x v="0"/>
  </r>
  <r>
    <x v="11"/>
    <x v="21"/>
    <n v="1"/>
    <n v="1500"/>
    <x v="40"/>
    <x v="37"/>
    <x v="11"/>
    <x v="7"/>
  </r>
  <r>
    <x v="9"/>
    <x v="4"/>
    <n v="2"/>
    <n v="2180"/>
    <x v="4"/>
    <x v="4"/>
    <x v="11"/>
    <x v="9"/>
  </r>
  <r>
    <x v="3"/>
    <x v="4"/>
    <n v="1"/>
    <n v="2180"/>
    <x v="10"/>
    <x v="40"/>
    <x v="11"/>
    <x v="11"/>
  </r>
  <r>
    <x v="9"/>
    <x v="15"/>
    <n v="1"/>
    <n v="5775"/>
    <x v="45"/>
    <x v="41"/>
    <x v="11"/>
    <x v="7"/>
  </r>
  <r>
    <x v="9"/>
    <x v="7"/>
    <n v="3"/>
    <n v="1100"/>
    <x v="7"/>
    <x v="7"/>
    <x v="11"/>
    <x v="0"/>
  </r>
  <r>
    <x v="10"/>
    <x v="15"/>
    <n v="1"/>
    <n v="5775"/>
    <x v="45"/>
    <x v="41"/>
    <x v="11"/>
    <x v="0"/>
  </r>
  <r>
    <x v="7"/>
    <x v="3"/>
    <n v="1"/>
    <n v="1350"/>
    <x v="26"/>
    <x v="24"/>
    <x v="11"/>
    <x v="7"/>
  </r>
  <r>
    <x v="0"/>
    <x v="5"/>
    <n v="3"/>
    <n v="7600"/>
    <x v="24"/>
    <x v="22"/>
    <x v="11"/>
    <x v="3"/>
  </r>
  <r>
    <x v="2"/>
    <x v="6"/>
    <n v="3"/>
    <n v="7250"/>
    <x v="25"/>
    <x v="23"/>
    <x v="11"/>
    <x v="9"/>
  </r>
  <r>
    <x v="11"/>
    <x v="13"/>
    <n v="2"/>
    <n v="1490"/>
    <x v="35"/>
    <x v="33"/>
    <x v="11"/>
    <x v="12"/>
  </r>
  <r>
    <x v="3"/>
    <x v="13"/>
    <n v="2"/>
    <n v="1490"/>
    <x v="35"/>
    <x v="33"/>
    <x v="11"/>
    <x v="0"/>
  </r>
  <r>
    <x v="8"/>
    <x v="10"/>
    <n v="2"/>
    <n v="1090"/>
    <x v="10"/>
    <x v="10"/>
    <x v="11"/>
    <x v="6"/>
  </r>
  <r>
    <x v="8"/>
    <x v="8"/>
    <n v="3"/>
    <n v="1200"/>
    <x v="9"/>
    <x v="1"/>
    <x v="11"/>
    <x v="6"/>
  </r>
  <r>
    <x v="11"/>
    <x v="10"/>
    <n v="2"/>
    <n v="1090"/>
    <x v="10"/>
    <x v="10"/>
    <x v="11"/>
    <x v="11"/>
  </r>
  <r>
    <x v="11"/>
    <x v="4"/>
    <n v="3"/>
    <n v="2180"/>
    <x v="11"/>
    <x v="11"/>
    <x v="11"/>
    <x v="1"/>
  </r>
  <r>
    <x v="2"/>
    <x v="20"/>
    <n v="3"/>
    <n v="5300"/>
    <x v="46"/>
    <x v="42"/>
    <x v="11"/>
    <x v="4"/>
  </r>
  <r>
    <x v="11"/>
    <x v="20"/>
    <n v="2"/>
    <n v="5300"/>
    <x v="47"/>
    <x v="43"/>
    <x v="11"/>
    <x v="1"/>
  </r>
  <r>
    <x v="5"/>
    <x v="6"/>
    <n v="2"/>
    <n v="7250"/>
    <x v="6"/>
    <x v="6"/>
    <x v="11"/>
    <x v="0"/>
  </r>
  <r>
    <x v="5"/>
    <x v="18"/>
    <n v="3"/>
    <n v="1200"/>
    <x v="9"/>
    <x v="1"/>
    <x v="11"/>
    <x v="7"/>
  </r>
  <r>
    <x v="3"/>
    <x v="0"/>
    <n v="1"/>
    <n v="6000"/>
    <x v="17"/>
    <x v="9"/>
    <x v="11"/>
    <x v="8"/>
  </r>
  <r>
    <x v="2"/>
    <x v="2"/>
    <n v="3"/>
    <n v="8450"/>
    <x v="48"/>
    <x v="44"/>
    <x v="11"/>
    <x v="4"/>
  </r>
  <r>
    <x v="6"/>
    <x v="14"/>
    <n v="1"/>
    <n v="4200"/>
    <x v="39"/>
    <x v="1"/>
    <x v="11"/>
    <x v="7"/>
  </r>
  <r>
    <x v="6"/>
    <x v="12"/>
    <n v="3"/>
    <n v="10590"/>
    <x v="43"/>
    <x v="38"/>
    <x v="11"/>
    <x v="11"/>
  </r>
  <r>
    <x v="5"/>
    <x v="18"/>
    <n v="1"/>
    <n v="1200"/>
    <x v="8"/>
    <x v="8"/>
    <x v="11"/>
    <x v="7"/>
  </r>
  <r>
    <x v="10"/>
    <x v="7"/>
    <n v="2"/>
    <n v="1100"/>
    <x v="18"/>
    <x v="14"/>
    <x v="11"/>
    <x v="5"/>
  </r>
  <r>
    <x v="9"/>
    <x v="22"/>
    <n v="2"/>
    <n v="3700"/>
    <x v="49"/>
    <x v="45"/>
    <x v="11"/>
    <x v="11"/>
  </r>
  <r>
    <x v="1"/>
    <x v="22"/>
    <n v="1"/>
    <n v="3700"/>
    <x v="50"/>
    <x v="37"/>
    <x v="11"/>
    <x v="5"/>
  </r>
  <r>
    <x v="6"/>
    <x v="7"/>
    <n v="3"/>
    <n v="1100"/>
    <x v="7"/>
    <x v="7"/>
    <x v="11"/>
    <x v="6"/>
  </r>
  <r>
    <x v="5"/>
    <x v="22"/>
    <n v="1"/>
    <n v="3700"/>
    <x v="50"/>
    <x v="37"/>
    <x v="11"/>
    <x v="12"/>
  </r>
  <r>
    <x v="10"/>
    <x v="13"/>
    <n v="1"/>
    <n v="1490"/>
    <x v="19"/>
    <x v="17"/>
    <x v="11"/>
    <x v="3"/>
  </r>
  <r>
    <x v="9"/>
    <x v="21"/>
    <n v="1"/>
    <n v="1500"/>
    <x v="40"/>
    <x v="37"/>
    <x v="11"/>
    <x v="3"/>
  </r>
  <r>
    <x v="8"/>
    <x v="10"/>
    <n v="2"/>
    <n v="1090"/>
    <x v="10"/>
    <x v="10"/>
    <x v="11"/>
    <x v="9"/>
  </r>
  <r>
    <x v="10"/>
    <x v="9"/>
    <n v="3"/>
    <n v="1800"/>
    <x v="12"/>
    <x v="12"/>
    <x v="11"/>
    <x v="1"/>
  </r>
  <r>
    <x v="7"/>
    <x v="19"/>
    <n v="2"/>
    <n v="7530"/>
    <x v="44"/>
    <x v="39"/>
    <x v="11"/>
    <x v="3"/>
  </r>
  <r>
    <x v="6"/>
    <x v="7"/>
    <n v="3"/>
    <n v="1100"/>
    <x v="7"/>
    <x v="7"/>
    <x v="11"/>
    <x v="6"/>
  </r>
  <r>
    <x v="9"/>
    <x v="3"/>
    <n v="3"/>
    <n v="1350"/>
    <x v="3"/>
    <x v="3"/>
    <x v="11"/>
    <x v="2"/>
  </r>
  <r>
    <x v="8"/>
    <x v="3"/>
    <n v="1"/>
    <n v="1350"/>
    <x v="26"/>
    <x v="24"/>
    <x v="11"/>
    <x v="1"/>
  </r>
  <r>
    <x v="7"/>
    <x v="10"/>
    <n v="2"/>
    <n v="1090"/>
    <x v="10"/>
    <x v="10"/>
    <x v="11"/>
    <x v="2"/>
  </r>
  <r>
    <x v="7"/>
    <x v="14"/>
    <n v="1"/>
    <n v="4200"/>
    <x v="39"/>
    <x v="1"/>
    <x v="11"/>
    <x v="7"/>
  </r>
  <r>
    <x v="9"/>
    <x v="9"/>
    <n v="2"/>
    <n v="1800"/>
    <x v="9"/>
    <x v="9"/>
    <x v="11"/>
    <x v="8"/>
  </r>
  <r>
    <x v="11"/>
    <x v="10"/>
    <n v="1"/>
    <n v="1090"/>
    <x v="37"/>
    <x v="35"/>
    <x v="11"/>
    <x v="7"/>
  </r>
  <r>
    <x v="0"/>
    <x v="5"/>
    <n v="1"/>
    <n v="7600"/>
    <x v="27"/>
    <x v="25"/>
    <x v="11"/>
    <x v="6"/>
  </r>
  <r>
    <x v="8"/>
    <x v="5"/>
    <n v="3"/>
    <n v="7600"/>
    <x v="24"/>
    <x v="22"/>
    <x v="11"/>
    <x v="2"/>
  </r>
  <r>
    <x v="2"/>
    <x v="22"/>
    <n v="1"/>
    <n v="3700"/>
    <x v="50"/>
    <x v="37"/>
    <x v="11"/>
    <x v="10"/>
  </r>
  <r>
    <x v="4"/>
    <x v="6"/>
    <n v="3"/>
    <n v="7250"/>
    <x v="25"/>
    <x v="23"/>
    <x v="11"/>
    <x v="8"/>
  </r>
  <r>
    <x v="1"/>
    <x v="5"/>
    <n v="3"/>
    <n v="7600"/>
    <x v="24"/>
    <x v="22"/>
    <x v="11"/>
    <x v="2"/>
  </r>
  <r>
    <x v="10"/>
    <x v="14"/>
    <n v="1"/>
    <n v="4200"/>
    <x v="39"/>
    <x v="1"/>
    <x v="11"/>
    <x v="3"/>
  </r>
  <r>
    <x v="6"/>
    <x v="17"/>
    <n v="3"/>
    <n v="1250"/>
    <x v="51"/>
    <x v="46"/>
    <x v="11"/>
    <x v="9"/>
  </r>
  <r>
    <x v="8"/>
    <x v="10"/>
    <n v="1"/>
    <n v="1090"/>
    <x v="37"/>
    <x v="35"/>
    <x v="11"/>
    <x v="2"/>
  </r>
  <r>
    <x v="3"/>
    <x v="4"/>
    <n v="1"/>
    <n v="2180"/>
    <x v="10"/>
    <x v="40"/>
    <x v="11"/>
    <x v="1"/>
  </r>
  <r>
    <x v="11"/>
    <x v="22"/>
    <n v="2"/>
    <n v="3700"/>
    <x v="49"/>
    <x v="45"/>
    <x v="11"/>
    <x v="2"/>
  </r>
  <r>
    <x v="9"/>
    <x v="0"/>
    <n v="2"/>
    <n v="6000"/>
    <x v="0"/>
    <x v="0"/>
    <x v="11"/>
    <x v="6"/>
  </r>
  <r>
    <x v="10"/>
    <x v="17"/>
    <n v="2"/>
    <n v="1250"/>
    <x v="52"/>
    <x v="7"/>
    <x v="11"/>
    <x v="9"/>
  </r>
  <r>
    <x v="11"/>
    <x v="5"/>
    <n v="1"/>
    <n v="7600"/>
    <x v="27"/>
    <x v="25"/>
    <x v="11"/>
    <x v="4"/>
  </r>
  <r>
    <x v="0"/>
    <x v="1"/>
    <n v="2"/>
    <n v="1400"/>
    <x v="1"/>
    <x v="1"/>
    <x v="11"/>
    <x v="2"/>
  </r>
  <r>
    <x v="4"/>
    <x v="4"/>
    <n v="2"/>
    <n v="2180"/>
    <x v="4"/>
    <x v="4"/>
    <x v="11"/>
    <x v="12"/>
  </r>
  <r>
    <x v="0"/>
    <x v="9"/>
    <n v="3"/>
    <n v="1800"/>
    <x v="12"/>
    <x v="12"/>
    <x v="11"/>
    <x v="9"/>
  </r>
  <r>
    <x v="2"/>
    <x v="21"/>
    <n v="1"/>
    <n v="1500"/>
    <x v="40"/>
    <x v="37"/>
    <x v="11"/>
    <x v="0"/>
  </r>
  <r>
    <x v="6"/>
    <x v="2"/>
    <n v="3"/>
    <n v="8450"/>
    <x v="48"/>
    <x v="44"/>
    <x v="11"/>
    <x v="9"/>
  </r>
  <r>
    <x v="9"/>
    <x v="21"/>
    <n v="3"/>
    <n v="1500"/>
    <x v="53"/>
    <x v="47"/>
    <x v="11"/>
    <x v="9"/>
  </r>
  <r>
    <x v="5"/>
    <x v="0"/>
    <n v="3"/>
    <n v="6000"/>
    <x v="54"/>
    <x v="13"/>
    <x v="11"/>
    <x v="9"/>
  </r>
  <r>
    <x v="11"/>
    <x v="18"/>
    <n v="1"/>
    <n v="1200"/>
    <x v="8"/>
    <x v="8"/>
    <x v="11"/>
    <x v="12"/>
  </r>
  <r>
    <x v="0"/>
    <x v="14"/>
    <n v="3"/>
    <n v="4200"/>
    <x v="31"/>
    <x v="29"/>
    <x v="11"/>
    <x v="5"/>
  </r>
  <r>
    <x v="10"/>
    <x v="5"/>
    <n v="3"/>
    <n v="7600"/>
    <x v="24"/>
    <x v="22"/>
    <x v="11"/>
    <x v="0"/>
  </r>
  <r>
    <x v="0"/>
    <x v="0"/>
    <n v="3"/>
    <n v="6000"/>
    <x v="54"/>
    <x v="13"/>
    <x v="0"/>
    <x v="4"/>
  </r>
  <r>
    <x v="1"/>
    <x v="1"/>
    <n v="5"/>
    <n v="1400"/>
    <x v="55"/>
    <x v="12"/>
    <x v="0"/>
    <x v="7"/>
  </r>
  <r>
    <x v="2"/>
    <x v="2"/>
    <n v="4"/>
    <n v="8450"/>
    <x v="56"/>
    <x v="48"/>
    <x v="0"/>
    <x v="1"/>
  </r>
  <r>
    <x v="3"/>
    <x v="3"/>
    <n v="4"/>
    <n v="1350"/>
    <x v="12"/>
    <x v="49"/>
    <x v="0"/>
    <x v="8"/>
  </r>
  <r>
    <x v="0"/>
    <x v="4"/>
    <n v="5"/>
    <n v="2180"/>
    <x v="57"/>
    <x v="50"/>
    <x v="0"/>
    <x v="7"/>
  </r>
  <r>
    <x v="4"/>
    <x v="5"/>
    <n v="3"/>
    <n v="7600"/>
    <x v="24"/>
    <x v="22"/>
    <x v="0"/>
    <x v="11"/>
  </r>
  <r>
    <x v="1"/>
    <x v="6"/>
    <n v="5"/>
    <n v="7250"/>
    <x v="58"/>
    <x v="51"/>
    <x v="0"/>
    <x v="10"/>
  </r>
  <r>
    <x v="3"/>
    <x v="7"/>
    <n v="4"/>
    <n v="1100"/>
    <x v="59"/>
    <x v="1"/>
    <x v="0"/>
    <x v="1"/>
  </r>
  <r>
    <x v="5"/>
    <x v="0"/>
    <n v="3"/>
    <n v="6000"/>
    <x v="54"/>
    <x v="13"/>
    <x v="0"/>
    <x v="11"/>
  </r>
  <r>
    <x v="0"/>
    <x v="8"/>
    <n v="2"/>
    <n v="1200"/>
    <x v="30"/>
    <x v="28"/>
    <x v="0"/>
    <x v="12"/>
  </r>
  <r>
    <x v="6"/>
    <x v="9"/>
    <n v="3"/>
    <n v="1800"/>
    <x v="12"/>
    <x v="12"/>
    <x v="0"/>
    <x v="12"/>
  </r>
  <r>
    <x v="6"/>
    <x v="10"/>
    <n v="4"/>
    <n v="1090"/>
    <x v="4"/>
    <x v="52"/>
    <x v="0"/>
    <x v="6"/>
  </r>
  <r>
    <x v="5"/>
    <x v="4"/>
    <n v="4"/>
    <n v="2180"/>
    <x v="60"/>
    <x v="53"/>
    <x v="0"/>
    <x v="7"/>
  </r>
  <r>
    <x v="7"/>
    <x v="9"/>
    <n v="3"/>
    <n v="1800"/>
    <x v="12"/>
    <x v="12"/>
    <x v="0"/>
    <x v="2"/>
  </r>
  <r>
    <x v="4"/>
    <x v="11"/>
    <n v="5"/>
    <n v="8000"/>
    <x v="61"/>
    <x v="54"/>
    <x v="0"/>
    <x v="4"/>
  </r>
  <r>
    <x v="5"/>
    <x v="1"/>
    <n v="5"/>
    <n v="1400"/>
    <x v="55"/>
    <x v="12"/>
    <x v="0"/>
    <x v="1"/>
  </r>
  <r>
    <x v="8"/>
    <x v="12"/>
    <n v="5"/>
    <n v="10590"/>
    <x v="62"/>
    <x v="55"/>
    <x v="0"/>
    <x v="12"/>
  </r>
  <r>
    <x v="9"/>
    <x v="3"/>
    <n v="2"/>
    <n v="1350"/>
    <x v="16"/>
    <x v="16"/>
    <x v="0"/>
    <x v="10"/>
  </r>
  <r>
    <x v="6"/>
    <x v="1"/>
    <n v="3"/>
    <n v="1400"/>
    <x v="39"/>
    <x v="27"/>
    <x v="0"/>
    <x v="2"/>
  </r>
  <r>
    <x v="3"/>
    <x v="0"/>
    <n v="4"/>
    <n v="6000"/>
    <x v="13"/>
    <x v="56"/>
    <x v="0"/>
    <x v="12"/>
  </r>
  <r>
    <x v="8"/>
    <x v="7"/>
    <n v="2"/>
    <n v="1100"/>
    <x v="18"/>
    <x v="14"/>
    <x v="0"/>
    <x v="5"/>
  </r>
  <r>
    <x v="2"/>
    <x v="0"/>
    <n v="4"/>
    <n v="6000"/>
    <x v="13"/>
    <x v="56"/>
    <x v="0"/>
    <x v="5"/>
  </r>
  <r>
    <x v="9"/>
    <x v="13"/>
    <n v="2"/>
    <n v="1490"/>
    <x v="35"/>
    <x v="33"/>
    <x v="0"/>
    <x v="1"/>
  </r>
  <r>
    <x v="8"/>
    <x v="12"/>
    <n v="2"/>
    <n v="10590"/>
    <x v="20"/>
    <x v="18"/>
    <x v="0"/>
    <x v="6"/>
  </r>
  <r>
    <x v="2"/>
    <x v="11"/>
    <n v="3"/>
    <n v="8000"/>
    <x v="13"/>
    <x v="13"/>
    <x v="0"/>
    <x v="6"/>
  </r>
  <r>
    <x v="6"/>
    <x v="7"/>
    <n v="5"/>
    <n v="1100"/>
    <x v="63"/>
    <x v="57"/>
    <x v="0"/>
    <x v="5"/>
  </r>
  <r>
    <x v="9"/>
    <x v="8"/>
    <n v="5"/>
    <n v="1200"/>
    <x v="17"/>
    <x v="9"/>
    <x v="0"/>
    <x v="11"/>
  </r>
  <r>
    <x v="4"/>
    <x v="14"/>
    <n v="5"/>
    <n v="4200"/>
    <x v="64"/>
    <x v="13"/>
    <x v="0"/>
    <x v="10"/>
  </r>
  <r>
    <x v="1"/>
    <x v="15"/>
    <n v="3"/>
    <n v="5775"/>
    <x v="23"/>
    <x v="21"/>
    <x v="0"/>
    <x v="4"/>
  </r>
  <r>
    <x v="10"/>
    <x v="5"/>
    <n v="3"/>
    <n v="7600"/>
    <x v="24"/>
    <x v="22"/>
    <x v="0"/>
    <x v="1"/>
  </r>
  <r>
    <x v="1"/>
    <x v="6"/>
    <n v="2"/>
    <n v="7250"/>
    <x v="6"/>
    <x v="6"/>
    <x v="0"/>
    <x v="5"/>
  </r>
  <r>
    <x v="0"/>
    <x v="6"/>
    <n v="5"/>
    <n v="7250"/>
    <x v="58"/>
    <x v="51"/>
    <x v="0"/>
    <x v="2"/>
  </r>
  <r>
    <x v="8"/>
    <x v="6"/>
    <n v="5"/>
    <n v="7250"/>
    <x v="58"/>
    <x v="51"/>
    <x v="0"/>
    <x v="7"/>
  </r>
  <r>
    <x v="5"/>
    <x v="3"/>
    <n v="3"/>
    <n v="1350"/>
    <x v="3"/>
    <x v="3"/>
    <x v="1"/>
    <x v="5"/>
  </r>
  <r>
    <x v="1"/>
    <x v="6"/>
    <n v="5"/>
    <n v="7250"/>
    <x v="58"/>
    <x v="51"/>
    <x v="1"/>
    <x v="6"/>
  </r>
  <r>
    <x v="6"/>
    <x v="5"/>
    <n v="3"/>
    <n v="7600"/>
    <x v="24"/>
    <x v="22"/>
    <x v="1"/>
    <x v="9"/>
  </r>
  <r>
    <x v="11"/>
    <x v="5"/>
    <n v="4"/>
    <n v="7600"/>
    <x v="65"/>
    <x v="58"/>
    <x v="1"/>
    <x v="6"/>
  </r>
  <r>
    <x v="1"/>
    <x v="13"/>
    <n v="3"/>
    <n v="1490"/>
    <x v="28"/>
    <x v="26"/>
    <x v="1"/>
    <x v="0"/>
  </r>
  <r>
    <x v="5"/>
    <x v="16"/>
    <n v="4"/>
    <n v="2900"/>
    <x v="66"/>
    <x v="29"/>
    <x v="1"/>
    <x v="10"/>
  </r>
  <r>
    <x v="9"/>
    <x v="13"/>
    <n v="4"/>
    <n v="1490"/>
    <x v="67"/>
    <x v="59"/>
    <x v="1"/>
    <x v="10"/>
  </r>
  <r>
    <x v="9"/>
    <x v="10"/>
    <n v="5"/>
    <n v="1090"/>
    <x v="68"/>
    <x v="60"/>
    <x v="1"/>
    <x v="0"/>
  </r>
  <r>
    <x v="5"/>
    <x v="8"/>
    <n v="2"/>
    <n v="1200"/>
    <x v="30"/>
    <x v="28"/>
    <x v="1"/>
    <x v="5"/>
  </r>
  <r>
    <x v="8"/>
    <x v="12"/>
    <n v="5"/>
    <n v="10590"/>
    <x v="62"/>
    <x v="55"/>
    <x v="1"/>
    <x v="2"/>
  </r>
  <r>
    <x v="6"/>
    <x v="14"/>
    <n v="4"/>
    <n v="4200"/>
    <x v="69"/>
    <x v="22"/>
    <x v="1"/>
    <x v="6"/>
  </r>
  <r>
    <x v="3"/>
    <x v="14"/>
    <n v="4"/>
    <n v="4200"/>
    <x v="69"/>
    <x v="22"/>
    <x v="1"/>
    <x v="5"/>
  </r>
  <r>
    <x v="7"/>
    <x v="12"/>
    <n v="2"/>
    <n v="10590"/>
    <x v="20"/>
    <x v="18"/>
    <x v="1"/>
    <x v="3"/>
  </r>
  <r>
    <x v="11"/>
    <x v="17"/>
    <n v="4"/>
    <n v="1250"/>
    <x v="70"/>
    <x v="27"/>
    <x v="1"/>
    <x v="7"/>
  </r>
  <r>
    <x v="0"/>
    <x v="13"/>
    <n v="4"/>
    <n v="1490"/>
    <x v="67"/>
    <x v="59"/>
    <x v="1"/>
    <x v="12"/>
  </r>
  <r>
    <x v="6"/>
    <x v="8"/>
    <n v="5"/>
    <n v="1200"/>
    <x v="17"/>
    <x v="9"/>
    <x v="1"/>
    <x v="4"/>
  </r>
  <r>
    <x v="2"/>
    <x v="4"/>
    <n v="4"/>
    <n v="2180"/>
    <x v="60"/>
    <x v="53"/>
    <x v="1"/>
    <x v="2"/>
  </r>
  <r>
    <x v="9"/>
    <x v="18"/>
    <n v="4"/>
    <n v="1200"/>
    <x v="71"/>
    <x v="25"/>
    <x v="1"/>
    <x v="2"/>
  </r>
  <r>
    <x v="0"/>
    <x v="9"/>
    <n v="2"/>
    <n v="1800"/>
    <x v="9"/>
    <x v="9"/>
    <x v="1"/>
    <x v="5"/>
  </r>
  <r>
    <x v="2"/>
    <x v="5"/>
    <n v="5"/>
    <n v="7600"/>
    <x v="72"/>
    <x v="56"/>
    <x v="1"/>
    <x v="3"/>
  </r>
  <r>
    <x v="7"/>
    <x v="19"/>
    <n v="5"/>
    <n v="7530"/>
    <x v="73"/>
    <x v="61"/>
    <x v="1"/>
    <x v="8"/>
  </r>
  <r>
    <x v="11"/>
    <x v="13"/>
    <n v="5"/>
    <n v="1490"/>
    <x v="74"/>
    <x v="62"/>
    <x v="1"/>
    <x v="4"/>
  </r>
  <r>
    <x v="0"/>
    <x v="20"/>
    <n v="4"/>
    <n v="5300"/>
    <x v="75"/>
    <x v="63"/>
    <x v="1"/>
    <x v="4"/>
  </r>
  <r>
    <x v="4"/>
    <x v="8"/>
    <n v="4"/>
    <n v="1200"/>
    <x v="71"/>
    <x v="25"/>
    <x v="1"/>
    <x v="2"/>
  </r>
  <r>
    <x v="9"/>
    <x v="10"/>
    <n v="3"/>
    <n v="1090"/>
    <x v="76"/>
    <x v="64"/>
    <x v="1"/>
    <x v="12"/>
  </r>
  <r>
    <x v="4"/>
    <x v="6"/>
    <n v="4"/>
    <n v="7250"/>
    <x v="77"/>
    <x v="65"/>
    <x v="1"/>
    <x v="0"/>
  </r>
  <r>
    <x v="10"/>
    <x v="1"/>
    <n v="2"/>
    <n v="1400"/>
    <x v="1"/>
    <x v="1"/>
    <x v="1"/>
    <x v="5"/>
  </r>
  <r>
    <x v="2"/>
    <x v="21"/>
    <n v="4"/>
    <n v="1500"/>
    <x v="17"/>
    <x v="66"/>
    <x v="1"/>
    <x v="6"/>
  </r>
  <r>
    <x v="7"/>
    <x v="3"/>
    <n v="3"/>
    <n v="1350"/>
    <x v="3"/>
    <x v="3"/>
    <x v="1"/>
    <x v="5"/>
  </r>
  <r>
    <x v="7"/>
    <x v="8"/>
    <n v="5"/>
    <n v="1200"/>
    <x v="17"/>
    <x v="9"/>
    <x v="1"/>
    <x v="0"/>
  </r>
  <r>
    <x v="1"/>
    <x v="19"/>
    <n v="3"/>
    <n v="7530"/>
    <x v="41"/>
    <x v="15"/>
    <x v="1"/>
    <x v="5"/>
  </r>
  <r>
    <x v="10"/>
    <x v="8"/>
    <n v="3"/>
    <n v="1200"/>
    <x v="9"/>
    <x v="1"/>
    <x v="1"/>
    <x v="3"/>
  </r>
  <r>
    <x v="8"/>
    <x v="9"/>
    <n v="2"/>
    <n v="1800"/>
    <x v="9"/>
    <x v="9"/>
    <x v="1"/>
    <x v="6"/>
  </r>
  <r>
    <x v="0"/>
    <x v="6"/>
    <n v="3"/>
    <n v="7250"/>
    <x v="25"/>
    <x v="23"/>
    <x v="1"/>
    <x v="11"/>
  </r>
  <r>
    <x v="9"/>
    <x v="13"/>
    <n v="4"/>
    <n v="1490"/>
    <x v="67"/>
    <x v="59"/>
    <x v="1"/>
    <x v="2"/>
  </r>
  <r>
    <x v="9"/>
    <x v="18"/>
    <n v="2"/>
    <n v="1200"/>
    <x v="30"/>
    <x v="28"/>
    <x v="1"/>
    <x v="2"/>
  </r>
  <r>
    <x v="1"/>
    <x v="11"/>
    <n v="2"/>
    <n v="8000"/>
    <x v="78"/>
    <x v="0"/>
    <x v="1"/>
    <x v="8"/>
  </r>
  <r>
    <x v="6"/>
    <x v="1"/>
    <n v="5"/>
    <n v="1400"/>
    <x v="55"/>
    <x v="12"/>
    <x v="1"/>
    <x v="8"/>
  </r>
  <r>
    <x v="5"/>
    <x v="3"/>
    <n v="3"/>
    <n v="1350"/>
    <x v="3"/>
    <x v="3"/>
    <x v="1"/>
    <x v="5"/>
  </r>
  <r>
    <x v="8"/>
    <x v="18"/>
    <n v="3"/>
    <n v="1200"/>
    <x v="9"/>
    <x v="1"/>
    <x v="1"/>
    <x v="12"/>
  </r>
  <r>
    <x v="6"/>
    <x v="20"/>
    <n v="5"/>
    <n v="5300"/>
    <x v="79"/>
    <x v="67"/>
    <x v="1"/>
    <x v="12"/>
  </r>
  <r>
    <x v="9"/>
    <x v="12"/>
    <n v="4"/>
    <n v="10590"/>
    <x v="80"/>
    <x v="68"/>
    <x v="1"/>
    <x v="9"/>
  </r>
  <r>
    <x v="4"/>
    <x v="17"/>
    <n v="4"/>
    <n v="1250"/>
    <x v="70"/>
    <x v="27"/>
    <x v="1"/>
    <x v="7"/>
  </r>
  <r>
    <x v="11"/>
    <x v="18"/>
    <n v="3"/>
    <n v="1200"/>
    <x v="9"/>
    <x v="1"/>
    <x v="1"/>
    <x v="10"/>
  </r>
  <r>
    <x v="4"/>
    <x v="1"/>
    <n v="2"/>
    <n v="1400"/>
    <x v="1"/>
    <x v="1"/>
    <x v="1"/>
    <x v="2"/>
  </r>
  <r>
    <x v="11"/>
    <x v="19"/>
    <n v="4"/>
    <n v="7530"/>
    <x v="81"/>
    <x v="69"/>
    <x v="1"/>
    <x v="5"/>
  </r>
  <r>
    <x v="6"/>
    <x v="5"/>
    <n v="5"/>
    <n v="7600"/>
    <x v="72"/>
    <x v="56"/>
    <x v="1"/>
    <x v="6"/>
  </r>
  <r>
    <x v="11"/>
    <x v="21"/>
    <n v="3"/>
    <n v="1500"/>
    <x v="53"/>
    <x v="47"/>
    <x v="1"/>
    <x v="7"/>
  </r>
  <r>
    <x v="9"/>
    <x v="4"/>
    <n v="5"/>
    <n v="2180"/>
    <x v="57"/>
    <x v="50"/>
    <x v="1"/>
    <x v="6"/>
  </r>
  <r>
    <x v="3"/>
    <x v="4"/>
    <n v="2"/>
    <n v="2180"/>
    <x v="4"/>
    <x v="4"/>
    <x v="1"/>
    <x v="7"/>
  </r>
  <r>
    <x v="9"/>
    <x v="15"/>
    <n v="5"/>
    <n v="5775"/>
    <x v="82"/>
    <x v="70"/>
    <x v="1"/>
    <x v="12"/>
  </r>
  <r>
    <x v="9"/>
    <x v="7"/>
    <n v="5"/>
    <n v="1100"/>
    <x v="63"/>
    <x v="57"/>
    <x v="1"/>
    <x v="6"/>
  </r>
  <r>
    <x v="10"/>
    <x v="15"/>
    <n v="5"/>
    <n v="5775"/>
    <x v="82"/>
    <x v="70"/>
    <x v="1"/>
    <x v="11"/>
  </r>
  <r>
    <x v="7"/>
    <x v="3"/>
    <n v="3"/>
    <n v="1350"/>
    <x v="3"/>
    <x v="3"/>
    <x v="1"/>
    <x v="3"/>
  </r>
  <r>
    <x v="0"/>
    <x v="5"/>
    <n v="2"/>
    <n v="7600"/>
    <x v="5"/>
    <x v="5"/>
    <x v="1"/>
    <x v="0"/>
  </r>
  <r>
    <x v="2"/>
    <x v="6"/>
    <n v="5"/>
    <n v="7250"/>
    <x v="58"/>
    <x v="51"/>
    <x v="1"/>
    <x v="11"/>
  </r>
  <r>
    <x v="11"/>
    <x v="13"/>
    <n v="3"/>
    <n v="1490"/>
    <x v="28"/>
    <x v="26"/>
    <x v="1"/>
    <x v="8"/>
  </r>
  <r>
    <x v="3"/>
    <x v="13"/>
    <n v="2"/>
    <n v="1490"/>
    <x v="35"/>
    <x v="33"/>
    <x v="1"/>
    <x v="9"/>
  </r>
  <r>
    <x v="8"/>
    <x v="10"/>
    <n v="2"/>
    <n v="1090"/>
    <x v="10"/>
    <x v="10"/>
    <x v="1"/>
    <x v="9"/>
  </r>
  <r>
    <x v="8"/>
    <x v="8"/>
    <n v="3"/>
    <n v="1200"/>
    <x v="9"/>
    <x v="1"/>
    <x v="1"/>
    <x v="7"/>
  </r>
  <r>
    <x v="11"/>
    <x v="10"/>
    <n v="2"/>
    <n v="1090"/>
    <x v="10"/>
    <x v="10"/>
    <x v="1"/>
    <x v="0"/>
  </r>
  <r>
    <x v="11"/>
    <x v="4"/>
    <n v="2"/>
    <n v="2180"/>
    <x v="4"/>
    <x v="4"/>
    <x v="1"/>
    <x v="6"/>
  </r>
  <r>
    <x v="2"/>
    <x v="20"/>
    <n v="4"/>
    <n v="5300"/>
    <x v="75"/>
    <x v="63"/>
    <x v="1"/>
    <x v="1"/>
  </r>
  <r>
    <x v="11"/>
    <x v="20"/>
    <n v="4"/>
    <n v="5300"/>
    <x v="75"/>
    <x v="63"/>
    <x v="1"/>
    <x v="7"/>
  </r>
  <r>
    <x v="5"/>
    <x v="6"/>
    <n v="4"/>
    <n v="7250"/>
    <x v="77"/>
    <x v="65"/>
    <x v="1"/>
    <x v="6"/>
  </r>
  <r>
    <x v="5"/>
    <x v="18"/>
    <n v="2"/>
    <n v="1200"/>
    <x v="30"/>
    <x v="28"/>
    <x v="1"/>
    <x v="8"/>
  </r>
  <r>
    <x v="3"/>
    <x v="0"/>
    <n v="5"/>
    <n v="6000"/>
    <x v="83"/>
    <x v="54"/>
    <x v="1"/>
    <x v="9"/>
  </r>
  <r>
    <x v="2"/>
    <x v="2"/>
    <n v="4"/>
    <n v="8450"/>
    <x v="56"/>
    <x v="48"/>
    <x v="1"/>
    <x v="5"/>
  </r>
  <r>
    <x v="6"/>
    <x v="14"/>
    <n v="5"/>
    <n v="4200"/>
    <x v="64"/>
    <x v="13"/>
    <x v="1"/>
    <x v="4"/>
  </r>
  <r>
    <x v="6"/>
    <x v="12"/>
    <n v="3"/>
    <n v="10590"/>
    <x v="43"/>
    <x v="38"/>
    <x v="1"/>
    <x v="0"/>
  </r>
  <r>
    <x v="5"/>
    <x v="18"/>
    <n v="3"/>
    <n v="1200"/>
    <x v="9"/>
    <x v="1"/>
    <x v="1"/>
    <x v="11"/>
  </r>
  <r>
    <x v="10"/>
    <x v="7"/>
    <n v="5"/>
    <n v="1100"/>
    <x v="63"/>
    <x v="57"/>
    <x v="1"/>
    <x v="4"/>
  </r>
  <r>
    <x v="9"/>
    <x v="22"/>
    <n v="3"/>
    <n v="3700"/>
    <x v="84"/>
    <x v="47"/>
    <x v="1"/>
    <x v="3"/>
  </r>
  <r>
    <x v="1"/>
    <x v="22"/>
    <n v="3"/>
    <n v="3700"/>
    <x v="84"/>
    <x v="47"/>
    <x v="1"/>
    <x v="0"/>
  </r>
  <r>
    <x v="6"/>
    <x v="7"/>
    <n v="3"/>
    <n v="1100"/>
    <x v="7"/>
    <x v="7"/>
    <x v="1"/>
    <x v="6"/>
  </r>
  <r>
    <x v="5"/>
    <x v="22"/>
    <n v="2"/>
    <n v="3700"/>
    <x v="49"/>
    <x v="45"/>
    <x v="2"/>
    <x v="8"/>
  </r>
  <r>
    <x v="10"/>
    <x v="13"/>
    <n v="2"/>
    <n v="1490"/>
    <x v="35"/>
    <x v="33"/>
    <x v="2"/>
    <x v="7"/>
  </r>
  <r>
    <x v="9"/>
    <x v="21"/>
    <n v="5"/>
    <n v="1500"/>
    <x v="85"/>
    <x v="71"/>
    <x v="2"/>
    <x v="6"/>
  </r>
  <r>
    <x v="8"/>
    <x v="10"/>
    <n v="5"/>
    <n v="1090"/>
    <x v="68"/>
    <x v="60"/>
    <x v="2"/>
    <x v="0"/>
  </r>
  <r>
    <x v="10"/>
    <x v="9"/>
    <n v="4"/>
    <n v="1800"/>
    <x v="86"/>
    <x v="0"/>
    <x v="2"/>
    <x v="0"/>
  </r>
  <r>
    <x v="7"/>
    <x v="19"/>
    <n v="2"/>
    <n v="7530"/>
    <x v="44"/>
    <x v="39"/>
    <x v="2"/>
    <x v="2"/>
  </r>
  <r>
    <x v="6"/>
    <x v="7"/>
    <n v="2"/>
    <n v="1100"/>
    <x v="18"/>
    <x v="14"/>
    <x v="2"/>
    <x v="12"/>
  </r>
  <r>
    <x v="9"/>
    <x v="3"/>
    <n v="2"/>
    <n v="1350"/>
    <x v="16"/>
    <x v="16"/>
    <x v="2"/>
    <x v="6"/>
  </r>
  <r>
    <x v="8"/>
    <x v="3"/>
    <n v="3"/>
    <n v="1350"/>
    <x v="3"/>
    <x v="3"/>
    <x v="2"/>
    <x v="8"/>
  </r>
  <r>
    <x v="7"/>
    <x v="10"/>
    <n v="3"/>
    <n v="1090"/>
    <x v="76"/>
    <x v="64"/>
    <x v="2"/>
    <x v="11"/>
  </r>
  <r>
    <x v="7"/>
    <x v="14"/>
    <n v="5"/>
    <n v="4200"/>
    <x v="64"/>
    <x v="13"/>
    <x v="2"/>
    <x v="6"/>
  </r>
  <r>
    <x v="9"/>
    <x v="9"/>
    <n v="4"/>
    <n v="1800"/>
    <x v="86"/>
    <x v="0"/>
    <x v="2"/>
    <x v="8"/>
  </r>
  <r>
    <x v="11"/>
    <x v="10"/>
    <n v="4"/>
    <n v="1090"/>
    <x v="4"/>
    <x v="52"/>
    <x v="2"/>
    <x v="8"/>
  </r>
  <r>
    <x v="0"/>
    <x v="5"/>
    <n v="2"/>
    <n v="7600"/>
    <x v="5"/>
    <x v="5"/>
    <x v="2"/>
    <x v="8"/>
  </r>
  <r>
    <x v="8"/>
    <x v="5"/>
    <n v="2"/>
    <n v="7600"/>
    <x v="5"/>
    <x v="5"/>
    <x v="2"/>
    <x v="11"/>
  </r>
  <r>
    <x v="2"/>
    <x v="22"/>
    <n v="3"/>
    <n v="3700"/>
    <x v="84"/>
    <x v="47"/>
    <x v="2"/>
    <x v="0"/>
  </r>
  <r>
    <x v="4"/>
    <x v="6"/>
    <n v="3"/>
    <n v="7250"/>
    <x v="25"/>
    <x v="23"/>
    <x v="2"/>
    <x v="6"/>
  </r>
  <r>
    <x v="1"/>
    <x v="5"/>
    <n v="4"/>
    <n v="7600"/>
    <x v="65"/>
    <x v="58"/>
    <x v="2"/>
    <x v="10"/>
  </r>
  <r>
    <x v="10"/>
    <x v="14"/>
    <n v="2"/>
    <n v="4200"/>
    <x v="22"/>
    <x v="20"/>
    <x v="2"/>
    <x v="5"/>
  </r>
  <r>
    <x v="6"/>
    <x v="17"/>
    <n v="4"/>
    <n v="1250"/>
    <x v="70"/>
    <x v="27"/>
    <x v="2"/>
    <x v="8"/>
  </r>
  <r>
    <x v="8"/>
    <x v="10"/>
    <n v="2"/>
    <n v="1090"/>
    <x v="10"/>
    <x v="10"/>
    <x v="2"/>
    <x v="3"/>
  </r>
  <r>
    <x v="3"/>
    <x v="4"/>
    <n v="4"/>
    <n v="2180"/>
    <x v="60"/>
    <x v="53"/>
    <x v="2"/>
    <x v="11"/>
  </r>
  <r>
    <x v="11"/>
    <x v="22"/>
    <n v="3"/>
    <n v="3700"/>
    <x v="84"/>
    <x v="47"/>
    <x v="2"/>
    <x v="12"/>
  </r>
  <r>
    <x v="9"/>
    <x v="0"/>
    <n v="4"/>
    <n v="6000"/>
    <x v="13"/>
    <x v="56"/>
    <x v="2"/>
    <x v="5"/>
  </r>
  <r>
    <x v="10"/>
    <x v="17"/>
    <n v="2"/>
    <n v="1250"/>
    <x v="52"/>
    <x v="7"/>
    <x v="2"/>
    <x v="12"/>
  </r>
  <r>
    <x v="11"/>
    <x v="5"/>
    <n v="5"/>
    <n v="7600"/>
    <x v="72"/>
    <x v="56"/>
    <x v="2"/>
    <x v="1"/>
  </r>
  <r>
    <x v="0"/>
    <x v="1"/>
    <n v="3"/>
    <n v="1400"/>
    <x v="39"/>
    <x v="27"/>
    <x v="2"/>
    <x v="1"/>
  </r>
  <r>
    <x v="4"/>
    <x v="4"/>
    <n v="2"/>
    <n v="2180"/>
    <x v="4"/>
    <x v="4"/>
    <x v="2"/>
    <x v="4"/>
  </r>
  <r>
    <x v="0"/>
    <x v="9"/>
    <n v="3"/>
    <n v="1800"/>
    <x v="12"/>
    <x v="12"/>
    <x v="2"/>
    <x v="2"/>
  </r>
  <r>
    <x v="2"/>
    <x v="21"/>
    <n v="2"/>
    <n v="1500"/>
    <x v="87"/>
    <x v="45"/>
    <x v="2"/>
    <x v="7"/>
  </r>
  <r>
    <x v="6"/>
    <x v="2"/>
    <n v="3"/>
    <n v="8450"/>
    <x v="48"/>
    <x v="44"/>
    <x v="2"/>
    <x v="4"/>
  </r>
  <r>
    <x v="9"/>
    <x v="21"/>
    <n v="4"/>
    <n v="1500"/>
    <x v="17"/>
    <x v="66"/>
    <x v="2"/>
    <x v="11"/>
  </r>
  <r>
    <x v="5"/>
    <x v="0"/>
    <n v="3"/>
    <n v="6000"/>
    <x v="54"/>
    <x v="13"/>
    <x v="2"/>
    <x v="4"/>
  </r>
  <r>
    <x v="11"/>
    <x v="18"/>
    <n v="4"/>
    <n v="1200"/>
    <x v="71"/>
    <x v="25"/>
    <x v="2"/>
    <x v="5"/>
  </r>
  <r>
    <x v="0"/>
    <x v="14"/>
    <n v="2"/>
    <n v="4200"/>
    <x v="22"/>
    <x v="20"/>
    <x v="2"/>
    <x v="2"/>
  </r>
  <r>
    <x v="10"/>
    <x v="5"/>
    <n v="5"/>
    <n v="7600"/>
    <x v="72"/>
    <x v="56"/>
    <x v="2"/>
    <x v="2"/>
  </r>
  <r>
    <x v="5"/>
    <x v="6"/>
    <n v="3"/>
    <n v="7250"/>
    <x v="25"/>
    <x v="23"/>
    <x v="3"/>
    <x v="8"/>
  </r>
  <r>
    <x v="1"/>
    <x v="19"/>
    <n v="2"/>
    <n v="7530"/>
    <x v="44"/>
    <x v="39"/>
    <x v="3"/>
    <x v="6"/>
  </r>
  <r>
    <x v="2"/>
    <x v="6"/>
    <n v="3"/>
    <n v="7250"/>
    <x v="25"/>
    <x v="23"/>
    <x v="3"/>
    <x v="10"/>
  </r>
  <r>
    <x v="1"/>
    <x v="0"/>
    <n v="5"/>
    <n v="6000"/>
    <x v="83"/>
    <x v="54"/>
    <x v="3"/>
    <x v="0"/>
  </r>
  <r>
    <x v="5"/>
    <x v="18"/>
    <n v="2"/>
    <n v="1200"/>
    <x v="30"/>
    <x v="28"/>
    <x v="3"/>
    <x v="6"/>
  </r>
  <r>
    <x v="11"/>
    <x v="20"/>
    <n v="4"/>
    <n v="5300"/>
    <x v="75"/>
    <x v="63"/>
    <x v="3"/>
    <x v="0"/>
  </r>
  <r>
    <x v="8"/>
    <x v="2"/>
    <n v="3"/>
    <n v="8450"/>
    <x v="48"/>
    <x v="44"/>
    <x v="3"/>
    <x v="10"/>
  </r>
  <r>
    <x v="4"/>
    <x v="3"/>
    <n v="2"/>
    <n v="1350"/>
    <x v="16"/>
    <x v="16"/>
    <x v="3"/>
    <x v="10"/>
  </r>
  <r>
    <x v="6"/>
    <x v="10"/>
    <n v="2"/>
    <n v="1090"/>
    <x v="10"/>
    <x v="10"/>
    <x v="3"/>
    <x v="5"/>
  </r>
  <r>
    <x v="4"/>
    <x v="4"/>
    <n v="4"/>
    <n v="2180"/>
    <x v="60"/>
    <x v="53"/>
    <x v="3"/>
    <x v="9"/>
  </r>
  <r>
    <x v="0"/>
    <x v="0"/>
    <n v="5"/>
    <n v="6000"/>
    <x v="83"/>
    <x v="54"/>
    <x v="3"/>
    <x v="4"/>
  </r>
  <r>
    <x v="1"/>
    <x v="1"/>
    <n v="4"/>
    <n v="1400"/>
    <x v="88"/>
    <x v="20"/>
    <x v="3"/>
    <x v="10"/>
  </r>
  <r>
    <x v="2"/>
    <x v="2"/>
    <n v="3"/>
    <n v="8450"/>
    <x v="48"/>
    <x v="44"/>
    <x v="3"/>
    <x v="10"/>
  </r>
  <r>
    <x v="3"/>
    <x v="3"/>
    <n v="2"/>
    <n v="1350"/>
    <x v="16"/>
    <x v="16"/>
    <x v="3"/>
    <x v="11"/>
  </r>
  <r>
    <x v="0"/>
    <x v="4"/>
    <n v="5"/>
    <n v="2180"/>
    <x v="57"/>
    <x v="50"/>
    <x v="3"/>
    <x v="5"/>
  </r>
  <r>
    <x v="4"/>
    <x v="5"/>
    <n v="3"/>
    <n v="7600"/>
    <x v="24"/>
    <x v="22"/>
    <x v="3"/>
    <x v="1"/>
  </r>
  <r>
    <x v="1"/>
    <x v="6"/>
    <n v="5"/>
    <n v="7250"/>
    <x v="58"/>
    <x v="51"/>
    <x v="3"/>
    <x v="12"/>
  </r>
  <r>
    <x v="3"/>
    <x v="7"/>
    <n v="5"/>
    <n v="1100"/>
    <x v="63"/>
    <x v="57"/>
    <x v="3"/>
    <x v="0"/>
  </r>
  <r>
    <x v="5"/>
    <x v="0"/>
    <n v="2"/>
    <n v="6000"/>
    <x v="0"/>
    <x v="0"/>
    <x v="3"/>
    <x v="9"/>
  </r>
  <r>
    <x v="0"/>
    <x v="8"/>
    <n v="2"/>
    <n v="1200"/>
    <x v="30"/>
    <x v="28"/>
    <x v="3"/>
    <x v="11"/>
  </r>
  <r>
    <x v="6"/>
    <x v="9"/>
    <n v="5"/>
    <n v="1800"/>
    <x v="89"/>
    <x v="72"/>
    <x v="3"/>
    <x v="4"/>
  </r>
  <r>
    <x v="6"/>
    <x v="10"/>
    <n v="4"/>
    <n v="1090"/>
    <x v="4"/>
    <x v="52"/>
    <x v="3"/>
    <x v="1"/>
  </r>
  <r>
    <x v="5"/>
    <x v="4"/>
    <n v="5"/>
    <n v="2180"/>
    <x v="57"/>
    <x v="50"/>
    <x v="3"/>
    <x v="6"/>
  </r>
  <r>
    <x v="7"/>
    <x v="9"/>
    <n v="5"/>
    <n v="1800"/>
    <x v="89"/>
    <x v="72"/>
    <x v="3"/>
    <x v="12"/>
  </r>
  <r>
    <x v="4"/>
    <x v="11"/>
    <n v="4"/>
    <n v="8000"/>
    <x v="90"/>
    <x v="56"/>
    <x v="3"/>
    <x v="8"/>
  </r>
  <r>
    <x v="5"/>
    <x v="1"/>
    <n v="5"/>
    <n v="1400"/>
    <x v="55"/>
    <x v="12"/>
    <x v="3"/>
    <x v="4"/>
  </r>
  <r>
    <x v="8"/>
    <x v="12"/>
    <n v="4"/>
    <n v="10590"/>
    <x v="80"/>
    <x v="68"/>
    <x v="3"/>
    <x v="9"/>
  </r>
  <r>
    <x v="9"/>
    <x v="3"/>
    <n v="3"/>
    <n v="1350"/>
    <x v="3"/>
    <x v="3"/>
    <x v="3"/>
    <x v="3"/>
  </r>
  <r>
    <x v="6"/>
    <x v="1"/>
    <n v="3"/>
    <n v="1400"/>
    <x v="39"/>
    <x v="27"/>
    <x v="3"/>
    <x v="12"/>
  </r>
  <r>
    <x v="3"/>
    <x v="0"/>
    <n v="2"/>
    <n v="6000"/>
    <x v="0"/>
    <x v="0"/>
    <x v="3"/>
    <x v="6"/>
  </r>
  <r>
    <x v="8"/>
    <x v="7"/>
    <n v="5"/>
    <n v="1100"/>
    <x v="63"/>
    <x v="57"/>
    <x v="3"/>
    <x v="10"/>
  </r>
  <r>
    <x v="2"/>
    <x v="0"/>
    <n v="3"/>
    <n v="6000"/>
    <x v="54"/>
    <x v="13"/>
    <x v="3"/>
    <x v="6"/>
  </r>
  <r>
    <x v="9"/>
    <x v="13"/>
    <n v="2"/>
    <n v="1490"/>
    <x v="35"/>
    <x v="33"/>
    <x v="3"/>
    <x v="11"/>
  </r>
  <r>
    <x v="8"/>
    <x v="12"/>
    <n v="2"/>
    <n v="10590"/>
    <x v="20"/>
    <x v="18"/>
    <x v="3"/>
    <x v="3"/>
  </r>
  <r>
    <x v="2"/>
    <x v="11"/>
    <n v="4"/>
    <n v="8000"/>
    <x v="90"/>
    <x v="56"/>
    <x v="3"/>
    <x v="10"/>
  </r>
  <r>
    <x v="6"/>
    <x v="7"/>
    <n v="3"/>
    <n v="1100"/>
    <x v="7"/>
    <x v="7"/>
    <x v="3"/>
    <x v="0"/>
  </r>
  <r>
    <x v="9"/>
    <x v="8"/>
    <n v="2"/>
    <n v="1200"/>
    <x v="30"/>
    <x v="28"/>
    <x v="3"/>
    <x v="7"/>
  </r>
  <r>
    <x v="4"/>
    <x v="14"/>
    <n v="3"/>
    <n v="4200"/>
    <x v="31"/>
    <x v="29"/>
    <x v="3"/>
    <x v="4"/>
  </r>
  <r>
    <x v="1"/>
    <x v="15"/>
    <n v="2"/>
    <n v="5775"/>
    <x v="91"/>
    <x v="73"/>
    <x v="3"/>
    <x v="6"/>
  </r>
  <r>
    <x v="10"/>
    <x v="5"/>
    <n v="4"/>
    <n v="7600"/>
    <x v="65"/>
    <x v="58"/>
    <x v="3"/>
    <x v="10"/>
  </r>
  <r>
    <x v="1"/>
    <x v="6"/>
    <n v="2"/>
    <n v="7250"/>
    <x v="6"/>
    <x v="6"/>
    <x v="3"/>
    <x v="9"/>
  </r>
  <r>
    <x v="0"/>
    <x v="6"/>
    <n v="3"/>
    <n v="7250"/>
    <x v="25"/>
    <x v="23"/>
    <x v="3"/>
    <x v="5"/>
  </r>
  <r>
    <x v="8"/>
    <x v="6"/>
    <n v="3"/>
    <n v="7250"/>
    <x v="25"/>
    <x v="23"/>
    <x v="3"/>
    <x v="7"/>
  </r>
  <r>
    <x v="5"/>
    <x v="3"/>
    <n v="5"/>
    <n v="1350"/>
    <x v="92"/>
    <x v="74"/>
    <x v="3"/>
    <x v="6"/>
  </r>
  <r>
    <x v="1"/>
    <x v="6"/>
    <n v="5"/>
    <n v="7250"/>
    <x v="58"/>
    <x v="51"/>
    <x v="3"/>
    <x v="12"/>
  </r>
  <r>
    <x v="6"/>
    <x v="5"/>
    <n v="5"/>
    <n v="7600"/>
    <x v="72"/>
    <x v="56"/>
    <x v="3"/>
    <x v="1"/>
  </r>
  <r>
    <x v="11"/>
    <x v="5"/>
    <n v="4"/>
    <n v="7600"/>
    <x v="65"/>
    <x v="58"/>
    <x v="3"/>
    <x v="3"/>
  </r>
  <r>
    <x v="1"/>
    <x v="13"/>
    <n v="4"/>
    <n v="1490"/>
    <x v="67"/>
    <x v="59"/>
    <x v="3"/>
    <x v="2"/>
  </r>
  <r>
    <x v="5"/>
    <x v="16"/>
    <n v="5"/>
    <n v="2900"/>
    <x v="6"/>
    <x v="6"/>
    <x v="3"/>
    <x v="11"/>
  </r>
  <r>
    <x v="9"/>
    <x v="13"/>
    <n v="4"/>
    <n v="1490"/>
    <x v="67"/>
    <x v="59"/>
    <x v="3"/>
    <x v="1"/>
  </r>
  <r>
    <x v="9"/>
    <x v="10"/>
    <n v="2"/>
    <n v="1090"/>
    <x v="10"/>
    <x v="10"/>
    <x v="3"/>
    <x v="5"/>
  </r>
  <r>
    <x v="5"/>
    <x v="8"/>
    <n v="3"/>
    <n v="1200"/>
    <x v="9"/>
    <x v="1"/>
    <x v="3"/>
    <x v="12"/>
  </r>
  <r>
    <x v="8"/>
    <x v="12"/>
    <n v="4"/>
    <n v="10590"/>
    <x v="80"/>
    <x v="68"/>
    <x v="3"/>
    <x v="6"/>
  </r>
  <r>
    <x v="6"/>
    <x v="14"/>
    <n v="2"/>
    <n v="4200"/>
    <x v="22"/>
    <x v="20"/>
    <x v="3"/>
    <x v="7"/>
  </r>
  <r>
    <x v="3"/>
    <x v="14"/>
    <n v="5"/>
    <n v="4200"/>
    <x v="64"/>
    <x v="13"/>
    <x v="3"/>
    <x v="2"/>
  </r>
  <r>
    <x v="7"/>
    <x v="12"/>
    <n v="2"/>
    <n v="10590"/>
    <x v="20"/>
    <x v="18"/>
    <x v="3"/>
    <x v="2"/>
  </r>
  <r>
    <x v="11"/>
    <x v="17"/>
    <n v="4"/>
    <n v="1250"/>
    <x v="70"/>
    <x v="27"/>
    <x v="3"/>
    <x v="3"/>
  </r>
  <r>
    <x v="0"/>
    <x v="13"/>
    <n v="4"/>
    <n v="1490"/>
    <x v="67"/>
    <x v="59"/>
    <x v="3"/>
    <x v="10"/>
  </r>
  <r>
    <x v="6"/>
    <x v="8"/>
    <n v="4"/>
    <n v="1200"/>
    <x v="71"/>
    <x v="25"/>
    <x v="3"/>
    <x v="10"/>
  </r>
  <r>
    <x v="2"/>
    <x v="4"/>
    <n v="3"/>
    <n v="2180"/>
    <x v="11"/>
    <x v="11"/>
    <x v="3"/>
    <x v="12"/>
  </r>
  <r>
    <x v="9"/>
    <x v="18"/>
    <n v="2"/>
    <n v="1200"/>
    <x v="30"/>
    <x v="28"/>
    <x v="3"/>
    <x v="12"/>
  </r>
  <r>
    <x v="0"/>
    <x v="9"/>
    <n v="4"/>
    <n v="1800"/>
    <x v="86"/>
    <x v="0"/>
    <x v="3"/>
    <x v="1"/>
  </r>
  <r>
    <x v="2"/>
    <x v="5"/>
    <n v="2"/>
    <n v="7600"/>
    <x v="5"/>
    <x v="5"/>
    <x v="3"/>
    <x v="0"/>
  </r>
  <r>
    <x v="7"/>
    <x v="19"/>
    <n v="4"/>
    <n v="7530"/>
    <x v="81"/>
    <x v="69"/>
    <x v="3"/>
    <x v="12"/>
  </r>
  <r>
    <x v="11"/>
    <x v="13"/>
    <n v="2"/>
    <n v="1490"/>
    <x v="35"/>
    <x v="33"/>
    <x v="3"/>
    <x v="6"/>
  </r>
  <r>
    <x v="0"/>
    <x v="20"/>
    <n v="3"/>
    <n v="5300"/>
    <x v="46"/>
    <x v="42"/>
    <x v="3"/>
    <x v="1"/>
  </r>
  <r>
    <x v="4"/>
    <x v="8"/>
    <n v="3"/>
    <n v="1200"/>
    <x v="9"/>
    <x v="1"/>
    <x v="3"/>
    <x v="6"/>
  </r>
  <r>
    <x v="9"/>
    <x v="10"/>
    <n v="2"/>
    <n v="1090"/>
    <x v="10"/>
    <x v="10"/>
    <x v="3"/>
    <x v="7"/>
  </r>
  <r>
    <x v="4"/>
    <x v="6"/>
    <n v="5"/>
    <n v="7250"/>
    <x v="58"/>
    <x v="51"/>
    <x v="3"/>
    <x v="6"/>
  </r>
  <r>
    <x v="10"/>
    <x v="1"/>
    <n v="2"/>
    <n v="1400"/>
    <x v="1"/>
    <x v="1"/>
    <x v="3"/>
    <x v="10"/>
  </r>
  <r>
    <x v="2"/>
    <x v="21"/>
    <n v="2"/>
    <n v="1500"/>
    <x v="87"/>
    <x v="45"/>
    <x v="3"/>
    <x v="3"/>
  </r>
  <r>
    <x v="7"/>
    <x v="3"/>
    <n v="3"/>
    <n v="1350"/>
    <x v="3"/>
    <x v="3"/>
    <x v="3"/>
    <x v="3"/>
  </r>
  <r>
    <x v="7"/>
    <x v="8"/>
    <n v="2"/>
    <n v="1200"/>
    <x v="30"/>
    <x v="28"/>
    <x v="3"/>
    <x v="12"/>
  </r>
  <r>
    <x v="1"/>
    <x v="19"/>
    <n v="5"/>
    <n v="7530"/>
    <x v="73"/>
    <x v="61"/>
    <x v="3"/>
    <x v="1"/>
  </r>
  <r>
    <x v="10"/>
    <x v="8"/>
    <n v="5"/>
    <n v="1200"/>
    <x v="17"/>
    <x v="9"/>
    <x v="3"/>
    <x v="4"/>
  </r>
  <r>
    <x v="8"/>
    <x v="9"/>
    <n v="3"/>
    <n v="1800"/>
    <x v="12"/>
    <x v="12"/>
    <x v="3"/>
    <x v="10"/>
  </r>
  <r>
    <x v="0"/>
    <x v="6"/>
    <n v="3"/>
    <n v="7250"/>
    <x v="25"/>
    <x v="23"/>
    <x v="3"/>
    <x v="12"/>
  </r>
  <r>
    <x v="9"/>
    <x v="13"/>
    <n v="2"/>
    <n v="1490"/>
    <x v="35"/>
    <x v="33"/>
    <x v="3"/>
    <x v="8"/>
  </r>
  <r>
    <x v="9"/>
    <x v="18"/>
    <n v="3"/>
    <n v="1200"/>
    <x v="9"/>
    <x v="1"/>
    <x v="3"/>
    <x v="6"/>
  </r>
  <r>
    <x v="1"/>
    <x v="11"/>
    <n v="5"/>
    <n v="8000"/>
    <x v="61"/>
    <x v="54"/>
    <x v="3"/>
    <x v="2"/>
  </r>
  <r>
    <x v="6"/>
    <x v="1"/>
    <n v="3"/>
    <n v="1400"/>
    <x v="39"/>
    <x v="27"/>
    <x v="3"/>
    <x v="12"/>
  </r>
  <r>
    <x v="5"/>
    <x v="3"/>
    <n v="2"/>
    <n v="1350"/>
    <x v="16"/>
    <x v="16"/>
    <x v="3"/>
    <x v="5"/>
  </r>
  <r>
    <x v="8"/>
    <x v="18"/>
    <n v="2"/>
    <n v="1200"/>
    <x v="30"/>
    <x v="28"/>
    <x v="3"/>
    <x v="8"/>
  </r>
  <r>
    <x v="6"/>
    <x v="20"/>
    <n v="3"/>
    <n v="5300"/>
    <x v="46"/>
    <x v="42"/>
    <x v="3"/>
    <x v="12"/>
  </r>
  <r>
    <x v="9"/>
    <x v="12"/>
    <n v="2"/>
    <n v="10590"/>
    <x v="20"/>
    <x v="18"/>
    <x v="3"/>
    <x v="12"/>
  </r>
  <r>
    <x v="4"/>
    <x v="17"/>
    <n v="5"/>
    <n v="1250"/>
    <x v="93"/>
    <x v="36"/>
    <x v="3"/>
    <x v="8"/>
  </r>
  <r>
    <x v="11"/>
    <x v="18"/>
    <n v="2"/>
    <n v="1200"/>
    <x v="30"/>
    <x v="28"/>
    <x v="3"/>
    <x v="2"/>
  </r>
  <r>
    <x v="4"/>
    <x v="1"/>
    <n v="2"/>
    <n v="1400"/>
    <x v="1"/>
    <x v="1"/>
    <x v="3"/>
    <x v="0"/>
  </r>
  <r>
    <x v="11"/>
    <x v="19"/>
    <n v="3"/>
    <n v="7530"/>
    <x v="41"/>
    <x v="15"/>
    <x v="3"/>
    <x v="1"/>
  </r>
  <r>
    <x v="6"/>
    <x v="5"/>
    <n v="3"/>
    <n v="7600"/>
    <x v="24"/>
    <x v="22"/>
    <x v="3"/>
    <x v="11"/>
  </r>
  <r>
    <x v="11"/>
    <x v="21"/>
    <n v="2"/>
    <n v="1500"/>
    <x v="87"/>
    <x v="45"/>
    <x v="3"/>
    <x v="6"/>
  </r>
  <r>
    <x v="9"/>
    <x v="4"/>
    <n v="5"/>
    <n v="2180"/>
    <x v="57"/>
    <x v="50"/>
    <x v="3"/>
    <x v="6"/>
  </r>
  <r>
    <x v="3"/>
    <x v="4"/>
    <n v="2"/>
    <n v="2180"/>
    <x v="4"/>
    <x v="4"/>
    <x v="3"/>
    <x v="9"/>
  </r>
  <r>
    <x v="9"/>
    <x v="15"/>
    <n v="2"/>
    <n v="5775"/>
    <x v="91"/>
    <x v="73"/>
    <x v="3"/>
    <x v="10"/>
  </r>
  <r>
    <x v="9"/>
    <x v="7"/>
    <n v="3"/>
    <n v="1100"/>
    <x v="7"/>
    <x v="7"/>
    <x v="3"/>
    <x v="9"/>
  </r>
  <r>
    <x v="10"/>
    <x v="15"/>
    <n v="2"/>
    <n v="5775"/>
    <x v="91"/>
    <x v="73"/>
    <x v="3"/>
    <x v="9"/>
  </r>
  <r>
    <x v="7"/>
    <x v="3"/>
    <n v="3"/>
    <n v="1350"/>
    <x v="3"/>
    <x v="3"/>
    <x v="3"/>
    <x v="12"/>
  </r>
  <r>
    <x v="0"/>
    <x v="5"/>
    <n v="5"/>
    <n v="7600"/>
    <x v="72"/>
    <x v="56"/>
    <x v="3"/>
    <x v="3"/>
  </r>
  <r>
    <x v="2"/>
    <x v="6"/>
    <n v="4"/>
    <n v="7250"/>
    <x v="77"/>
    <x v="65"/>
    <x v="3"/>
    <x v="12"/>
  </r>
  <r>
    <x v="11"/>
    <x v="13"/>
    <n v="4"/>
    <n v="1490"/>
    <x v="67"/>
    <x v="59"/>
    <x v="3"/>
    <x v="10"/>
  </r>
  <r>
    <x v="3"/>
    <x v="13"/>
    <n v="5"/>
    <n v="1490"/>
    <x v="74"/>
    <x v="62"/>
    <x v="3"/>
    <x v="0"/>
  </r>
  <r>
    <x v="8"/>
    <x v="10"/>
    <n v="3"/>
    <n v="1090"/>
    <x v="76"/>
    <x v="64"/>
    <x v="3"/>
    <x v="7"/>
  </r>
  <r>
    <x v="8"/>
    <x v="8"/>
    <n v="3"/>
    <n v="1200"/>
    <x v="9"/>
    <x v="1"/>
    <x v="3"/>
    <x v="7"/>
  </r>
  <r>
    <x v="11"/>
    <x v="10"/>
    <n v="4"/>
    <n v="1090"/>
    <x v="4"/>
    <x v="52"/>
    <x v="3"/>
    <x v="12"/>
  </r>
  <r>
    <x v="11"/>
    <x v="4"/>
    <n v="4"/>
    <n v="2180"/>
    <x v="60"/>
    <x v="53"/>
    <x v="3"/>
    <x v="1"/>
  </r>
  <r>
    <x v="2"/>
    <x v="20"/>
    <n v="4"/>
    <n v="5300"/>
    <x v="75"/>
    <x v="63"/>
    <x v="3"/>
    <x v="4"/>
  </r>
  <r>
    <x v="11"/>
    <x v="20"/>
    <n v="3"/>
    <n v="5300"/>
    <x v="46"/>
    <x v="42"/>
    <x v="3"/>
    <x v="0"/>
  </r>
  <r>
    <x v="5"/>
    <x v="6"/>
    <n v="3"/>
    <n v="7250"/>
    <x v="25"/>
    <x v="23"/>
    <x v="3"/>
    <x v="1"/>
  </r>
  <r>
    <x v="5"/>
    <x v="18"/>
    <n v="2"/>
    <n v="1200"/>
    <x v="30"/>
    <x v="28"/>
    <x v="3"/>
    <x v="7"/>
  </r>
  <r>
    <x v="3"/>
    <x v="0"/>
    <n v="5"/>
    <n v="6000"/>
    <x v="83"/>
    <x v="54"/>
    <x v="3"/>
    <x v="5"/>
  </r>
  <r>
    <x v="2"/>
    <x v="2"/>
    <n v="3"/>
    <n v="8450"/>
    <x v="48"/>
    <x v="44"/>
    <x v="3"/>
    <x v="2"/>
  </r>
  <r>
    <x v="6"/>
    <x v="14"/>
    <n v="5"/>
    <n v="4200"/>
    <x v="64"/>
    <x v="13"/>
    <x v="4"/>
    <x v="8"/>
  </r>
  <r>
    <x v="6"/>
    <x v="12"/>
    <n v="5"/>
    <n v="10590"/>
    <x v="62"/>
    <x v="55"/>
    <x v="4"/>
    <x v="8"/>
  </r>
  <r>
    <x v="5"/>
    <x v="18"/>
    <n v="3"/>
    <n v="1200"/>
    <x v="9"/>
    <x v="1"/>
    <x v="4"/>
    <x v="9"/>
  </r>
  <r>
    <x v="10"/>
    <x v="7"/>
    <n v="4"/>
    <n v="1100"/>
    <x v="59"/>
    <x v="1"/>
    <x v="4"/>
    <x v="10"/>
  </r>
  <r>
    <x v="9"/>
    <x v="22"/>
    <n v="2"/>
    <n v="3700"/>
    <x v="49"/>
    <x v="45"/>
    <x v="4"/>
    <x v="6"/>
  </r>
  <r>
    <x v="1"/>
    <x v="22"/>
    <n v="2"/>
    <n v="3700"/>
    <x v="49"/>
    <x v="45"/>
    <x v="4"/>
    <x v="6"/>
  </r>
  <r>
    <x v="6"/>
    <x v="7"/>
    <n v="3"/>
    <n v="1100"/>
    <x v="7"/>
    <x v="7"/>
    <x v="4"/>
    <x v="1"/>
  </r>
  <r>
    <x v="5"/>
    <x v="22"/>
    <n v="2"/>
    <n v="3700"/>
    <x v="49"/>
    <x v="45"/>
    <x v="4"/>
    <x v="6"/>
  </r>
  <r>
    <x v="10"/>
    <x v="13"/>
    <n v="2"/>
    <n v="1490"/>
    <x v="35"/>
    <x v="33"/>
    <x v="4"/>
    <x v="11"/>
  </r>
  <r>
    <x v="9"/>
    <x v="21"/>
    <n v="3"/>
    <n v="1500"/>
    <x v="53"/>
    <x v="47"/>
    <x v="4"/>
    <x v="1"/>
  </r>
  <r>
    <x v="8"/>
    <x v="10"/>
    <n v="3"/>
    <n v="1090"/>
    <x v="76"/>
    <x v="64"/>
    <x v="4"/>
    <x v="7"/>
  </r>
  <r>
    <x v="10"/>
    <x v="9"/>
    <n v="5"/>
    <n v="1800"/>
    <x v="89"/>
    <x v="72"/>
    <x v="4"/>
    <x v="11"/>
  </r>
  <r>
    <x v="7"/>
    <x v="19"/>
    <n v="5"/>
    <n v="7530"/>
    <x v="73"/>
    <x v="61"/>
    <x v="4"/>
    <x v="4"/>
  </r>
  <r>
    <x v="6"/>
    <x v="7"/>
    <n v="5"/>
    <n v="1100"/>
    <x v="63"/>
    <x v="57"/>
    <x v="4"/>
    <x v="3"/>
  </r>
  <r>
    <x v="9"/>
    <x v="3"/>
    <n v="4"/>
    <n v="1350"/>
    <x v="12"/>
    <x v="49"/>
    <x v="4"/>
    <x v="1"/>
  </r>
  <r>
    <x v="8"/>
    <x v="3"/>
    <n v="4"/>
    <n v="1350"/>
    <x v="12"/>
    <x v="49"/>
    <x v="4"/>
    <x v="9"/>
  </r>
  <r>
    <x v="7"/>
    <x v="10"/>
    <n v="5"/>
    <n v="1090"/>
    <x v="68"/>
    <x v="60"/>
    <x v="4"/>
    <x v="0"/>
  </r>
  <r>
    <x v="7"/>
    <x v="14"/>
    <n v="5"/>
    <n v="4200"/>
    <x v="64"/>
    <x v="13"/>
    <x v="4"/>
    <x v="1"/>
  </r>
  <r>
    <x v="9"/>
    <x v="9"/>
    <n v="3"/>
    <n v="1800"/>
    <x v="12"/>
    <x v="12"/>
    <x v="4"/>
    <x v="3"/>
  </r>
  <r>
    <x v="11"/>
    <x v="10"/>
    <n v="4"/>
    <n v="1090"/>
    <x v="4"/>
    <x v="52"/>
    <x v="4"/>
    <x v="0"/>
  </r>
  <r>
    <x v="0"/>
    <x v="5"/>
    <n v="5"/>
    <n v="7600"/>
    <x v="72"/>
    <x v="56"/>
    <x v="4"/>
    <x v="3"/>
  </r>
  <r>
    <x v="8"/>
    <x v="5"/>
    <n v="4"/>
    <n v="7600"/>
    <x v="65"/>
    <x v="58"/>
    <x v="4"/>
    <x v="2"/>
  </r>
  <r>
    <x v="2"/>
    <x v="22"/>
    <n v="5"/>
    <n v="3700"/>
    <x v="94"/>
    <x v="71"/>
    <x v="4"/>
    <x v="4"/>
  </r>
  <r>
    <x v="4"/>
    <x v="6"/>
    <n v="2"/>
    <n v="7250"/>
    <x v="6"/>
    <x v="6"/>
    <x v="4"/>
    <x v="2"/>
  </r>
  <r>
    <x v="1"/>
    <x v="5"/>
    <n v="4"/>
    <n v="7600"/>
    <x v="65"/>
    <x v="58"/>
    <x v="4"/>
    <x v="8"/>
  </r>
  <r>
    <x v="10"/>
    <x v="14"/>
    <n v="2"/>
    <n v="4200"/>
    <x v="22"/>
    <x v="20"/>
    <x v="4"/>
    <x v="9"/>
  </r>
  <r>
    <x v="6"/>
    <x v="17"/>
    <n v="5"/>
    <n v="1250"/>
    <x v="93"/>
    <x v="36"/>
    <x v="4"/>
    <x v="8"/>
  </r>
  <r>
    <x v="8"/>
    <x v="10"/>
    <n v="5"/>
    <n v="1090"/>
    <x v="68"/>
    <x v="60"/>
    <x v="4"/>
    <x v="3"/>
  </r>
  <r>
    <x v="3"/>
    <x v="4"/>
    <n v="2"/>
    <n v="2180"/>
    <x v="4"/>
    <x v="4"/>
    <x v="4"/>
    <x v="5"/>
  </r>
  <r>
    <x v="11"/>
    <x v="22"/>
    <n v="2"/>
    <n v="3700"/>
    <x v="49"/>
    <x v="45"/>
    <x v="4"/>
    <x v="7"/>
  </r>
  <r>
    <x v="9"/>
    <x v="0"/>
    <n v="4"/>
    <n v="6000"/>
    <x v="13"/>
    <x v="56"/>
    <x v="4"/>
    <x v="5"/>
  </r>
  <r>
    <x v="10"/>
    <x v="17"/>
    <n v="2"/>
    <n v="1250"/>
    <x v="52"/>
    <x v="7"/>
    <x v="4"/>
    <x v="7"/>
  </r>
  <r>
    <x v="11"/>
    <x v="5"/>
    <n v="2"/>
    <n v="7600"/>
    <x v="5"/>
    <x v="5"/>
    <x v="4"/>
    <x v="8"/>
  </r>
  <r>
    <x v="0"/>
    <x v="1"/>
    <n v="4"/>
    <n v="1400"/>
    <x v="88"/>
    <x v="20"/>
    <x v="4"/>
    <x v="4"/>
  </r>
  <r>
    <x v="4"/>
    <x v="4"/>
    <n v="4"/>
    <n v="2180"/>
    <x v="60"/>
    <x v="53"/>
    <x v="4"/>
    <x v="11"/>
  </r>
  <r>
    <x v="0"/>
    <x v="9"/>
    <n v="2"/>
    <n v="1800"/>
    <x v="9"/>
    <x v="9"/>
    <x v="4"/>
    <x v="3"/>
  </r>
  <r>
    <x v="2"/>
    <x v="21"/>
    <n v="2"/>
    <n v="1500"/>
    <x v="87"/>
    <x v="45"/>
    <x v="4"/>
    <x v="0"/>
  </r>
  <r>
    <x v="6"/>
    <x v="2"/>
    <n v="2"/>
    <n v="8450"/>
    <x v="2"/>
    <x v="2"/>
    <x v="4"/>
    <x v="5"/>
  </r>
  <r>
    <x v="9"/>
    <x v="21"/>
    <n v="4"/>
    <n v="1500"/>
    <x v="17"/>
    <x v="66"/>
    <x v="4"/>
    <x v="4"/>
  </r>
  <r>
    <x v="5"/>
    <x v="0"/>
    <n v="5"/>
    <n v="6000"/>
    <x v="83"/>
    <x v="54"/>
    <x v="4"/>
    <x v="10"/>
  </r>
  <r>
    <x v="11"/>
    <x v="18"/>
    <n v="5"/>
    <n v="1200"/>
    <x v="17"/>
    <x v="9"/>
    <x v="4"/>
    <x v="2"/>
  </r>
  <r>
    <x v="0"/>
    <x v="14"/>
    <n v="3"/>
    <n v="4200"/>
    <x v="31"/>
    <x v="29"/>
    <x v="4"/>
    <x v="0"/>
  </r>
  <r>
    <x v="10"/>
    <x v="5"/>
    <n v="4"/>
    <n v="7600"/>
    <x v="65"/>
    <x v="58"/>
    <x v="4"/>
    <x v="5"/>
  </r>
  <r>
    <x v="5"/>
    <x v="6"/>
    <n v="5"/>
    <n v="7250"/>
    <x v="58"/>
    <x v="51"/>
    <x v="4"/>
    <x v="7"/>
  </r>
  <r>
    <x v="1"/>
    <x v="19"/>
    <n v="5"/>
    <n v="7530"/>
    <x v="73"/>
    <x v="61"/>
    <x v="4"/>
    <x v="6"/>
  </r>
  <r>
    <x v="2"/>
    <x v="6"/>
    <n v="3"/>
    <n v="7250"/>
    <x v="25"/>
    <x v="23"/>
    <x v="4"/>
    <x v="12"/>
  </r>
  <r>
    <x v="1"/>
    <x v="0"/>
    <n v="4"/>
    <n v="6000"/>
    <x v="13"/>
    <x v="56"/>
    <x v="4"/>
    <x v="5"/>
  </r>
  <r>
    <x v="5"/>
    <x v="18"/>
    <n v="3"/>
    <n v="1200"/>
    <x v="9"/>
    <x v="1"/>
    <x v="4"/>
    <x v="4"/>
  </r>
  <r>
    <x v="11"/>
    <x v="20"/>
    <n v="2"/>
    <n v="5300"/>
    <x v="47"/>
    <x v="43"/>
    <x v="4"/>
    <x v="4"/>
  </r>
  <r>
    <x v="8"/>
    <x v="2"/>
    <n v="5"/>
    <n v="8450"/>
    <x v="95"/>
    <x v="75"/>
    <x v="4"/>
    <x v="3"/>
  </r>
  <r>
    <x v="4"/>
    <x v="3"/>
    <n v="4"/>
    <n v="1350"/>
    <x v="12"/>
    <x v="49"/>
    <x v="4"/>
    <x v="10"/>
  </r>
  <r>
    <x v="6"/>
    <x v="10"/>
    <n v="2"/>
    <n v="1090"/>
    <x v="10"/>
    <x v="10"/>
    <x v="4"/>
    <x v="7"/>
  </r>
  <r>
    <x v="4"/>
    <x v="4"/>
    <n v="4"/>
    <n v="2180"/>
    <x v="60"/>
    <x v="53"/>
    <x v="4"/>
    <x v="2"/>
  </r>
  <r>
    <x v="1"/>
    <x v="22"/>
    <n v="4"/>
    <n v="3700"/>
    <x v="96"/>
    <x v="66"/>
    <x v="4"/>
    <x v="1"/>
  </r>
  <r>
    <x v="6"/>
    <x v="7"/>
    <n v="5"/>
    <n v="1100"/>
    <x v="63"/>
    <x v="57"/>
    <x v="4"/>
    <x v="10"/>
  </r>
  <r>
    <x v="5"/>
    <x v="22"/>
    <n v="5"/>
    <n v="3700"/>
    <x v="94"/>
    <x v="71"/>
    <x v="4"/>
    <x v="4"/>
  </r>
  <r>
    <x v="10"/>
    <x v="13"/>
    <n v="3"/>
    <n v="1490"/>
    <x v="28"/>
    <x v="26"/>
    <x v="4"/>
    <x v="8"/>
  </r>
  <r>
    <x v="9"/>
    <x v="21"/>
    <n v="5"/>
    <n v="1500"/>
    <x v="85"/>
    <x v="71"/>
    <x v="4"/>
    <x v="4"/>
  </r>
  <r>
    <x v="8"/>
    <x v="10"/>
    <n v="5"/>
    <n v="1090"/>
    <x v="68"/>
    <x v="60"/>
    <x v="4"/>
    <x v="12"/>
  </r>
  <r>
    <x v="10"/>
    <x v="9"/>
    <n v="2"/>
    <n v="1800"/>
    <x v="9"/>
    <x v="9"/>
    <x v="4"/>
    <x v="4"/>
  </r>
  <r>
    <x v="7"/>
    <x v="19"/>
    <n v="5"/>
    <n v="7530"/>
    <x v="73"/>
    <x v="61"/>
    <x v="4"/>
    <x v="10"/>
  </r>
  <r>
    <x v="6"/>
    <x v="7"/>
    <n v="4"/>
    <n v="1100"/>
    <x v="59"/>
    <x v="1"/>
    <x v="4"/>
    <x v="2"/>
  </r>
  <r>
    <x v="9"/>
    <x v="3"/>
    <n v="5"/>
    <n v="1350"/>
    <x v="92"/>
    <x v="74"/>
    <x v="4"/>
    <x v="10"/>
  </r>
  <r>
    <x v="8"/>
    <x v="3"/>
    <n v="4"/>
    <n v="1350"/>
    <x v="12"/>
    <x v="49"/>
    <x v="4"/>
    <x v="7"/>
  </r>
  <r>
    <x v="7"/>
    <x v="10"/>
    <n v="5"/>
    <n v="1090"/>
    <x v="68"/>
    <x v="60"/>
    <x v="4"/>
    <x v="5"/>
  </r>
  <r>
    <x v="7"/>
    <x v="14"/>
    <n v="5"/>
    <n v="4200"/>
    <x v="64"/>
    <x v="13"/>
    <x v="4"/>
    <x v="4"/>
  </r>
  <r>
    <x v="9"/>
    <x v="9"/>
    <n v="5"/>
    <n v="1800"/>
    <x v="89"/>
    <x v="72"/>
    <x v="4"/>
    <x v="4"/>
  </r>
  <r>
    <x v="11"/>
    <x v="10"/>
    <n v="2"/>
    <n v="1090"/>
    <x v="10"/>
    <x v="10"/>
    <x v="4"/>
    <x v="3"/>
  </r>
  <r>
    <x v="0"/>
    <x v="5"/>
    <n v="5"/>
    <n v="7600"/>
    <x v="72"/>
    <x v="56"/>
    <x v="4"/>
    <x v="8"/>
  </r>
  <r>
    <x v="8"/>
    <x v="5"/>
    <n v="2"/>
    <n v="7600"/>
    <x v="5"/>
    <x v="5"/>
    <x v="4"/>
    <x v="9"/>
  </r>
  <r>
    <x v="2"/>
    <x v="22"/>
    <n v="5"/>
    <n v="3700"/>
    <x v="94"/>
    <x v="71"/>
    <x v="4"/>
    <x v="11"/>
  </r>
  <r>
    <x v="4"/>
    <x v="6"/>
    <n v="2"/>
    <n v="7250"/>
    <x v="6"/>
    <x v="6"/>
    <x v="4"/>
    <x v="11"/>
  </r>
  <r>
    <x v="1"/>
    <x v="5"/>
    <n v="4"/>
    <n v="7600"/>
    <x v="65"/>
    <x v="58"/>
    <x v="4"/>
    <x v="8"/>
  </r>
  <r>
    <x v="10"/>
    <x v="14"/>
    <n v="3"/>
    <n v="4200"/>
    <x v="31"/>
    <x v="29"/>
    <x v="4"/>
    <x v="5"/>
  </r>
  <r>
    <x v="6"/>
    <x v="17"/>
    <n v="5"/>
    <n v="1250"/>
    <x v="93"/>
    <x v="36"/>
    <x v="4"/>
    <x v="11"/>
  </r>
  <r>
    <x v="8"/>
    <x v="10"/>
    <n v="2"/>
    <n v="1090"/>
    <x v="10"/>
    <x v="10"/>
    <x v="4"/>
    <x v="1"/>
  </r>
  <r>
    <x v="3"/>
    <x v="4"/>
    <n v="3"/>
    <n v="2180"/>
    <x v="11"/>
    <x v="11"/>
    <x v="4"/>
    <x v="11"/>
  </r>
  <r>
    <x v="11"/>
    <x v="22"/>
    <n v="2"/>
    <n v="3700"/>
    <x v="49"/>
    <x v="45"/>
    <x v="4"/>
    <x v="1"/>
  </r>
  <r>
    <x v="9"/>
    <x v="0"/>
    <n v="2"/>
    <n v="6000"/>
    <x v="0"/>
    <x v="0"/>
    <x v="4"/>
    <x v="2"/>
  </r>
  <r>
    <x v="10"/>
    <x v="17"/>
    <n v="3"/>
    <n v="1250"/>
    <x v="51"/>
    <x v="46"/>
    <x v="4"/>
    <x v="11"/>
  </r>
  <r>
    <x v="11"/>
    <x v="5"/>
    <n v="3"/>
    <n v="7600"/>
    <x v="24"/>
    <x v="22"/>
    <x v="4"/>
    <x v="12"/>
  </r>
  <r>
    <x v="0"/>
    <x v="1"/>
    <n v="5"/>
    <n v="1400"/>
    <x v="55"/>
    <x v="12"/>
    <x v="4"/>
    <x v="7"/>
  </r>
  <r>
    <x v="4"/>
    <x v="4"/>
    <n v="2"/>
    <n v="2180"/>
    <x v="4"/>
    <x v="4"/>
    <x v="4"/>
    <x v="8"/>
  </r>
  <r>
    <x v="0"/>
    <x v="9"/>
    <n v="3"/>
    <n v="1800"/>
    <x v="12"/>
    <x v="12"/>
    <x v="4"/>
    <x v="3"/>
  </r>
  <r>
    <x v="2"/>
    <x v="21"/>
    <n v="5"/>
    <n v="1500"/>
    <x v="85"/>
    <x v="71"/>
    <x v="4"/>
    <x v="12"/>
  </r>
  <r>
    <x v="6"/>
    <x v="2"/>
    <n v="3"/>
    <n v="8450"/>
    <x v="48"/>
    <x v="44"/>
    <x v="4"/>
    <x v="3"/>
  </r>
  <r>
    <x v="9"/>
    <x v="21"/>
    <n v="4"/>
    <n v="1500"/>
    <x v="17"/>
    <x v="66"/>
    <x v="4"/>
    <x v="3"/>
  </r>
  <r>
    <x v="5"/>
    <x v="0"/>
    <n v="4"/>
    <n v="6000"/>
    <x v="13"/>
    <x v="56"/>
    <x v="4"/>
    <x v="4"/>
  </r>
  <r>
    <x v="11"/>
    <x v="18"/>
    <n v="5"/>
    <n v="1200"/>
    <x v="17"/>
    <x v="9"/>
    <x v="4"/>
    <x v="11"/>
  </r>
  <r>
    <x v="0"/>
    <x v="14"/>
    <n v="2"/>
    <n v="4200"/>
    <x v="22"/>
    <x v="20"/>
    <x v="4"/>
    <x v="12"/>
  </r>
  <r>
    <x v="10"/>
    <x v="5"/>
    <n v="4"/>
    <n v="7600"/>
    <x v="65"/>
    <x v="58"/>
    <x v="4"/>
    <x v="1"/>
  </r>
  <r>
    <x v="5"/>
    <x v="6"/>
    <n v="4"/>
    <n v="7250"/>
    <x v="77"/>
    <x v="65"/>
    <x v="4"/>
    <x v="4"/>
  </r>
  <r>
    <x v="1"/>
    <x v="19"/>
    <n v="3"/>
    <n v="7530"/>
    <x v="41"/>
    <x v="15"/>
    <x v="4"/>
    <x v="5"/>
  </r>
  <r>
    <x v="2"/>
    <x v="6"/>
    <n v="4"/>
    <n v="7250"/>
    <x v="77"/>
    <x v="65"/>
    <x v="4"/>
    <x v="11"/>
  </r>
  <r>
    <x v="1"/>
    <x v="0"/>
    <n v="5"/>
    <n v="6000"/>
    <x v="83"/>
    <x v="54"/>
    <x v="4"/>
    <x v="6"/>
  </r>
  <r>
    <x v="5"/>
    <x v="18"/>
    <n v="3"/>
    <n v="1200"/>
    <x v="9"/>
    <x v="1"/>
    <x v="4"/>
    <x v="12"/>
  </r>
  <r>
    <x v="11"/>
    <x v="20"/>
    <n v="4"/>
    <n v="5300"/>
    <x v="75"/>
    <x v="63"/>
    <x v="4"/>
    <x v="2"/>
  </r>
  <r>
    <x v="8"/>
    <x v="2"/>
    <n v="5"/>
    <n v="8450"/>
    <x v="95"/>
    <x v="75"/>
    <x v="4"/>
    <x v="5"/>
  </r>
  <r>
    <x v="4"/>
    <x v="3"/>
    <n v="2"/>
    <n v="1350"/>
    <x v="16"/>
    <x v="16"/>
    <x v="4"/>
    <x v="8"/>
  </r>
  <r>
    <x v="6"/>
    <x v="10"/>
    <n v="4"/>
    <n v="1090"/>
    <x v="4"/>
    <x v="52"/>
    <x v="4"/>
    <x v="12"/>
  </r>
  <r>
    <x v="4"/>
    <x v="4"/>
    <n v="2"/>
    <n v="2180"/>
    <x v="4"/>
    <x v="4"/>
    <x v="4"/>
    <x v="4"/>
  </r>
  <r>
    <x v="0"/>
    <x v="0"/>
    <n v="5"/>
    <n v="6000"/>
    <x v="83"/>
    <x v="54"/>
    <x v="4"/>
    <x v="10"/>
  </r>
  <r>
    <x v="1"/>
    <x v="1"/>
    <n v="5"/>
    <n v="1400"/>
    <x v="55"/>
    <x v="12"/>
    <x v="4"/>
    <x v="3"/>
  </r>
  <r>
    <x v="2"/>
    <x v="2"/>
    <n v="2"/>
    <n v="8450"/>
    <x v="2"/>
    <x v="2"/>
    <x v="4"/>
    <x v="4"/>
  </r>
  <r>
    <x v="3"/>
    <x v="3"/>
    <n v="4"/>
    <n v="1350"/>
    <x v="12"/>
    <x v="49"/>
    <x v="4"/>
    <x v="10"/>
  </r>
  <r>
    <x v="0"/>
    <x v="4"/>
    <n v="2"/>
    <n v="2180"/>
    <x v="4"/>
    <x v="4"/>
    <x v="4"/>
    <x v="10"/>
  </r>
  <r>
    <x v="4"/>
    <x v="5"/>
    <n v="4"/>
    <n v="7600"/>
    <x v="65"/>
    <x v="58"/>
    <x v="4"/>
    <x v="2"/>
  </r>
  <r>
    <x v="1"/>
    <x v="6"/>
    <n v="2"/>
    <n v="7250"/>
    <x v="6"/>
    <x v="6"/>
    <x v="4"/>
    <x v="7"/>
  </r>
  <r>
    <x v="3"/>
    <x v="7"/>
    <n v="3"/>
    <n v="1100"/>
    <x v="7"/>
    <x v="7"/>
    <x v="4"/>
    <x v="8"/>
  </r>
  <r>
    <x v="5"/>
    <x v="0"/>
    <n v="3"/>
    <n v="6000"/>
    <x v="54"/>
    <x v="13"/>
    <x v="4"/>
    <x v="0"/>
  </r>
  <r>
    <x v="0"/>
    <x v="8"/>
    <n v="3"/>
    <n v="1200"/>
    <x v="9"/>
    <x v="1"/>
    <x v="4"/>
    <x v="5"/>
  </r>
  <r>
    <x v="6"/>
    <x v="9"/>
    <n v="2"/>
    <n v="1800"/>
    <x v="9"/>
    <x v="9"/>
    <x v="4"/>
    <x v="12"/>
  </r>
  <r>
    <x v="6"/>
    <x v="10"/>
    <n v="3"/>
    <n v="1090"/>
    <x v="76"/>
    <x v="64"/>
    <x v="4"/>
    <x v="1"/>
  </r>
  <r>
    <x v="5"/>
    <x v="4"/>
    <n v="2"/>
    <n v="2180"/>
    <x v="4"/>
    <x v="4"/>
    <x v="4"/>
    <x v="10"/>
  </r>
  <r>
    <x v="7"/>
    <x v="9"/>
    <n v="4"/>
    <n v="1800"/>
    <x v="86"/>
    <x v="0"/>
    <x v="4"/>
    <x v="9"/>
  </r>
  <r>
    <x v="4"/>
    <x v="11"/>
    <n v="5"/>
    <n v="8000"/>
    <x v="61"/>
    <x v="54"/>
    <x v="4"/>
    <x v="10"/>
  </r>
  <r>
    <x v="5"/>
    <x v="1"/>
    <n v="5"/>
    <n v="1400"/>
    <x v="55"/>
    <x v="12"/>
    <x v="4"/>
    <x v="1"/>
  </r>
  <r>
    <x v="8"/>
    <x v="12"/>
    <n v="2"/>
    <n v="10590"/>
    <x v="20"/>
    <x v="18"/>
    <x v="4"/>
    <x v="5"/>
  </r>
  <r>
    <x v="9"/>
    <x v="3"/>
    <n v="4"/>
    <n v="1350"/>
    <x v="12"/>
    <x v="49"/>
    <x v="4"/>
    <x v="1"/>
  </r>
  <r>
    <x v="6"/>
    <x v="1"/>
    <n v="3"/>
    <n v="1400"/>
    <x v="39"/>
    <x v="27"/>
    <x v="4"/>
    <x v="7"/>
  </r>
  <r>
    <x v="3"/>
    <x v="0"/>
    <n v="4"/>
    <n v="6000"/>
    <x v="13"/>
    <x v="56"/>
    <x v="4"/>
    <x v="0"/>
  </r>
  <r>
    <x v="8"/>
    <x v="7"/>
    <n v="2"/>
    <n v="1100"/>
    <x v="18"/>
    <x v="14"/>
    <x v="4"/>
    <x v="12"/>
  </r>
  <r>
    <x v="2"/>
    <x v="0"/>
    <n v="2"/>
    <n v="6000"/>
    <x v="0"/>
    <x v="0"/>
    <x v="4"/>
    <x v="6"/>
  </r>
  <r>
    <x v="9"/>
    <x v="13"/>
    <n v="4"/>
    <n v="1490"/>
    <x v="67"/>
    <x v="59"/>
    <x v="4"/>
    <x v="6"/>
  </r>
  <r>
    <x v="8"/>
    <x v="12"/>
    <n v="4"/>
    <n v="10590"/>
    <x v="80"/>
    <x v="68"/>
    <x v="4"/>
    <x v="5"/>
  </r>
  <r>
    <x v="2"/>
    <x v="11"/>
    <n v="2"/>
    <n v="8000"/>
    <x v="78"/>
    <x v="0"/>
    <x v="4"/>
    <x v="8"/>
  </r>
  <r>
    <x v="6"/>
    <x v="7"/>
    <n v="3"/>
    <n v="1100"/>
    <x v="7"/>
    <x v="7"/>
    <x v="4"/>
    <x v="1"/>
  </r>
  <r>
    <x v="9"/>
    <x v="8"/>
    <n v="3"/>
    <n v="1200"/>
    <x v="9"/>
    <x v="1"/>
    <x v="4"/>
    <x v="7"/>
  </r>
  <r>
    <x v="4"/>
    <x v="14"/>
    <n v="3"/>
    <n v="4200"/>
    <x v="31"/>
    <x v="29"/>
    <x v="4"/>
    <x v="10"/>
  </r>
  <r>
    <x v="1"/>
    <x v="15"/>
    <n v="5"/>
    <n v="5775"/>
    <x v="82"/>
    <x v="70"/>
    <x v="4"/>
    <x v="8"/>
  </r>
  <r>
    <x v="10"/>
    <x v="5"/>
    <n v="4"/>
    <n v="7600"/>
    <x v="65"/>
    <x v="58"/>
    <x v="4"/>
    <x v="4"/>
  </r>
  <r>
    <x v="1"/>
    <x v="6"/>
    <n v="2"/>
    <n v="7250"/>
    <x v="6"/>
    <x v="6"/>
    <x v="4"/>
    <x v="1"/>
  </r>
  <r>
    <x v="0"/>
    <x v="6"/>
    <n v="2"/>
    <n v="7250"/>
    <x v="6"/>
    <x v="6"/>
    <x v="4"/>
    <x v="2"/>
  </r>
  <r>
    <x v="8"/>
    <x v="6"/>
    <n v="2"/>
    <n v="7250"/>
    <x v="6"/>
    <x v="6"/>
    <x v="4"/>
    <x v="9"/>
  </r>
  <r>
    <x v="5"/>
    <x v="3"/>
    <n v="5"/>
    <n v="1350"/>
    <x v="92"/>
    <x v="74"/>
    <x v="4"/>
    <x v="3"/>
  </r>
  <r>
    <x v="1"/>
    <x v="6"/>
    <n v="4"/>
    <n v="7250"/>
    <x v="77"/>
    <x v="65"/>
    <x v="4"/>
    <x v="10"/>
  </r>
  <r>
    <x v="6"/>
    <x v="5"/>
    <n v="3"/>
    <n v="7600"/>
    <x v="24"/>
    <x v="22"/>
    <x v="4"/>
    <x v="10"/>
  </r>
  <r>
    <x v="11"/>
    <x v="5"/>
    <n v="2"/>
    <n v="7600"/>
    <x v="5"/>
    <x v="5"/>
    <x v="4"/>
    <x v="6"/>
  </r>
  <r>
    <x v="1"/>
    <x v="13"/>
    <n v="4"/>
    <n v="1490"/>
    <x v="67"/>
    <x v="59"/>
    <x v="4"/>
    <x v="5"/>
  </r>
  <r>
    <x v="5"/>
    <x v="16"/>
    <n v="3"/>
    <n v="2900"/>
    <x v="97"/>
    <x v="76"/>
    <x v="4"/>
    <x v="3"/>
  </r>
  <r>
    <x v="9"/>
    <x v="13"/>
    <n v="2"/>
    <n v="1490"/>
    <x v="35"/>
    <x v="33"/>
    <x v="4"/>
    <x v="6"/>
  </r>
  <r>
    <x v="9"/>
    <x v="10"/>
    <n v="2"/>
    <n v="1090"/>
    <x v="10"/>
    <x v="10"/>
    <x v="4"/>
    <x v="12"/>
  </r>
  <r>
    <x v="5"/>
    <x v="8"/>
    <n v="4"/>
    <n v="1200"/>
    <x v="71"/>
    <x v="25"/>
    <x v="4"/>
    <x v="4"/>
  </r>
  <r>
    <x v="8"/>
    <x v="12"/>
    <n v="2"/>
    <n v="10590"/>
    <x v="20"/>
    <x v="18"/>
    <x v="4"/>
    <x v="11"/>
  </r>
  <r>
    <x v="6"/>
    <x v="14"/>
    <n v="5"/>
    <n v="4200"/>
    <x v="64"/>
    <x v="13"/>
    <x v="4"/>
    <x v="10"/>
  </r>
  <r>
    <x v="3"/>
    <x v="14"/>
    <n v="2"/>
    <n v="4200"/>
    <x v="22"/>
    <x v="20"/>
    <x v="4"/>
    <x v="8"/>
  </r>
  <r>
    <x v="7"/>
    <x v="12"/>
    <n v="3"/>
    <n v="10590"/>
    <x v="43"/>
    <x v="38"/>
    <x v="4"/>
    <x v="2"/>
  </r>
  <r>
    <x v="11"/>
    <x v="17"/>
    <n v="5"/>
    <n v="1250"/>
    <x v="93"/>
    <x v="36"/>
    <x v="4"/>
    <x v="5"/>
  </r>
  <r>
    <x v="0"/>
    <x v="13"/>
    <n v="3"/>
    <n v="1490"/>
    <x v="28"/>
    <x v="26"/>
    <x v="4"/>
    <x v="6"/>
  </r>
  <r>
    <x v="6"/>
    <x v="8"/>
    <n v="5"/>
    <n v="1200"/>
    <x v="17"/>
    <x v="9"/>
    <x v="4"/>
    <x v="5"/>
  </r>
  <r>
    <x v="2"/>
    <x v="4"/>
    <n v="4"/>
    <n v="2180"/>
    <x v="60"/>
    <x v="53"/>
    <x v="4"/>
    <x v="2"/>
  </r>
  <r>
    <x v="9"/>
    <x v="18"/>
    <n v="3"/>
    <n v="1200"/>
    <x v="9"/>
    <x v="1"/>
    <x v="4"/>
    <x v="12"/>
  </r>
  <r>
    <x v="0"/>
    <x v="9"/>
    <n v="2"/>
    <n v="1800"/>
    <x v="9"/>
    <x v="9"/>
    <x v="4"/>
    <x v="2"/>
  </r>
  <r>
    <x v="2"/>
    <x v="5"/>
    <n v="2"/>
    <n v="7600"/>
    <x v="5"/>
    <x v="5"/>
    <x v="4"/>
    <x v="3"/>
  </r>
  <r>
    <x v="7"/>
    <x v="19"/>
    <n v="5"/>
    <n v="7530"/>
    <x v="73"/>
    <x v="61"/>
    <x v="4"/>
    <x v="12"/>
  </r>
  <r>
    <x v="11"/>
    <x v="13"/>
    <n v="4"/>
    <n v="1490"/>
    <x v="67"/>
    <x v="59"/>
    <x v="4"/>
    <x v="7"/>
  </r>
  <r>
    <x v="0"/>
    <x v="20"/>
    <n v="4"/>
    <n v="5300"/>
    <x v="75"/>
    <x v="63"/>
    <x v="4"/>
    <x v="3"/>
  </r>
  <r>
    <x v="4"/>
    <x v="8"/>
    <n v="4"/>
    <n v="1200"/>
    <x v="71"/>
    <x v="25"/>
    <x v="4"/>
    <x v="11"/>
  </r>
  <r>
    <x v="9"/>
    <x v="10"/>
    <n v="4"/>
    <n v="1090"/>
    <x v="4"/>
    <x v="52"/>
    <x v="4"/>
    <x v="9"/>
  </r>
  <r>
    <x v="4"/>
    <x v="6"/>
    <n v="3"/>
    <n v="7250"/>
    <x v="25"/>
    <x v="23"/>
    <x v="4"/>
    <x v="5"/>
  </r>
  <r>
    <x v="10"/>
    <x v="1"/>
    <n v="4"/>
    <n v="1400"/>
    <x v="88"/>
    <x v="20"/>
    <x v="4"/>
    <x v="3"/>
  </r>
  <r>
    <x v="2"/>
    <x v="21"/>
    <n v="2"/>
    <n v="1500"/>
    <x v="87"/>
    <x v="45"/>
    <x v="4"/>
    <x v="7"/>
  </r>
  <r>
    <x v="7"/>
    <x v="3"/>
    <n v="3"/>
    <n v="1350"/>
    <x v="3"/>
    <x v="3"/>
    <x v="4"/>
    <x v="0"/>
  </r>
  <r>
    <x v="7"/>
    <x v="8"/>
    <n v="4"/>
    <n v="1200"/>
    <x v="71"/>
    <x v="25"/>
    <x v="4"/>
    <x v="0"/>
  </r>
  <r>
    <x v="1"/>
    <x v="19"/>
    <n v="4"/>
    <n v="7530"/>
    <x v="81"/>
    <x v="69"/>
    <x v="4"/>
    <x v="1"/>
  </r>
  <r>
    <x v="10"/>
    <x v="8"/>
    <n v="2"/>
    <n v="1200"/>
    <x v="30"/>
    <x v="28"/>
    <x v="4"/>
    <x v="0"/>
  </r>
  <r>
    <x v="8"/>
    <x v="9"/>
    <n v="4"/>
    <n v="1800"/>
    <x v="86"/>
    <x v="0"/>
    <x v="4"/>
    <x v="1"/>
  </r>
  <r>
    <x v="0"/>
    <x v="6"/>
    <n v="4"/>
    <n v="7250"/>
    <x v="77"/>
    <x v="65"/>
    <x v="4"/>
    <x v="2"/>
  </r>
  <r>
    <x v="9"/>
    <x v="13"/>
    <n v="3"/>
    <n v="1490"/>
    <x v="28"/>
    <x v="26"/>
    <x v="4"/>
    <x v="6"/>
  </r>
  <r>
    <x v="9"/>
    <x v="18"/>
    <n v="4"/>
    <n v="1200"/>
    <x v="71"/>
    <x v="25"/>
    <x v="4"/>
    <x v="4"/>
  </r>
  <r>
    <x v="1"/>
    <x v="11"/>
    <n v="3"/>
    <n v="8000"/>
    <x v="13"/>
    <x v="13"/>
    <x v="4"/>
    <x v="11"/>
  </r>
  <r>
    <x v="6"/>
    <x v="1"/>
    <n v="4"/>
    <n v="1400"/>
    <x v="88"/>
    <x v="20"/>
    <x v="4"/>
    <x v="4"/>
  </r>
  <r>
    <x v="5"/>
    <x v="3"/>
    <n v="5"/>
    <n v="1350"/>
    <x v="92"/>
    <x v="74"/>
    <x v="4"/>
    <x v="12"/>
  </r>
  <r>
    <x v="8"/>
    <x v="18"/>
    <n v="5"/>
    <n v="1200"/>
    <x v="17"/>
    <x v="9"/>
    <x v="4"/>
    <x v="12"/>
  </r>
  <r>
    <x v="6"/>
    <x v="20"/>
    <n v="3"/>
    <n v="5300"/>
    <x v="46"/>
    <x v="42"/>
    <x v="4"/>
    <x v="10"/>
  </r>
  <r>
    <x v="9"/>
    <x v="12"/>
    <n v="4"/>
    <n v="10590"/>
    <x v="80"/>
    <x v="68"/>
    <x v="4"/>
    <x v="2"/>
  </r>
  <r>
    <x v="4"/>
    <x v="17"/>
    <n v="5"/>
    <n v="1250"/>
    <x v="93"/>
    <x v="36"/>
    <x v="4"/>
    <x v="2"/>
  </r>
  <r>
    <x v="11"/>
    <x v="18"/>
    <n v="3"/>
    <n v="1200"/>
    <x v="9"/>
    <x v="1"/>
    <x v="5"/>
    <x v="6"/>
  </r>
  <r>
    <x v="4"/>
    <x v="1"/>
    <n v="2"/>
    <n v="1400"/>
    <x v="1"/>
    <x v="1"/>
    <x v="5"/>
    <x v="4"/>
  </r>
  <r>
    <x v="11"/>
    <x v="19"/>
    <n v="4"/>
    <n v="7530"/>
    <x v="81"/>
    <x v="69"/>
    <x v="5"/>
    <x v="6"/>
  </r>
  <r>
    <x v="6"/>
    <x v="5"/>
    <n v="5"/>
    <n v="7600"/>
    <x v="72"/>
    <x v="56"/>
    <x v="5"/>
    <x v="6"/>
  </r>
  <r>
    <x v="11"/>
    <x v="21"/>
    <n v="2"/>
    <n v="1500"/>
    <x v="87"/>
    <x v="45"/>
    <x v="5"/>
    <x v="0"/>
  </r>
  <r>
    <x v="9"/>
    <x v="4"/>
    <n v="4"/>
    <n v="2180"/>
    <x v="60"/>
    <x v="53"/>
    <x v="5"/>
    <x v="9"/>
  </r>
  <r>
    <x v="3"/>
    <x v="4"/>
    <n v="3"/>
    <n v="2180"/>
    <x v="11"/>
    <x v="11"/>
    <x v="5"/>
    <x v="12"/>
  </r>
  <r>
    <x v="9"/>
    <x v="15"/>
    <n v="4"/>
    <n v="5775"/>
    <x v="98"/>
    <x v="77"/>
    <x v="5"/>
    <x v="5"/>
  </r>
  <r>
    <x v="9"/>
    <x v="7"/>
    <n v="4"/>
    <n v="1100"/>
    <x v="59"/>
    <x v="1"/>
    <x v="5"/>
    <x v="12"/>
  </r>
  <r>
    <x v="10"/>
    <x v="15"/>
    <n v="5"/>
    <n v="5775"/>
    <x v="82"/>
    <x v="70"/>
    <x v="5"/>
    <x v="10"/>
  </r>
  <r>
    <x v="7"/>
    <x v="3"/>
    <n v="3"/>
    <n v="1350"/>
    <x v="3"/>
    <x v="3"/>
    <x v="5"/>
    <x v="8"/>
  </r>
  <r>
    <x v="0"/>
    <x v="5"/>
    <n v="3"/>
    <n v="7600"/>
    <x v="24"/>
    <x v="22"/>
    <x v="5"/>
    <x v="7"/>
  </r>
  <r>
    <x v="2"/>
    <x v="6"/>
    <n v="5"/>
    <n v="7250"/>
    <x v="58"/>
    <x v="51"/>
    <x v="5"/>
    <x v="11"/>
  </r>
  <r>
    <x v="11"/>
    <x v="13"/>
    <n v="2"/>
    <n v="1490"/>
    <x v="35"/>
    <x v="33"/>
    <x v="5"/>
    <x v="9"/>
  </r>
  <r>
    <x v="3"/>
    <x v="13"/>
    <n v="2"/>
    <n v="1490"/>
    <x v="35"/>
    <x v="33"/>
    <x v="5"/>
    <x v="6"/>
  </r>
  <r>
    <x v="8"/>
    <x v="10"/>
    <n v="4"/>
    <n v="1090"/>
    <x v="4"/>
    <x v="52"/>
    <x v="5"/>
    <x v="6"/>
  </r>
  <r>
    <x v="8"/>
    <x v="8"/>
    <n v="3"/>
    <n v="1200"/>
    <x v="9"/>
    <x v="1"/>
    <x v="5"/>
    <x v="2"/>
  </r>
  <r>
    <x v="11"/>
    <x v="10"/>
    <n v="2"/>
    <n v="1090"/>
    <x v="10"/>
    <x v="10"/>
    <x v="5"/>
    <x v="5"/>
  </r>
  <r>
    <x v="11"/>
    <x v="4"/>
    <n v="3"/>
    <n v="2180"/>
    <x v="11"/>
    <x v="11"/>
    <x v="5"/>
    <x v="5"/>
  </r>
  <r>
    <x v="2"/>
    <x v="20"/>
    <n v="2"/>
    <n v="5300"/>
    <x v="47"/>
    <x v="43"/>
    <x v="5"/>
    <x v="7"/>
  </r>
  <r>
    <x v="11"/>
    <x v="20"/>
    <n v="5"/>
    <n v="5300"/>
    <x v="79"/>
    <x v="67"/>
    <x v="5"/>
    <x v="8"/>
  </r>
  <r>
    <x v="5"/>
    <x v="6"/>
    <n v="3"/>
    <n v="7250"/>
    <x v="25"/>
    <x v="23"/>
    <x v="5"/>
    <x v="10"/>
  </r>
  <r>
    <x v="5"/>
    <x v="18"/>
    <n v="4"/>
    <n v="1200"/>
    <x v="71"/>
    <x v="25"/>
    <x v="5"/>
    <x v="8"/>
  </r>
  <r>
    <x v="3"/>
    <x v="0"/>
    <n v="5"/>
    <n v="6000"/>
    <x v="83"/>
    <x v="54"/>
    <x v="5"/>
    <x v="0"/>
  </r>
  <r>
    <x v="2"/>
    <x v="2"/>
    <n v="3"/>
    <n v="8450"/>
    <x v="48"/>
    <x v="44"/>
    <x v="5"/>
    <x v="4"/>
  </r>
  <r>
    <x v="6"/>
    <x v="14"/>
    <n v="4"/>
    <n v="4200"/>
    <x v="69"/>
    <x v="22"/>
    <x v="5"/>
    <x v="8"/>
  </r>
  <r>
    <x v="6"/>
    <x v="12"/>
    <n v="3"/>
    <n v="10590"/>
    <x v="43"/>
    <x v="38"/>
    <x v="5"/>
    <x v="7"/>
  </r>
  <r>
    <x v="5"/>
    <x v="18"/>
    <n v="4"/>
    <n v="1200"/>
    <x v="71"/>
    <x v="25"/>
    <x v="5"/>
    <x v="0"/>
  </r>
  <r>
    <x v="10"/>
    <x v="7"/>
    <n v="5"/>
    <n v="1100"/>
    <x v="63"/>
    <x v="57"/>
    <x v="5"/>
    <x v="8"/>
  </r>
  <r>
    <x v="9"/>
    <x v="22"/>
    <n v="3"/>
    <n v="3700"/>
    <x v="84"/>
    <x v="47"/>
    <x v="5"/>
    <x v="11"/>
  </r>
  <r>
    <x v="1"/>
    <x v="22"/>
    <n v="5"/>
    <n v="3700"/>
    <x v="94"/>
    <x v="71"/>
    <x v="5"/>
    <x v="8"/>
  </r>
  <r>
    <x v="6"/>
    <x v="7"/>
    <n v="3"/>
    <n v="1100"/>
    <x v="7"/>
    <x v="7"/>
    <x v="5"/>
    <x v="11"/>
  </r>
  <r>
    <x v="5"/>
    <x v="22"/>
    <n v="4"/>
    <n v="3700"/>
    <x v="96"/>
    <x v="66"/>
    <x v="5"/>
    <x v="12"/>
  </r>
  <r>
    <x v="10"/>
    <x v="13"/>
    <n v="2"/>
    <n v="1490"/>
    <x v="35"/>
    <x v="33"/>
    <x v="5"/>
    <x v="8"/>
  </r>
  <r>
    <x v="9"/>
    <x v="21"/>
    <n v="5"/>
    <n v="1500"/>
    <x v="85"/>
    <x v="71"/>
    <x v="5"/>
    <x v="12"/>
  </r>
  <r>
    <x v="8"/>
    <x v="10"/>
    <n v="2"/>
    <n v="1090"/>
    <x v="10"/>
    <x v="10"/>
    <x v="5"/>
    <x v="10"/>
  </r>
  <r>
    <x v="10"/>
    <x v="9"/>
    <n v="3"/>
    <n v="1800"/>
    <x v="12"/>
    <x v="12"/>
    <x v="5"/>
    <x v="5"/>
  </r>
  <r>
    <x v="7"/>
    <x v="19"/>
    <n v="5"/>
    <n v="7530"/>
    <x v="73"/>
    <x v="61"/>
    <x v="5"/>
    <x v="1"/>
  </r>
  <r>
    <x v="6"/>
    <x v="7"/>
    <n v="3"/>
    <n v="1100"/>
    <x v="7"/>
    <x v="7"/>
    <x v="5"/>
    <x v="8"/>
  </r>
  <r>
    <x v="9"/>
    <x v="3"/>
    <n v="2"/>
    <n v="1350"/>
    <x v="16"/>
    <x v="16"/>
    <x v="5"/>
    <x v="9"/>
  </r>
  <r>
    <x v="8"/>
    <x v="3"/>
    <n v="5"/>
    <n v="1350"/>
    <x v="92"/>
    <x v="74"/>
    <x v="5"/>
    <x v="10"/>
  </r>
  <r>
    <x v="7"/>
    <x v="10"/>
    <n v="2"/>
    <n v="1090"/>
    <x v="10"/>
    <x v="10"/>
    <x v="5"/>
    <x v="2"/>
  </r>
  <r>
    <x v="7"/>
    <x v="14"/>
    <n v="4"/>
    <n v="4200"/>
    <x v="69"/>
    <x v="22"/>
    <x v="5"/>
    <x v="1"/>
  </r>
  <r>
    <x v="9"/>
    <x v="9"/>
    <n v="2"/>
    <n v="1800"/>
    <x v="9"/>
    <x v="9"/>
    <x v="5"/>
    <x v="12"/>
  </r>
  <r>
    <x v="11"/>
    <x v="10"/>
    <n v="3"/>
    <n v="1090"/>
    <x v="76"/>
    <x v="64"/>
    <x v="5"/>
    <x v="11"/>
  </r>
  <r>
    <x v="0"/>
    <x v="5"/>
    <n v="2"/>
    <n v="7600"/>
    <x v="5"/>
    <x v="5"/>
    <x v="5"/>
    <x v="0"/>
  </r>
  <r>
    <x v="8"/>
    <x v="5"/>
    <n v="2"/>
    <n v="7600"/>
    <x v="5"/>
    <x v="5"/>
    <x v="5"/>
    <x v="7"/>
  </r>
  <r>
    <x v="2"/>
    <x v="22"/>
    <n v="5"/>
    <n v="3700"/>
    <x v="94"/>
    <x v="71"/>
    <x v="5"/>
    <x v="3"/>
  </r>
  <r>
    <x v="4"/>
    <x v="6"/>
    <n v="3"/>
    <n v="7250"/>
    <x v="25"/>
    <x v="23"/>
    <x v="5"/>
    <x v="3"/>
  </r>
  <r>
    <x v="1"/>
    <x v="5"/>
    <n v="5"/>
    <n v="7600"/>
    <x v="72"/>
    <x v="56"/>
    <x v="5"/>
    <x v="4"/>
  </r>
  <r>
    <x v="10"/>
    <x v="14"/>
    <n v="4"/>
    <n v="4200"/>
    <x v="69"/>
    <x v="22"/>
    <x v="5"/>
    <x v="7"/>
  </r>
  <r>
    <x v="6"/>
    <x v="17"/>
    <n v="3"/>
    <n v="1250"/>
    <x v="51"/>
    <x v="46"/>
    <x v="5"/>
    <x v="5"/>
  </r>
  <r>
    <x v="8"/>
    <x v="10"/>
    <n v="5"/>
    <n v="1090"/>
    <x v="68"/>
    <x v="60"/>
    <x v="5"/>
    <x v="2"/>
  </r>
  <r>
    <x v="3"/>
    <x v="4"/>
    <n v="4"/>
    <n v="2180"/>
    <x v="60"/>
    <x v="53"/>
    <x v="5"/>
    <x v="5"/>
  </r>
  <r>
    <x v="11"/>
    <x v="22"/>
    <n v="3"/>
    <n v="3700"/>
    <x v="84"/>
    <x v="47"/>
    <x v="5"/>
    <x v="9"/>
  </r>
  <r>
    <x v="9"/>
    <x v="0"/>
    <n v="4"/>
    <n v="6000"/>
    <x v="13"/>
    <x v="56"/>
    <x v="5"/>
    <x v="7"/>
  </r>
  <r>
    <x v="10"/>
    <x v="17"/>
    <n v="5"/>
    <n v="1250"/>
    <x v="93"/>
    <x v="36"/>
    <x v="5"/>
    <x v="11"/>
  </r>
  <r>
    <x v="11"/>
    <x v="5"/>
    <n v="3"/>
    <n v="7600"/>
    <x v="24"/>
    <x v="22"/>
    <x v="5"/>
    <x v="3"/>
  </r>
  <r>
    <x v="0"/>
    <x v="1"/>
    <n v="5"/>
    <n v="1400"/>
    <x v="55"/>
    <x v="12"/>
    <x v="5"/>
    <x v="9"/>
  </r>
  <r>
    <x v="4"/>
    <x v="4"/>
    <n v="4"/>
    <n v="2180"/>
    <x v="60"/>
    <x v="53"/>
    <x v="5"/>
    <x v="1"/>
  </r>
  <r>
    <x v="0"/>
    <x v="9"/>
    <n v="5"/>
    <n v="1800"/>
    <x v="89"/>
    <x v="72"/>
    <x v="5"/>
    <x v="1"/>
  </r>
  <r>
    <x v="2"/>
    <x v="21"/>
    <n v="3"/>
    <n v="1500"/>
    <x v="53"/>
    <x v="47"/>
    <x v="5"/>
    <x v="8"/>
  </r>
  <r>
    <x v="6"/>
    <x v="2"/>
    <n v="4"/>
    <n v="8450"/>
    <x v="56"/>
    <x v="48"/>
    <x v="5"/>
    <x v="12"/>
  </r>
  <r>
    <x v="9"/>
    <x v="21"/>
    <n v="2"/>
    <n v="1500"/>
    <x v="87"/>
    <x v="45"/>
    <x v="5"/>
    <x v="2"/>
  </r>
  <r>
    <x v="5"/>
    <x v="0"/>
    <n v="2"/>
    <n v="6000"/>
    <x v="0"/>
    <x v="0"/>
    <x v="5"/>
    <x v="9"/>
  </r>
  <r>
    <x v="11"/>
    <x v="18"/>
    <n v="2"/>
    <n v="1200"/>
    <x v="30"/>
    <x v="28"/>
    <x v="5"/>
    <x v="5"/>
  </r>
  <r>
    <x v="0"/>
    <x v="14"/>
    <n v="3"/>
    <n v="4200"/>
    <x v="31"/>
    <x v="29"/>
    <x v="5"/>
    <x v="5"/>
  </r>
  <r>
    <x v="10"/>
    <x v="5"/>
    <n v="4"/>
    <n v="7600"/>
    <x v="65"/>
    <x v="58"/>
    <x v="5"/>
    <x v="12"/>
  </r>
  <r>
    <x v="5"/>
    <x v="6"/>
    <n v="4"/>
    <n v="7250"/>
    <x v="77"/>
    <x v="65"/>
    <x v="5"/>
    <x v="9"/>
  </r>
  <r>
    <x v="1"/>
    <x v="19"/>
    <n v="5"/>
    <n v="7530"/>
    <x v="73"/>
    <x v="61"/>
    <x v="5"/>
    <x v="3"/>
  </r>
  <r>
    <x v="2"/>
    <x v="6"/>
    <n v="3"/>
    <n v="7250"/>
    <x v="25"/>
    <x v="23"/>
    <x v="5"/>
    <x v="3"/>
  </r>
  <r>
    <x v="1"/>
    <x v="0"/>
    <n v="5"/>
    <n v="6000"/>
    <x v="83"/>
    <x v="54"/>
    <x v="5"/>
    <x v="8"/>
  </r>
  <r>
    <x v="5"/>
    <x v="18"/>
    <n v="5"/>
    <n v="1200"/>
    <x v="17"/>
    <x v="9"/>
    <x v="5"/>
    <x v="12"/>
  </r>
  <r>
    <x v="11"/>
    <x v="20"/>
    <n v="5"/>
    <n v="5300"/>
    <x v="79"/>
    <x v="67"/>
    <x v="5"/>
    <x v="10"/>
  </r>
  <r>
    <x v="8"/>
    <x v="2"/>
    <n v="2"/>
    <n v="8450"/>
    <x v="2"/>
    <x v="2"/>
    <x v="5"/>
    <x v="4"/>
  </r>
  <r>
    <x v="4"/>
    <x v="3"/>
    <n v="3"/>
    <n v="1350"/>
    <x v="3"/>
    <x v="3"/>
    <x v="5"/>
    <x v="1"/>
  </r>
  <r>
    <x v="6"/>
    <x v="10"/>
    <n v="2"/>
    <n v="1090"/>
    <x v="10"/>
    <x v="10"/>
    <x v="5"/>
    <x v="8"/>
  </r>
  <r>
    <x v="4"/>
    <x v="4"/>
    <n v="2"/>
    <n v="2180"/>
    <x v="4"/>
    <x v="4"/>
    <x v="5"/>
    <x v="9"/>
  </r>
  <r>
    <x v="1"/>
    <x v="22"/>
    <n v="5"/>
    <n v="3700"/>
    <x v="94"/>
    <x v="71"/>
    <x v="5"/>
    <x v="9"/>
  </r>
  <r>
    <x v="6"/>
    <x v="7"/>
    <n v="3"/>
    <n v="1100"/>
    <x v="7"/>
    <x v="7"/>
    <x v="5"/>
    <x v="10"/>
  </r>
  <r>
    <x v="5"/>
    <x v="22"/>
    <n v="4"/>
    <n v="3700"/>
    <x v="96"/>
    <x v="66"/>
    <x v="5"/>
    <x v="10"/>
  </r>
  <r>
    <x v="10"/>
    <x v="13"/>
    <n v="5"/>
    <n v="1490"/>
    <x v="74"/>
    <x v="62"/>
    <x v="5"/>
    <x v="5"/>
  </r>
  <r>
    <x v="9"/>
    <x v="21"/>
    <n v="4"/>
    <n v="1500"/>
    <x v="17"/>
    <x v="66"/>
    <x v="5"/>
    <x v="3"/>
  </r>
  <r>
    <x v="8"/>
    <x v="10"/>
    <n v="3"/>
    <n v="1090"/>
    <x v="76"/>
    <x v="64"/>
    <x v="5"/>
    <x v="4"/>
  </r>
  <r>
    <x v="10"/>
    <x v="9"/>
    <n v="4"/>
    <n v="1800"/>
    <x v="86"/>
    <x v="0"/>
    <x v="5"/>
    <x v="7"/>
  </r>
  <r>
    <x v="7"/>
    <x v="19"/>
    <n v="2"/>
    <n v="7530"/>
    <x v="44"/>
    <x v="39"/>
    <x v="5"/>
    <x v="5"/>
  </r>
  <r>
    <x v="6"/>
    <x v="7"/>
    <n v="2"/>
    <n v="1100"/>
    <x v="18"/>
    <x v="14"/>
    <x v="5"/>
    <x v="11"/>
  </r>
  <r>
    <x v="9"/>
    <x v="3"/>
    <n v="4"/>
    <n v="1350"/>
    <x v="12"/>
    <x v="49"/>
    <x v="5"/>
    <x v="8"/>
  </r>
  <r>
    <x v="8"/>
    <x v="3"/>
    <n v="2"/>
    <n v="1350"/>
    <x v="16"/>
    <x v="16"/>
    <x v="5"/>
    <x v="7"/>
  </r>
  <r>
    <x v="7"/>
    <x v="10"/>
    <n v="3"/>
    <n v="1090"/>
    <x v="76"/>
    <x v="64"/>
    <x v="5"/>
    <x v="5"/>
  </r>
  <r>
    <x v="7"/>
    <x v="14"/>
    <n v="5"/>
    <n v="4200"/>
    <x v="64"/>
    <x v="13"/>
    <x v="5"/>
    <x v="5"/>
  </r>
  <r>
    <x v="9"/>
    <x v="9"/>
    <n v="4"/>
    <n v="1800"/>
    <x v="86"/>
    <x v="0"/>
    <x v="5"/>
    <x v="5"/>
  </r>
  <r>
    <x v="11"/>
    <x v="10"/>
    <n v="4"/>
    <n v="1090"/>
    <x v="4"/>
    <x v="52"/>
    <x v="5"/>
    <x v="7"/>
  </r>
  <r>
    <x v="0"/>
    <x v="5"/>
    <n v="2"/>
    <n v="7600"/>
    <x v="5"/>
    <x v="5"/>
    <x v="5"/>
    <x v="4"/>
  </r>
  <r>
    <x v="8"/>
    <x v="5"/>
    <n v="2"/>
    <n v="7600"/>
    <x v="5"/>
    <x v="5"/>
    <x v="5"/>
    <x v="7"/>
  </r>
  <r>
    <x v="2"/>
    <x v="22"/>
    <n v="5"/>
    <n v="3700"/>
    <x v="94"/>
    <x v="71"/>
    <x v="5"/>
    <x v="6"/>
  </r>
  <r>
    <x v="4"/>
    <x v="6"/>
    <n v="3"/>
    <n v="7250"/>
    <x v="25"/>
    <x v="23"/>
    <x v="5"/>
    <x v="8"/>
  </r>
  <r>
    <x v="1"/>
    <x v="5"/>
    <n v="2"/>
    <n v="7600"/>
    <x v="5"/>
    <x v="5"/>
    <x v="5"/>
    <x v="2"/>
  </r>
  <r>
    <x v="10"/>
    <x v="14"/>
    <n v="3"/>
    <n v="4200"/>
    <x v="31"/>
    <x v="29"/>
    <x v="5"/>
    <x v="0"/>
  </r>
  <r>
    <x v="6"/>
    <x v="17"/>
    <n v="2"/>
    <n v="1250"/>
    <x v="52"/>
    <x v="7"/>
    <x v="5"/>
    <x v="5"/>
  </r>
  <r>
    <x v="8"/>
    <x v="10"/>
    <n v="2"/>
    <n v="1090"/>
    <x v="10"/>
    <x v="10"/>
    <x v="5"/>
    <x v="1"/>
  </r>
  <r>
    <x v="3"/>
    <x v="4"/>
    <n v="3"/>
    <n v="2180"/>
    <x v="11"/>
    <x v="11"/>
    <x v="5"/>
    <x v="8"/>
  </r>
  <r>
    <x v="11"/>
    <x v="22"/>
    <n v="3"/>
    <n v="3700"/>
    <x v="84"/>
    <x v="47"/>
    <x v="5"/>
    <x v="10"/>
  </r>
  <r>
    <x v="9"/>
    <x v="0"/>
    <n v="4"/>
    <n v="6000"/>
    <x v="13"/>
    <x v="56"/>
    <x v="5"/>
    <x v="2"/>
  </r>
  <r>
    <x v="10"/>
    <x v="17"/>
    <n v="3"/>
    <n v="1250"/>
    <x v="51"/>
    <x v="46"/>
    <x v="5"/>
    <x v="1"/>
  </r>
  <r>
    <x v="11"/>
    <x v="5"/>
    <n v="3"/>
    <n v="7600"/>
    <x v="24"/>
    <x v="22"/>
    <x v="5"/>
    <x v="10"/>
  </r>
  <r>
    <x v="0"/>
    <x v="1"/>
    <n v="2"/>
    <n v="1400"/>
    <x v="1"/>
    <x v="1"/>
    <x v="5"/>
    <x v="10"/>
  </r>
  <r>
    <x v="4"/>
    <x v="4"/>
    <n v="3"/>
    <n v="2180"/>
    <x v="11"/>
    <x v="11"/>
    <x v="5"/>
    <x v="8"/>
  </r>
  <r>
    <x v="0"/>
    <x v="9"/>
    <n v="5"/>
    <n v="1800"/>
    <x v="89"/>
    <x v="72"/>
    <x v="5"/>
    <x v="3"/>
  </r>
  <r>
    <x v="2"/>
    <x v="21"/>
    <n v="5"/>
    <n v="1500"/>
    <x v="85"/>
    <x v="71"/>
    <x v="5"/>
    <x v="8"/>
  </r>
  <r>
    <x v="6"/>
    <x v="2"/>
    <n v="3"/>
    <n v="8450"/>
    <x v="48"/>
    <x v="44"/>
    <x v="5"/>
    <x v="3"/>
  </r>
  <r>
    <x v="9"/>
    <x v="21"/>
    <n v="5"/>
    <n v="1500"/>
    <x v="85"/>
    <x v="71"/>
    <x v="5"/>
    <x v="2"/>
  </r>
  <r>
    <x v="5"/>
    <x v="0"/>
    <n v="4"/>
    <n v="6000"/>
    <x v="13"/>
    <x v="56"/>
    <x v="5"/>
    <x v="7"/>
  </r>
  <r>
    <x v="11"/>
    <x v="18"/>
    <n v="2"/>
    <n v="1200"/>
    <x v="30"/>
    <x v="28"/>
    <x v="5"/>
    <x v="12"/>
  </r>
  <r>
    <x v="0"/>
    <x v="14"/>
    <n v="2"/>
    <n v="4200"/>
    <x v="22"/>
    <x v="20"/>
    <x v="5"/>
    <x v="10"/>
  </r>
  <r>
    <x v="10"/>
    <x v="5"/>
    <n v="3"/>
    <n v="7600"/>
    <x v="24"/>
    <x v="22"/>
    <x v="5"/>
    <x v="6"/>
  </r>
  <r>
    <x v="5"/>
    <x v="6"/>
    <n v="5"/>
    <n v="7250"/>
    <x v="58"/>
    <x v="51"/>
    <x v="5"/>
    <x v="8"/>
  </r>
  <r>
    <x v="1"/>
    <x v="19"/>
    <n v="3"/>
    <n v="7530"/>
    <x v="41"/>
    <x v="15"/>
    <x v="5"/>
    <x v="1"/>
  </r>
  <r>
    <x v="2"/>
    <x v="6"/>
    <n v="4"/>
    <n v="7250"/>
    <x v="77"/>
    <x v="65"/>
    <x v="5"/>
    <x v="10"/>
  </r>
  <r>
    <x v="1"/>
    <x v="0"/>
    <n v="5"/>
    <n v="6000"/>
    <x v="83"/>
    <x v="54"/>
    <x v="5"/>
    <x v="9"/>
  </r>
  <r>
    <x v="5"/>
    <x v="18"/>
    <n v="2"/>
    <n v="1200"/>
    <x v="30"/>
    <x v="28"/>
    <x v="5"/>
    <x v="9"/>
  </r>
  <r>
    <x v="11"/>
    <x v="20"/>
    <n v="3"/>
    <n v="5300"/>
    <x v="46"/>
    <x v="42"/>
    <x v="5"/>
    <x v="2"/>
  </r>
  <r>
    <x v="8"/>
    <x v="2"/>
    <n v="5"/>
    <n v="8450"/>
    <x v="95"/>
    <x v="75"/>
    <x v="5"/>
    <x v="12"/>
  </r>
  <r>
    <x v="4"/>
    <x v="3"/>
    <n v="4"/>
    <n v="1350"/>
    <x v="12"/>
    <x v="49"/>
    <x v="5"/>
    <x v="6"/>
  </r>
  <r>
    <x v="6"/>
    <x v="10"/>
    <n v="3"/>
    <n v="1090"/>
    <x v="76"/>
    <x v="64"/>
    <x v="5"/>
    <x v="7"/>
  </r>
  <r>
    <x v="4"/>
    <x v="4"/>
    <n v="5"/>
    <n v="2180"/>
    <x v="57"/>
    <x v="50"/>
    <x v="5"/>
    <x v="12"/>
  </r>
  <r>
    <x v="0"/>
    <x v="0"/>
    <n v="3"/>
    <n v="6000"/>
    <x v="54"/>
    <x v="13"/>
    <x v="5"/>
    <x v="11"/>
  </r>
  <r>
    <x v="1"/>
    <x v="1"/>
    <n v="2"/>
    <n v="1400"/>
    <x v="1"/>
    <x v="1"/>
    <x v="5"/>
    <x v="12"/>
  </r>
  <r>
    <x v="2"/>
    <x v="2"/>
    <n v="4"/>
    <n v="8450"/>
    <x v="56"/>
    <x v="48"/>
    <x v="5"/>
    <x v="0"/>
  </r>
  <r>
    <x v="3"/>
    <x v="3"/>
    <n v="4"/>
    <n v="1350"/>
    <x v="12"/>
    <x v="49"/>
    <x v="5"/>
    <x v="1"/>
  </r>
  <r>
    <x v="0"/>
    <x v="4"/>
    <n v="4"/>
    <n v="2180"/>
    <x v="60"/>
    <x v="53"/>
    <x v="5"/>
    <x v="1"/>
  </r>
  <r>
    <x v="4"/>
    <x v="5"/>
    <n v="5"/>
    <n v="7600"/>
    <x v="72"/>
    <x v="56"/>
    <x v="5"/>
    <x v="6"/>
  </r>
  <r>
    <x v="1"/>
    <x v="6"/>
    <n v="2"/>
    <n v="7250"/>
    <x v="6"/>
    <x v="6"/>
    <x v="5"/>
    <x v="2"/>
  </r>
  <r>
    <x v="3"/>
    <x v="7"/>
    <n v="3"/>
    <n v="1100"/>
    <x v="7"/>
    <x v="7"/>
    <x v="5"/>
    <x v="6"/>
  </r>
  <r>
    <x v="5"/>
    <x v="0"/>
    <n v="3"/>
    <n v="6000"/>
    <x v="54"/>
    <x v="13"/>
    <x v="5"/>
    <x v="9"/>
  </r>
  <r>
    <x v="0"/>
    <x v="8"/>
    <n v="4"/>
    <n v="1200"/>
    <x v="71"/>
    <x v="25"/>
    <x v="5"/>
    <x v="7"/>
  </r>
  <r>
    <x v="6"/>
    <x v="9"/>
    <n v="5"/>
    <n v="1800"/>
    <x v="89"/>
    <x v="72"/>
    <x v="5"/>
    <x v="3"/>
  </r>
  <r>
    <x v="6"/>
    <x v="10"/>
    <n v="2"/>
    <n v="1090"/>
    <x v="10"/>
    <x v="10"/>
    <x v="5"/>
    <x v="7"/>
  </r>
  <r>
    <x v="5"/>
    <x v="4"/>
    <n v="5"/>
    <n v="2180"/>
    <x v="57"/>
    <x v="50"/>
    <x v="5"/>
    <x v="11"/>
  </r>
  <r>
    <x v="7"/>
    <x v="9"/>
    <n v="3"/>
    <n v="1800"/>
    <x v="12"/>
    <x v="12"/>
    <x v="5"/>
    <x v="2"/>
  </r>
  <r>
    <x v="4"/>
    <x v="11"/>
    <n v="3"/>
    <n v="8000"/>
    <x v="13"/>
    <x v="13"/>
    <x v="5"/>
    <x v="6"/>
  </r>
  <r>
    <x v="5"/>
    <x v="1"/>
    <n v="3"/>
    <n v="1400"/>
    <x v="39"/>
    <x v="27"/>
    <x v="5"/>
    <x v="1"/>
  </r>
  <r>
    <x v="8"/>
    <x v="12"/>
    <n v="4"/>
    <n v="10590"/>
    <x v="80"/>
    <x v="68"/>
    <x v="5"/>
    <x v="9"/>
  </r>
  <r>
    <x v="9"/>
    <x v="3"/>
    <n v="3"/>
    <n v="1350"/>
    <x v="3"/>
    <x v="3"/>
    <x v="5"/>
    <x v="8"/>
  </r>
  <r>
    <x v="6"/>
    <x v="1"/>
    <n v="2"/>
    <n v="1400"/>
    <x v="1"/>
    <x v="1"/>
    <x v="5"/>
    <x v="11"/>
  </r>
  <r>
    <x v="3"/>
    <x v="0"/>
    <n v="2"/>
    <n v="6000"/>
    <x v="0"/>
    <x v="0"/>
    <x v="5"/>
    <x v="3"/>
  </r>
  <r>
    <x v="8"/>
    <x v="7"/>
    <n v="4"/>
    <n v="1100"/>
    <x v="59"/>
    <x v="1"/>
    <x v="5"/>
    <x v="11"/>
  </r>
  <r>
    <x v="2"/>
    <x v="0"/>
    <n v="5"/>
    <n v="6000"/>
    <x v="83"/>
    <x v="54"/>
    <x v="5"/>
    <x v="4"/>
  </r>
  <r>
    <x v="9"/>
    <x v="13"/>
    <n v="4"/>
    <n v="1490"/>
    <x v="67"/>
    <x v="59"/>
    <x v="5"/>
    <x v="5"/>
  </r>
  <r>
    <x v="8"/>
    <x v="12"/>
    <n v="2"/>
    <n v="10590"/>
    <x v="20"/>
    <x v="18"/>
    <x v="5"/>
    <x v="4"/>
  </r>
  <r>
    <x v="2"/>
    <x v="11"/>
    <n v="4"/>
    <n v="8000"/>
    <x v="90"/>
    <x v="56"/>
    <x v="5"/>
    <x v="3"/>
  </r>
  <r>
    <x v="6"/>
    <x v="7"/>
    <n v="3"/>
    <n v="1100"/>
    <x v="7"/>
    <x v="7"/>
    <x v="5"/>
    <x v="5"/>
  </r>
  <r>
    <x v="9"/>
    <x v="8"/>
    <n v="3"/>
    <n v="1200"/>
    <x v="9"/>
    <x v="1"/>
    <x v="5"/>
    <x v="4"/>
  </r>
  <r>
    <x v="4"/>
    <x v="14"/>
    <n v="2"/>
    <n v="4200"/>
    <x v="22"/>
    <x v="20"/>
    <x v="5"/>
    <x v="6"/>
  </r>
  <r>
    <x v="1"/>
    <x v="15"/>
    <n v="4"/>
    <n v="5775"/>
    <x v="98"/>
    <x v="77"/>
    <x v="5"/>
    <x v="11"/>
  </r>
  <r>
    <x v="10"/>
    <x v="5"/>
    <n v="3"/>
    <n v="7600"/>
    <x v="24"/>
    <x v="22"/>
    <x v="5"/>
    <x v="11"/>
  </r>
  <r>
    <x v="1"/>
    <x v="6"/>
    <n v="3"/>
    <n v="7250"/>
    <x v="25"/>
    <x v="23"/>
    <x v="5"/>
    <x v="11"/>
  </r>
  <r>
    <x v="0"/>
    <x v="6"/>
    <n v="5"/>
    <n v="7250"/>
    <x v="58"/>
    <x v="51"/>
    <x v="5"/>
    <x v="1"/>
  </r>
  <r>
    <x v="8"/>
    <x v="6"/>
    <n v="2"/>
    <n v="7250"/>
    <x v="6"/>
    <x v="6"/>
    <x v="5"/>
    <x v="1"/>
  </r>
  <r>
    <x v="5"/>
    <x v="3"/>
    <n v="2"/>
    <n v="1350"/>
    <x v="16"/>
    <x v="16"/>
    <x v="5"/>
    <x v="0"/>
  </r>
  <r>
    <x v="1"/>
    <x v="6"/>
    <n v="5"/>
    <n v="7250"/>
    <x v="58"/>
    <x v="51"/>
    <x v="5"/>
    <x v="8"/>
  </r>
  <r>
    <x v="6"/>
    <x v="5"/>
    <n v="3"/>
    <n v="7600"/>
    <x v="24"/>
    <x v="22"/>
    <x v="5"/>
    <x v="6"/>
  </r>
  <r>
    <x v="11"/>
    <x v="5"/>
    <n v="5"/>
    <n v="7600"/>
    <x v="72"/>
    <x v="56"/>
    <x v="5"/>
    <x v="4"/>
  </r>
  <r>
    <x v="1"/>
    <x v="13"/>
    <n v="3"/>
    <n v="1490"/>
    <x v="28"/>
    <x v="26"/>
    <x v="5"/>
    <x v="12"/>
  </r>
  <r>
    <x v="5"/>
    <x v="16"/>
    <n v="5"/>
    <n v="2900"/>
    <x v="6"/>
    <x v="6"/>
    <x v="5"/>
    <x v="0"/>
  </r>
  <r>
    <x v="9"/>
    <x v="13"/>
    <n v="4"/>
    <n v="1490"/>
    <x v="67"/>
    <x v="59"/>
    <x v="5"/>
    <x v="5"/>
  </r>
  <r>
    <x v="9"/>
    <x v="10"/>
    <n v="2"/>
    <n v="1090"/>
    <x v="10"/>
    <x v="10"/>
    <x v="5"/>
    <x v="9"/>
  </r>
  <r>
    <x v="5"/>
    <x v="8"/>
    <n v="2"/>
    <n v="1200"/>
    <x v="30"/>
    <x v="28"/>
    <x v="5"/>
    <x v="10"/>
  </r>
  <r>
    <x v="8"/>
    <x v="12"/>
    <n v="4"/>
    <n v="10590"/>
    <x v="80"/>
    <x v="68"/>
    <x v="5"/>
    <x v="9"/>
  </r>
  <r>
    <x v="6"/>
    <x v="14"/>
    <n v="2"/>
    <n v="4200"/>
    <x v="22"/>
    <x v="20"/>
    <x v="5"/>
    <x v="10"/>
  </r>
  <r>
    <x v="3"/>
    <x v="14"/>
    <n v="3"/>
    <n v="4200"/>
    <x v="31"/>
    <x v="29"/>
    <x v="5"/>
    <x v="5"/>
  </r>
  <r>
    <x v="7"/>
    <x v="12"/>
    <n v="3"/>
    <n v="10590"/>
    <x v="43"/>
    <x v="38"/>
    <x v="5"/>
    <x v="7"/>
  </r>
  <r>
    <x v="11"/>
    <x v="17"/>
    <n v="5"/>
    <n v="1250"/>
    <x v="93"/>
    <x v="36"/>
    <x v="5"/>
    <x v="8"/>
  </r>
  <r>
    <x v="0"/>
    <x v="13"/>
    <n v="2"/>
    <n v="1490"/>
    <x v="35"/>
    <x v="33"/>
    <x v="5"/>
    <x v="4"/>
  </r>
  <r>
    <x v="6"/>
    <x v="8"/>
    <n v="4"/>
    <n v="1200"/>
    <x v="71"/>
    <x v="25"/>
    <x v="5"/>
    <x v="4"/>
  </r>
  <r>
    <x v="2"/>
    <x v="4"/>
    <n v="3"/>
    <n v="2180"/>
    <x v="11"/>
    <x v="11"/>
    <x v="5"/>
    <x v="10"/>
  </r>
  <r>
    <x v="9"/>
    <x v="18"/>
    <n v="5"/>
    <n v="1200"/>
    <x v="17"/>
    <x v="9"/>
    <x v="5"/>
    <x v="0"/>
  </r>
  <r>
    <x v="0"/>
    <x v="9"/>
    <n v="3"/>
    <n v="1800"/>
    <x v="12"/>
    <x v="12"/>
    <x v="5"/>
    <x v="10"/>
  </r>
  <r>
    <x v="2"/>
    <x v="5"/>
    <n v="5"/>
    <n v="7600"/>
    <x v="72"/>
    <x v="56"/>
    <x v="6"/>
    <x v="5"/>
  </r>
  <r>
    <x v="7"/>
    <x v="19"/>
    <n v="2"/>
    <n v="7530"/>
    <x v="44"/>
    <x v="39"/>
    <x v="6"/>
    <x v="11"/>
  </r>
  <r>
    <x v="11"/>
    <x v="13"/>
    <n v="5"/>
    <n v="1490"/>
    <x v="74"/>
    <x v="62"/>
    <x v="6"/>
    <x v="5"/>
  </r>
  <r>
    <x v="0"/>
    <x v="20"/>
    <n v="2"/>
    <n v="5300"/>
    <x v="47"/>
    <x v="43"/>
    <x v="6"/>
    <x v="11"/>
  </r>
  <r>
    <x v="4"/>
    <x v="8"/>
    <n v="4"/>
    <n v="1200"/>
    <x v="71"/>
    <x v="25"/>
    <x v="6"/>
    <x v="1"/>
  </r>
  <r>
    <x v="9"/>
    <x v="10"/>
    <n v="4"/>
    <n v="1090"/>
    <x v="4"/>
    <x v="52"/>
    <x v="6"/>
    <x v="3"/>
  </r>
  <r>
    <x v="4"/>
    <x v="6"/>
    <n v="5"/>
    <n v="7250"/>
    <x v="58"/>
    <x v="51"/>
    <x v="6"/>
    <x v="0"/>
  </r>
  <r>
    <x v="10"/>
    <x v="1"/>
    <n v="5"/>
    <n v="1400"/>
    <x v="55"/>
    <x v="12"/>
    <x v="6"/>
    <x v="1"/>
  </r>
  <r>
    <x v="2"/>
    <x v="21"/>
    <n v="5"/>
    <n v="1500"/>
    <x v="85"/>
    <x v="71"/>
    <x v="6"/>
    <x v="6"/>
  </r>
  <r>
    <x v="7"/>
    <x v="3"/>
    <n v="3"/>
    <n v="1350"/>
    <x v="3"/>
    <x v="3"/>
    <x v="6"/>
    <x v="8"/>
  </r>
  <r>
    <x v="7"/>
    <x v="8"/>
    <n v="2"/>
    <n v="1200"/>
    <x v="30"/>
    <x v="28"/>
    <x v="6"/>
    <x v="8"/>
  </r>
  <r>
    <x v="1"/>
    <x v="19"/>
    <n v="5"/>
    <n v="7530"/>
    <x v="73"/>
    <x v="61"/>
    <x v="6"/>
    <x v="1"/>
  </r>
  <r>
    <x v="10"/>
    <x v="8"/>
    <n v="3"/>
    <n v="1200"/>
    <x v="9"/>
    <x v="1"/>
    <x v="6"/>
    <x v="11"/>
  </r>
  <r>
    <x v="8"/>
    <x v="9"/>
    <n v="4"/>
    <n v="1800"/>
    <x v="86"/>
    <x v="0"/>
    <x v="6"/>
    <x v="9"/>
  </r>
  <r>
    <x v="0"/>
    <x v="6"/>
    <n v="4"/>
    <n v="7250"/>
    <x v="77"/>
    <x v="65"/>
    <x v="6"/>
    <x v="4"/>
  </r>
  <r>
    <x v="9"/>
    <x v="13"/>
    <n v="3"/>
    <n v="1490"/>
    <x v="28"/>
    <x v="26"/>
    <x v="6"/>
    <x v="11"/>
  </r>
  <r>
    <x v="9"/>
    <x v="18"/>
    <n v="5"/>
    <n v="1200"/>
    <x v="17"/>
    <x v="9"/>
    <x v="6"/>
    <x v="9"/>
  </r>
  <r>
    <x v="1"/>
    <x v="11"/>
    <n v="4"/>
    <n v="8000"/>
    <x v="90"/>
    <x v="56"/>
    <x v="6"/>
    <x v="11"/>
  </r>
  <r>
    <x v="6"/>
    <x v="1"/>
    <n v="3"/>
    <n v="1400"/>
    <x v="39"/>
    <x v="27"/>
    <x v="6"/>
    <x v="3"/>
  </r>
  <r>
    <x v="5"/>
    <x v="3"/>
    <n v="3"/>
    <n v="1350"/>
    <x v="3"/>
    <x v="3"/>
    <x v="6"/>
    <x v="7"/>
  </r>
  <r>
    <x v="8"/>
    <x v="18"/>
    <n v="4"/>
    <n v="1200"/>
    <x v="71"/>
    <x v="25"/>
    <x v="6"/>
    <x v="1"/>
  </r>
  <r>
    <x v="6"/>
    <x v="20"/>
    <n v="5"/>
    <n v="5300"/>
    <x v="79"/>
    <x v="67"/>
    <x v="6"/>
    <x v="0"/>
  </r>
  <r>
    <x v="9"/>
    <x v="12"/>
    <n v="5"/>
    <n v="10590"/>
    <x v="62"/>
    <x v="55"/>
    <x v="6"/>
    <x v="1"/>
  </r>
  <r>
    <x v="4"/>
    <x v="17"/>
    <n v="3"/>
    <n v="1250"/>
    <x v="51"/>
    <x v="46"/>
    <x v="6"/>
    <x v="2"/>
  </r>
  <r>
    <x v="11"/>
    <x v="18"/>
    <n v="4"/>
    <n v="1200"/>
    <x v="71"/>
    <x v="25"/>
    <x v="6"/>
    <x v="3"/>
  </r>
  <r>
    <x v="4"/>
    <x v="1"/>
    <n v="5"/>
    <n v="1400"/>
    <x v="55"/>
    <x v="12"/>
    <x v="6"/>
    <x v="9"/>
  </r>
  <r>
    <x v="11"/>
    <x v="19"/>
    <n v="3"/>
    <n v="7530"/>
    <x v="41"/>
    <x v="15"/>
    <x v="6"/>
    <x v="6"/>
  </r>
  <r>
    <x v="6"/>
    <x v="5"/>
    <n v="3"/>
    <n v="7600"/>
    <x v="24"/>
    <x v="22"/>
    <x v="6"/>
    <x v="0"/>
  </r>
  <r>
    <x v="11"/>
    <x v="21"/>
    <n v="3"/>
    <n v="1500"/>
    <x v="53"/>
    <x v="47"/>
    <x v="6"/>
    <x v="4"/>
  </r>
  <r>
    <x v="9"/>
    <x v="4"/>
    <n v="4"/>
    <n v="2180"/>
    <x v="60"/>
    <x v="53"/>
    <x v="6"/>
    <x v="4"/>
  </r>
  <r>
    <x v="3"/>
    <x v="4"/>
    <n v="3"/>
    <n v="2180"/>
    <x v="11"/>
    <x v="11"/>
    <x v="6"/>
    <x v="7"/>
  </r>
  <r>
    <x v="9"/>
    <x v="15"/>
    <n v="4"/>
    <n v="5775"/>
    <x v="98"/>
    <x v="77"/>
    <x v="6"/>
    <x v="4"/>
  </r>
  <r>
    <x v="9"/>
    <x v="7"/>
    <n v="3"/>
    <n v="1100"/>
    <x v="7"/>
    <x v="7"/>
    <x v="6"/>
    <x v="11"/>
  </r>
  <r>
    <x v="10"/>
    <x v="15"/>
    <n v="4"/>
    <n v="5775"/>
    <x v="98"/>
    <x v="77"/>
    <x v="6"/>
    <x v="7"/>
  </r>
  <r>
    <x v="7"/>
    <x v="3"/>
    <n v="3"/>
    <n v="1350"/>
    <x v="3"/>
    <x v="3"/>
    <x v="6"/>
    <x v="9"/>
  </r>
  <r>
    <x v="0"/>
    <x v="5"/>
    <n v="5"/>
    <n v="7600"/>
    <x v="72"/>
    <x v="56"/>
    <x v="6"/>
    <x v="11"/>
  </r>
  <r>
    <x v="2"/>
    <x v="6"/>
    <n v="2"/>
    <n v="7250"/>
    <x v="6"/>
    <x v="6"/>
    <x v="6"/>
    <x v="11"/>
  </r>
  <r>
    <x v="11"/>
    <x v="13"/>
    <n v="5"/>
    <n v="1490"/>
    <x v="74"/>
    <x v="62"/>
    <x v="6"/>
    <x v="12"/>
  </r>
  <r>
    <x v="3"/>
    <x v="13"/>
    <n v="4"/>
    <n v="1490"/>
    <x v="67"/>
    <x v="59"/>
    <x v="6"/>
    <x v="11"/>
  </r>
  <r>
    <x v="8"/>
    <x v="10"/>
    <n v="3"/>
    <n v="1090"/>
    <x v="76"/>
    <x v="64"/>
    <x v="6"/>
    <x v="1"/>
  </r>
  <r>
    <x v="8"/>
    <x v="8"/>
    <n v="4"/>
    <n v="1200"/>
    <x v="71"/>
    <x v="25"/>
    <x v="6"/>
    <x v="1"/>
  </r>
  <r>
    <x v="11"/>
    <x v="10"/>
    <n v="3"/>
    <n v="1090"/>
    <x v="76"/>
    <x v="64"/>
    <x v="6"/>
    <x v="8"/>
  </r>
  <r>
    <x v="11"/>
    <x v="4"/>
    <n v="4"/>
    <n v="2180"/>
    <x v="60"/>
    <x v="53"/>
    <x v="6"/>
    <x v="7"/>
  </r>
  <r>
    <x v="2"/>
    <x v="20"/>
    <n v="5"/>
    <n v="5300"/>
    <x v="79"/>
    <x v="67"/>
    <x v="6"/>
    <x v="11"/>
  </r>
  <r>
    <x v="11"/>
    <x v="20"/>
    <n v="4"/>
    <n v="5300"/>
    <x v="75"/>
    <x v="63"/>
    <x v="6"/>
    <x v="10"/>
  </r>
  <r>
    <x v="5"/>
    <x v="6"/>
    <n v="5"/>
    <n v="7250"/>
    <x v="58"/>
    <x v="51"/>
    <x v="6"/>
    <x v="3"/>
  </r>
  <r>
    <x v="5"/>
    <x v="18"/>
    <n v="4"/>
    <n v="1200"/>
    <x v="71"/>
    <x v="25"/>
    <x v="6"/>
    <x v="0"/>
  </r>
  <r>
    <x v="3"/>
    <x v="0"/>
    <n v="3"/>
    <n v="6000"/>
    <x v="54"/>
    <x v="13"/>
    <x v="6"/>
    <x v="0"/>
  </r>
  <r>
    <x v="2"/>
    <x v="2"/>
    <n v="5"/>
    <n v="8450"/>
    <x v="95"/>
    <x v="75"/>
    <x v="6"/>
    <x v="9"/>
  </r>
  <r>
    <x v="6"/>
    <x v="14"/>
    <n v="4"/>
    <n v="4200"/>
    <x v="69"/>
    <x v="22"/>
    <x v="6"/>
    <x v="1"/>
  </r>
  <r>
    <x v="6"/>
    <x v="12"/>
    <n v="4"/>
    <n v="10590"/>
    <x v="80"/>
    <x v="68"/>
    <x v="6"/>
    <x v="8"/>
  </r>
  <r>
    <x v="5"/>
    <x v="18"/>
    <n v="3"/>
    <n v="1200"/>
    <x v="9"/>
    <x v="1"/>
    <x v="6"/>
    <x v="7"/>
  </r>
  <r>
    <x v="10"/>
    <x v="7"/>
    <n v="4"/>
    <n v="1100"/>
    <x v="59"/>
    <x v="1"/>
    <x v="6"/>
    <x v="12"/>
  </r>
  <r>
    <x v="9"/>
    <x v="22"/>
    <n v="4"/>
    <n v="3700"/>
    <x v="96"/>
    <x v="66"/>
    <x v="6"/>
    <x v="6"/>
  </r>
  <r>
    <x v="1"/>
    <x v="22"/>
    <n v="3"/>
    <n v="3700"/>
    <x v="84"/>
    <x v="47"/>
    <x v="6"/>
    <x v="11"/>
  </r>
  <r>
    <x v="6"/>
    <x v="7"/>
    <n v="2"/>
    <n v="1100"/>
    <x v="18"/>
    <x v="14"/>
    <x v="6"/>
    <x v="0"/>
  </r>
  <r>
    <x v="5"/>
    <x v="22"/>
    <n v="4"/>
    <n v="3700"/>
    <x v="96"/>
    <x v="66"/>
    <x v="6"/>
    <x v="3"/>
  </r>
  <r>
    <x v="10"/>
    <x v="13"/>
    <n v="2"/>
    <n v="1490"/>
    <x v="35"/>
    <x v="33"/>
    <x v="6"/>
    <x v="7"/>
  </r>
  <r>
    <x v="9"/>
    <x v="21"/>
    <n v="5"/>
    <n v="1500"/>
    <x v="85"/>
    <x v="71"/>
    <x v="6"/>
    <x v="10"/>
  </r>
  <r>
    <x v="8"/>
    <x v="10"/>
    <n v="5"/>
    <n v="1090"/>
    <x v="68"/>
    <x v="60"/>
    <x v="6"/>
    <x v="2"/>
  </r>
  <r>
    <x v="10"/>
    <x v="9"/>
    <n v="4"/>
    <n v="1800"/>
    <x v="86"/>
    <x v="0"/>
    <x v="6"/>
    <x v="2"/>
  </r>
  <r>
    <x v="7"/>
    <x v="19"/>
    <n v="3"/>
    <n v="7530"/>
    <x v="41"/>
    <x v="15"/>
    <x v="6"/>
    <x v="6"/>
  </r>
  <r>
    <x v="6"/>
    <x v="7"/>
    <n v="2"/>
    <n v="1100"/>
    <x v="18"/>
    <x v="14"/>
    <x v="6"/>
    <x v="10"/>
  </r>
  <r>
    <x v="9"/>
    <x v="3"/>
    <n v="2"/>
    <n v="1350"/>
    <x v="16"/>
    <x v="16"/>
    <x v="6"/>
    <x v="10"/>
  </r>
  <r>
    <x v="8"/>
    <x v="3"/>
    <n v="5"/>
    <n v="1350"/>
    <x v="92"/>
    <x v="74"/>
    <x v="6"/>
    <x v="7"/>
  </r>
  <r>
    <x v="7"/>
    <x v="10"/>
    <n v="4"/>
    <n v="1090"/>
    <x v="4"/>
    <x v="52"/>
    <x v="6"/>
    <x v="12"/>
  </r>
  <r>
    <x v="7"/>
    <x v="14"/>
    <n v="3"/>
    <n v="4200"/>
    <x v="31"/>
    <x v="29"/>
    <x v="6"/>
    <x v="5"/>
  </r>
  <r>
    <x v="9"/>
    <x v="9"/>
    <n v="5"/>
    <n v="1800"/>
    <x v="89"/>
    <x v="72"/>
    <x v="6"/>
    <x v="7"/>
  </r>
  <r>
    <x v="11"/>
    <x v="10"/>
    <n v="5"/>
    <n v="1090"/>
    <x v="68"/>
    <x v="60"/>
    <x v="6"/>
    <x v="10"/>
  </r>
  <r>
    <x v="0"/>
    <x v="5"/>
    <n v="3"/>
    <n v="7600"/>
    <x v="24"/>
    <x v="22"/>
    <x v="6"/>
    <x v="12"/>
  </r>
  <r>
    <x v="8"/>
    <x v="5"/>
    <n v="5"/>
    <n v="7600"/>
    <x v="72"/>
    <x v="56"/>
    <x v="6"/>
    <x v="1"/>
  </r>
  <r>
    <x v="2"/>
    <x v="22"/>
    <n v="5"/>
    <n v="3700"/>
    <x v="94"/>
    <x v="71"/>
    <x v="6"/>
    <x v="0"/>
  </r>
  <r>
    <x v="4"/>
    <x v="6"/>
    <n v="2"/>
    <n v="7250"/>
    <x v="6"/>
    <x v="6"/>
    <x v="6"/>
    <x v="5"/>
  </r>
  <r>
    <x v="1"/>
    <x v="5"/>
    <n v="5"/>
    <n v="7600"/>
    <x v="72"/>
    <x v="56"/>
    <x v="6"/>
    <x v="8"/>
  </r>
  <r>
    <x v="10"/>
    <x v="14"/>
    <n v="5"/>
    <n v="4200"/>
    <x v="64"/>
    <x v="13"/>
    <x v="6"/>
    <x v="7"/>
  </r>
  <r>
    <x v="6"/>
    <x v="17"/>
    <n v="5"/>
    <n v="1250"/>
    <x v="93"/>
    <x v="36"/>
    <x v="6"/>
    <x v="7"/>
  </r>
  <r>
    <x v="8"/>
    <x v="10"/>
    <n v="2"/>
    <n v="1090"/>
    <x v="10"/>
    <x v="10"/>
    <x v="6"/>
    <x v="6"/>
  </r>
  <r>
    <x v="3"/>
    <x v="4"/>
    <n v="5"/>
    <n v="2180"/>
    <x v="57"/>
    <x v="50"/>
    <x v="6"/>
    <x v="8"/>
  </r>
  <r>
    <x v="11"/>
    <x v="22"/>
    <n v="5"/>
    <n v="3700"/>
    <x v="94"/>
    <x v="71"/>
    <x v="6"/>
    <x v="0"/>
  </r>
  <r>
    <x v="9"/>
    <x v="0"/>
    <n v="2"/>
    <n v="6000"/>
    <x v="0"/>
    <x v="0"/>
    <x v="6"/>
    <x v="2"/>
  </r>
  <r>
    <x v="10"/>
    <x v="17"/>
    <n v="3"/>
    <n v="1250"/>
    <x v="51"/>
    <x v="46"/>
    <x v="6"/>
    <x v="11"/>
  </r>
  <r>
    <x v="11"/>
    <x v="5"/>
    <n v="3"/>
    <n v="7600"/>
    <x v="24"/>
    <x v="22"/>
    <x v="6"/>
    <x v="4"/>
  </r>
  <r>
    <x v="0"/>
    <x v="1"/>
    <n v="5"/>
    <n v="1400"/>
    <x v="55"/>
    <x v="12"/>
    <x v="6"/>
    <x v="1"/>
  </r>
  <r>
    <x v="4"/>
    <x v="4"/>
    <n v="2"/>
    <n v="2180"/>
    <x v="4"/>
    <x v="4"/>
    <x v="6"/>
    <x v="11"/>
  </r>
  <r>
    <x v="0"/>
    <x v="9"/>
    <n v="4"/>
    <n v="1800"/>
    <x v="86"/>
    <x v="0"/>
    <x v="6"/>
    <x v="2"/>
  </r>
  <r>
    <x v="2"/>
    <x v="21"/>
    <n v="4"/>
    <n v="1500"/>
    <x v="17"/>
    <x v="66"/>
    <x v="6"/>
    <x v="11"/>
  </r>
  <r>
    <x v="6"/>
    <x v="2"/>
    <n v="2"/>
    <n v="8450"/>
    <x v="2"/>
    <x v="2"/>
    <x v="6"/>
    <x v="3"/>
  </r>
  <r>
    <x v="9"/>
    <x v="21"/>
    <n v="2"/>
    <n v="1500"/>
    <x v="87"/>
    <x v="45"/>
    <x v="6"/>
    <x v="0"/>
  </r>
  <r>
    <x v="5"/>
    <x v="0"/>
    <n v="5"/>
    <n v="6000"/>
    <x v="83"/>
    <x v="54"/>
    <x v="6"/>
    <x v="3"/>
  </r>
  <r>
    <x v="11"/>
    <x v="18"/>
    <n v="5"/>
    <n v="1200"/>
    <x v="17"/>
    <x v="9"/>
    <x v="6"/>
    <x v="3"/>
  </r>
  <r>
    <x v="0"/>
    <x v="14"/>
    <n v="3"/>
    <n v="4200"/>
    <x v="31"/>
    <x v="29"/>
    <x v="6"/>
    <x v="1"/>
  </r>
  <r>
    <x v="10"/>
    <x v="5"/>
    <n v="3"/>
    <n v="7600"/>
    <x v="24"/>
    <x v="22"/>
    <x v="6"/>
    <x v="9"/>
  </r>
  <r>
    <x v="5"/>
    <x v="6"/>
    <n v="3"/>
    <n v="7250"/>
    <x v="25"/>
    <x v="23"/>
    <x v="6"/>
    <x v="0"/>
  </r>
  <r>
    <x v="1"/>
    <x v="19"/>
    <n v="4"/>
    <n v="7530"/>
    <x v="81"/>
    <x v="69"/>
    <x v="6"/>
    <x v="10"/>
  </r>
  <r>
    <x v="2"/>
    <x v="6"/>
    <n v="4"/>
    <n v="7250"/>
    <x v="77"/>
    <x v="65"/>
    <x v="6"/>
    <x v="1"/>
  </r>
  <r>
    <x v="1"/>
    <x v="0"/>
    <n v="2"/>
    <n v="6000"/>
    <x v="0"/>
    <x v="0"/>
    <x v="6"/>
    <x v="7"/>
  </r>
  <r>
    <x v="5"/>
    <x v="18"/>
    <n v="4"/>
    <n v="1200"/>
    <x v="71"/>
    <x v="25"/>
    <x v="7"/>
    <x v="6"/>
  </r>
  <r>
    <x v="11"/>
    <x v="20"/>
    <n v="3"/>
    <n v="5300"/>
    <x v="46"/>
    <x v="42"/>
    <x v="7"/>
    <x v="7"/>
  </r>
  <r>
    <x v="8"/>
    <x v="2"/>
    <n v="3"/>
    <n v="8450"/>
    <x v="48"/>
    <x v="44"/>
    <x v="7"/>
    <x v="7"/>
  </r>
  <r>
    <x v="4"/>
    <x v="3"/>
    <n v="5"/>
    <n v="1350"/>
    <x v="92"/>
    <x v="74"/>
    <x v="7"/>
    <x v="0"/>
  </r>
  <r>
    <x v="6"/>
    <x v="10"/>
    <n v="2"/>
    <n v="1090"/>
    <x v="10"/>
    <x v="10"/>
    <x v="7"/>
    <x v="2"/>
  </r>
  <r>
    <x v="4"/>
    <x v="4"/>
    <n v="5"/>
    <n v="2180"/>
    <x v="57"/>
    <x v="50"/>
    <x v="7"/>
    <x v="2"/>
  </r>
  <r>
    <x v="0"/>
    <x v="0"/>
    <n v="4"/>
    <n v="6000"/>
    <x v="13"/>
    <x v="56"/>
    <x v="7"/>
    <x v="4"/>
  </r>
  <r>
    <x v="1"/>
    <x v="1"/>
    <n v="5"/>
    <n v="1400"/>
    <x v="55"/>
    <x v="12"/>
    <x v="7"/>
    <x v="12"/>
  </r>
  <r>
    <x v="2"/>
    <x v="2"/>
    <n v="2"/>
    <n v="8450"/>
    <x v="2"/>
    <x v="2"/>
    <x v="7"/>
    <x v="11"/>
  </r>
  <r>
    <x v="3"/>
    <x v="3"/>
    <n v="2"/>
    <n v="1350"/>
    <x v="16"/>
    <x v="16"/>
    <x v="7"/>
    <x v="11"/>
  </r>
  <r>
    <x v="0"/>
    <x v="4"/>
    <n v="5"/>
    <n v="2180"/>
    <x v="57"/>
    <x v="50"/>
    <x v="7"/>
    <x v="4"/>
  </r>
  <r>
    <x v="4"/>
    <x v="5"/>
    <n v="3"/>
    <n v="7600"/>
    <x v="24"/>
    <x v="22"/>
    <x v="7"/>
    <x v="6"/>
  </r>
  <r>
    <x v="1"/>
    <x v="6"/>
    <n v="2"/>
    <n v="7250"/>
    <x v="6"/>
    <x v="6"/>
    <x v="7"/>
    <x v="8"/>
  </r>
  <r>
    <x v="3"/>
    <x v="7"/>
    <n v="2"/>
    <n v="1100"/>
    <x v="18"/>
    <x v="14"/>
    <x v="7"/>
    <x v="8"/>
  </r>
  <r>
    <x v="5"/>
    <x v="0"/>
    <n v="4"/>
    <n v="6000"/>
    <x v="13"/>
    <x v="56"/>
    <x v="7"/>
    <x v="7"/>
  </r>
  <r>
    <x v="0"/>
    <x v="8"/>
    <n v="3"/>
    <n v="1200"/>
    <x v="9"/>
    <x v="1"/>
    <x v="7"/>
    <x v="6"/>
  </r>
  <r>
    <x v="6"/>
    <x v="9"/>
    <n v="3"/>
    <n v="1800"/>
    <x v="12"/>
    <x v="12"/>
    <x v="7"/>
    <x v="1"/>
  </r>
  <r>
    <x v="6"/>
    <x v="10"/>
    <n v="5"/>
    <n v="1090"/>
    <x v="68"/>
    <x v="60"/>
    <x v="7"/>
    <x v="8"/>
  </r>
  <r>
    <x v="5"/>
    <x v="4"/>
    <n v="4"/>
    <n v="2180"/>
    <x v="60"/>
    <x v="53"/>
    <x v="7"/>
    <x v="9"/>
  </r>
  <r>
    <x v="7"/>
    <x v="9"/>
    <n v="5"/>
    <n v="1800"/>
    <x v="89"/>
    <x v="72"/>
    <x v="7"/>
    <x v="8"/>
  </r>
  <r>
    <x v="4"/>
    <x v="11"/>
    <n v="3"/>
    <n v="8000"/>
    <x v="13"/>
    <x v="13"/>
    <x v="7"/>
    <x v="8"/>
  </r>
  <r>
    <x v="5"/>
    <x v="1"/>
    <n v="4"/>
    <n v="1400"/>
    <x v="88"/>
    <x v="20"/>
    <x v="7"/>
    <x v="10"/>
  </r>
  <r>
    <x v="8"/>
    <x v="12"/>
    <n v="2"/>
    <n v="10590"/>
    <x v="20"/>
    <x v="18"/>
    <x v="7"/>
    <x v="8"/>
  </r>
  <r>
    <x v="9"/>
    <x v="3"/>
    <n v="3"/>
    <n v="1350"/>
    <x v="3"/>
    <x v="3"/>
    <x v="7"/>
    <x v="11"/>
  </r>
  <r>
    <x v="6"/>
    <x v="1"/>
    <n v="3"/>
    <n v="1400"/>
    <x v="39"/>
    <x v="27"/>
    <x v="7"/>
    <x v="9"/>
  </r>
  <r>
    <x v="3"/>
    <x v="0"/>
    <n v="4"/>
    <n v="6000"/>
    <x v="13"/>
    <x v="56"/>
    <x v="7"/>
    <x v="4"/>
  </r>
  <r>
    <x v="8"/>
    <x v="7"/>
    <n v="3"/>
    <n v="1100"/>
    <x v="7"/>
    <x v="7"/>
    <x v="7"/>
    <x v="5"/>
  </r>
  <r>
    <x v="2"/>
    <x v="0"/>
    <n v="3"/>
    <n v="6000"/>
    <x v="54"/>
    <x v="13"/>
    <x v="7"/>
    <x v="9"/>
  </r>
  <r>
    <x v="9"/>
    <x v="13"/>
    <n v="2"/>
    <n v="1490"/>
    <x v="35"/>
    <x v="33"/>
    <x v="7"/>
    <x v="6"/>
  </r>
  <r>
    <x v="8"/>
    <x v="12"/>
    <n v="4"/>
    <n v="10590"/>
    <x v="80"/>
    <x v="68"/>
    <x v="7"/>
    <x v="11"/>
  </r>
  <r>
    <x v="2"/>
    <x v="11"/>
    <n v="3"/>
    <n v="8000"/>
    <x v="13"/>
    <x v="13"/>
    <x v="7"/>
    <x v="0"/>
  </r>
  <r>
    <x v="6"/>
    <x v="7"/>
    <n v="5"/>
    <n v="1100"/>
    <x v="63"/>
    <x v="57"/>
    <x v="7"/>
    <x v="6"/>
  </r>
  <r>
    <x v="9"/>
    <x v="8"/>
    <n v="5"/>
    <n v="1200"/>
    <x v="17"/>
    <x v="9"/>
    <x v="7"/>
    <x v="6"/>
  </r>
  <r>
    <x v="4"/>
    <x v="14"/>
    <n v="2"/>
    <n v="4200"/>
    <x v="22"/>
    <x v="20"/>
    <x v="7"/>
    <x v="0"/>
  </r>
  <r>
    <x v="1"/>
    <x v="15"/>
    <n v="5"/>
    <n v="5775"/>
    <x v="82"/>
    <x v="70"/>
    <x v="7"/>
    <x v="4"/>
  </r>
  <r>
    <x v="10"/>
    <x v="5"/>
    <n v="2"/>
    <n v="7600"/>
    <x v="5"/>
    <x v="5"/>
    <x v="7"/>
    <x v="11"/>
  </r>
  <r>
    <x v="1"/>
    <x v="6"/>
    <n v="5"/>
    <n v="7250"/>
    <x v="58"/>
    <x v="51"/>
    <x v="7"/>
    <x v="2"/>
  </r>
  <r>
    <x v="0"/>
    <x v="6"/>
    <n v="3"/>
    <n v="7250"/>
    <x v="25"/>
    <x v="23"/>
    <x v="7"/>
    <x v="2"/>
  </r>
  <r>
    <x v="8"/>
    <x v="6"/>
    <n v="3"/>
    <n v="7250"/>
    <x v="25"/>
    <x v="23"/>
    <x v="7"/>
    <x v="2"/>
  </r>
  <r>
    <x v="5"/>
    <x v="3"/>
    <n v="2"/>
    <n v="1350"/>
    <x v="16"/>
    <x v="16"/>
    <x v="7"/>
    <x v="7"/>
  </r>
  <r>
    <x v="1"/>
    <x v="6"/>
    <n v="3"/>
    <n v="7250"/>
    <x v="25"/>
    <x v="23"/>
    <x v="7"/>
    <x v="1"/>
  </r>
  <r>
    <x v="6"/>
    <x v="5"/>
    <n v="4"/>
    <n v="7600"/>
    <x v="65"/>
    <x v="58"/>
    <x v="7"/>
    <x v="8"/>
  </r>
  <r>
    <x v="11"/>
    <x v="5"/>
    <n v="5"/>
    <n v="7600"/>
    <x v="72"/>
    <x v="56"/>
    <x v="7"/>
    <x v="6"/>
  </r>
  <r>
    <x v="1"/>
    <x v="13"/>
    <n v="5"/>
    <n v="1490"/>
    <x v="74"/>
    <x v="62"/>
    <x v="7"/>
    <x v="1"/>
  </r>
  <r>
    <x v="5"/>
    <x v="16"/>
    <n v="5"/>
    <n v="2900"/>
    <x v="6"/>
    <x v="6"/>
    <x v="7"/>
    <x v="4"/>
  </r>
  <r>
    <x v="9"/>
    <x v="13"/>
    <n v="3"/>
    <n v="1490"/>
    <x v="28"/>
    <x v="26"/>
    <x v="7"/>
    <x v="2"/>
  </r>
  <r>
    <x v="9"/>
    <x v="10"/>
    <n v="5"/>
    <n v="1090"/>
    <x v="68"/>
    <x v="60"/>
    <x v="7"/>
    <x v="4"/>
  </r>
  <r>
    <x v="5"/>
    <x v="8"/>
    <n v="3"/>
    <n v="1200"/>
    <x v="9"/>
    <x v="1"/>
    <x v="7"/>
    <x v="0"/>
  </r>
  <r>
    <x v="8"/>
    <x v="12"/>
    <n v="5"/>
    <n v="10590"/>
    <x v="62"/>
    <x v="55"/>
    <x v="7"/>
    <x v="6"/>
  </r>
  <r>
    <x v="6"/>
    <x v="14"/>
    <n v="4"/>
    <n v="4200"/>
    <x v="69"/>
    <x v="22"/>
    <x v="7"/>
    <x v="3"/>
  </r>
  <r>
    <x v="3"/>
    <x v="14"/>
    <n v="2"/>
    <n v="4200"/>
    <x v="22"/>
    <x v="20"/>
    <x v="7"/>
    <x v="3"/>
  </r>
  <r>
    <x v="7"/>
    <x v="12"/>
    <n v="2"/>
    <n v="10590"/>
    <x v="20"/>
    <x v="18"/>
    <x v="7"/>
    <x v="6"/>
  </r>
  <r>
    <x v="11"/>
    <x v="17"/>
    <n v="2"/>
    <n v="1250"/>
    <x v="52"/>
    <x v="7"/>
    <x v="7"/>
    <x v="4"/>
  </r>
  <r>
    <x v="0"/>
    <x v="13"/>
    <n v="3"/>
    <n v="1490"/>
    <x v="28"/>
    <x v="26"/>
    <x v="7"/>
    <x v="2"/>
  </r>
  <r>
    <x v="6"/>
    <x v="8"/>
    <n v="2"/>
    <n v="1200"/>
    <x v="30"/>
    <x v="28"/>
    <x v="7"/>
    <x v="3"/>
  </r>
  <r>
    <x v="2"/>
    <x v="4"/>
    <n v="4"/>
    <n v="2180"/>
    <x v="60"/>
    <x v="53"/>
    <x v="7"/>
    <x v="6"/>
  </r>
  <r>
    <x v="9"/>
    <x v="18"/>
    <n v="3"/>
    <n v="1200"/>
    <x v="9"/>
    <x v="1"/>
    <x v="7"/>
    <x v="2"/>
  </r>
  <r>
    <x v="0"/>
    <x v="9"/>
    <n v="5"/>
    <n v="1800"/>
    <x v="89"/>
    <x v="72"/>
    <x v="7"/>
    <x v="6"/>
  </r>
  <r>
    <x v="2"/>
    <x v="5"/>
    <n v="5"/>
    <n v="7600"/>
    <x v="72"/>
    <x v="56"/>
    <x v="7"/>
    <x v="12"/>
  </r>
  <r>
    <x v="7"/>
    <x v="19"/>
    <n v="4"/>
    <n v="7530"/>
    <x v="81"/>
    <x v="69"/>
    <x v="7"/>
    <x v="5"/>
  </r>
  <r>
    <x v="11"/>
    <x v="13"/>
    <n v="5"/>
    <n v="1490"/>
    <x v="74"/>
    <x v="62"/>
    <x v="7"/>
    <x v="10"/>
  </r>
  <r>
    <x v="0"/>
    <x v="20"/>
    <n v="4"/>
    <n v="5300"/>
    <x v="75"/>
    <x v="63"/>
    <x v="7"/>
    <x v="5"/>
  </r>
  <r>
    <x v="4"/>
    <x v="8"/>
    <n v="3"/>
    <n v="1200"/>
    <x v="9"/>
    <x v="1"/>
    <x v="7"/>
    <x v="6"/>
  </r>
  <r>
    <x v="9"/>
    <x v="10"/>
    <n v="4"/>
    <n v="1090"/>
    <x v="4"/>
    <x v="52"/>
    <x v="7"/>
    <x v="1"/>
  </r>
  <r>
    <x v="4"/>
    <x v="6"/>
    <n v="3"/>
    <n v="7250"/>
    <x v="25"/>
    <x v="23"/>
    <x v="7"/>
    <x v="11"/>
  </r>
  <r>
    <x v="10"/>
    <x v="1"/>
    <n v="5"/>
    <n v="1400"/>
    <x v="55"/>
    <x v="12"/>
    <x v="7"/>
    <x v="8"/>
  </r>
  <r>
    <x v="2"/>
    <x v="21"/>
    <n v="3"/>
    <n v="1500"/>
    <x v="53"/>
    <x v="47"/>
    <x v="7"/>
    <x v="11"/>
  </r>
  <r>
    <x v="7"/>
    <x v="3"/>
    <n v="4"/>
    <n v="1350"/>
    <x v="12"/>
    <x v="49"/>
    <x v="7"/>
    <x v="9"/>
  </r>
  <r>
    <x v="7"/>
    <x v="8"/>
    <n v="2"/>
    <n v="1200"/>
    <x v="30"/>
    <x v="28"/>
    <x v="7"/>
    <x v="0"/>
  </r>
  <r>
    <x v="1"/>
    <x v="19"/>
    <n v="3"/>
    <n v="7530"/>
    <x v="41"/>
    <x v="15"/>
    <x v="7"/>
    <x v="0"/>
  </r>
  <r>
    <x v="10"/>
    <x v="8"/>
    <n v="2"/>
    <n v="1200"/>
    <x v="30"/>
    <x v="28"/>
    <x v="7"/>
    <x v="4"/>
  </r>
  <r>
    <x v="8"/>
    <x v="9"/>
    <n v="3"/>
    <n v="1800"/>
    <x v="12"/>
    <x v="12"/>
    <x v="7"/>
    <x v="5"/>
  </r>
  <r>
    <x v="0"/>
    <x v="6"/>
    <n v="5"/>
    <n v="7250"/>
    <x v="58"/>
    <x v="51"/>
    <x v="7"/>
    <x v="10"/>
  </r>
  <r>
    <x v="9"/>
    <x v="13"/>
    <n v="2"/>
    <n v="1490"/>
    <x v="35"/>
    <x v="33"/>
    <x v="7"/>
    <x v="5"/>
  </r>
  <r>
    <x v="9"/>
    <x v="18"/>
    <n v="5"/>
    <n v="1200"/>
    <x v="17"/>
    <x v="9"/>
    <x v="7"/>
    <x v="1"/>
  </r>
  <r>
    <x v="1"/>
    <x v="11"/>
    <n v="2"/>
    <n v="8000"/>
    <x v="78"/>
    <x v="0"/>
    <x v="7"/>
    <x v="3"/>
  </r>
  <r>
    <x v="6"/>
    <x v="1"/>
    <n v="2"/>
    <n v="1400"/>
    <x v="1"/>
    <x v="1"/>
    <x v="7"/>
    <x v="4"/>
  </r>
  <r>
    <x v="5"/>
    <x v="3"/>
    <n v="4"/>
    <n v="1350"/>
    <x v="12"/>
    <x v="49"/>
    <x v="7"/>
    <x v="6"/>
  </r>
  <r>
    <x v="8"/>
    <x v="18"/>
    <n v="5"/>
    <n v="1200"/>
    <x v="17"/>
    <x v="9"/>
    <x v="7"/>
    <x v="9"/>
  </r>
  <r>
    <x v="6"/>
    <x v="20"/>
    <n v="2"/>
    <n v="5300"/>
    <x v="47"/>
    <x v="43"/>
    <x v="7"/>
    <x v="10"/>
  </r>
  <r>
    <x v="9"/>
    <x v="12"/>
    <n v="4"/>
    <n v="10590"/>
    <x v="80"/>
    <x v="68"/>
    <x v="7"/>
    <x v="8"/>
  </r>
  <r>
    <x v="4"/>
    <x v="17"/>
    <n v="4"/>
    <n v="1250"/>
    <x v="70"/>
    <x v="27"/>
    <x v="7"/>
    <x v="1"/>
  </r>
  <r>
    <x v="11"/>
    <x v="18"/>
    <n v="5"/>
    <n v="1200"/>
    <x v="17"/>
    <x v="9"/>
    <x v="7"/>
    <x v="2"/>
  </r>
  <r>
    <x v="4"/>
    <x v="1"/>
    <n v="4"/>
    <n v="1400"/>
    <x v="88"/>
    <x v="20"/>
    <x v="7"/>
    <x v="6"/>
  </r>
  <r>
    <x v="11"/>
    <x v="19"/>
    <n v="3"/>
    <n v="7530"/>
    <x v="41"/>
    <x v="15"/>
    <x v="7"/>
    <x v="4"/>
  </r>
  <r>
    <x v="6"/>
    <x v="5"/>
    <n v="2"/>
    <n v="7600"/>
    <x v="5"/>
    <x v="5"/>
    <x v="7"/>
    <x v="5"/>
  </r>
  <r>
    <x v="11"/>
    <x v="21"/>
    <n v="4"/>
    <n v="1500"/>
    <x v="17"/>
    <x v="66"/>
    <x v="7"/>
    <x v="8"/>
  </r>
  <r>
    <x v="9"/>
    <x v="4"/>
    <n v="5"/>
    <n v="2180"/>
    <x v="57"/>
    <x v="50"/>
    <x v="7"/>
    <x v="9"/>
  </r>
  <r>
    <x v="3"/>
    <x v="4"/>
    <n v="4"/>
    <n v="2180"/>
    <x v="60"/>
    <x v="53"/>
    <x v="7"/>
    <x v="7"/>
  </r>
  <r>
    <x v="9"/>
    <x v="15"/>
    <n v="4"/>
    <n v="5775"/>
    <x v="98"/>
    <x v="77"/>
    <x v="7"/>
    <x v="2"/>
  </r>
  <r>
    <x v="9"/>
    <x v="7"/>
    <n v="5"/>
    <n v="1100"/>
    <x v="63"/>
    <x v="57"/>
    <x v="7"/>
    <x v="12"/>
  </r>
  <r>
    <x v="10"/>
    <x v="15"/>
    <n v="4"/>
    <n v="5775"/>
    <x v="98"/>
    <x v="77"/>
    <x v="7"/>
    <x v="5"/>
  </r>
  <r>
    <x v="7"/>
    <x v="3"/>
    <n v="3"/>
    <n v="1350"/>
    <x v="3"/>
    <x v="3"/>
    <x v="7"/>
    <x v="3"/>
  </r>
  <r>
    <x v="0"/>
    <x v="5"/>
    <n v="2"/>
    <n v="7600"/>
    <x v="5"/>
    <x v="5"/>
    <x v="7"/>
    <x v="6"/>
  </r>
  <r>
    <x v="2"/>
    <x v="6"/>
    <n v="2"/>
    <n v="7250"/>
    <x v="6"/>
    <x v="6"/>
    <x v="7"/>
    <x v="2"/>
  </r>
  <r>
    <x v="11"/>
    <x v="13"/>
    <n v="4"/>
    <n v="1490"/>
    <x v="67"/>
    <x v="59"/>
    <x v="7"/>
    <x v="6"/>
  </r>
  <r>
    <x v="3"/>
    <x v="13"/>
    <n v="4"/>
    <n v="1490"/>
    <x v="67"/>
    <x v="59"/>
    <x v="7"/>
    <x v="11"/>
  </r>
  <r>
    <x v="8"/>
    <x v="10"/>
    <n v="5"/>
    <n v="1090"/>
    <x v="68"/>
    <x v="60"/>
    <x v="7"/>
    <x v="10"/>
  </r>
  <r>
    <x v="8"/>
    <x v="8"/>
    <n v="4"/>
    <n v="1200"/>
    <x v="71"/>
    <x v="25"/>
    <x v="7"/>
    <x v="12"/>
  </r>
  <r>
    <x v="11"/>
    <x v="10"/>
    <n v="2"/>
    <n v="1090"/>
    <x v="10"/>
    <x v="10"/>
    <x v="7"/>
    <x v="12"/>
  </r>
  <r>
    <x v="11"/>
    <x v="4"/>
    <n v="4"/>
    <n v="2180"/>
    <x v="60"/>
    <x v="53"/>
    <x v="7"/>
    <x v="8"/>
  </r>
  <r>
    <x v="2"/>
    <x v="20"/>
    <n v="2"/>
    <n v="5300"/>
    <x v="47"/>
    <x v="43"/>
    <x v="7"/>
    <x v="7"/>
  </r>
  <r>
    <x v="11"/>
    <x v="20"/>
    <n v="5"/>
    <n v="5300"/>
    <x v="79"/>
    <x v="67"/>
    <x v="7"/>
    <x v="1"/>
  </r>
  <r>
    <x v="5"/>
    <x v="6"/>
    <n v="4"/>
    <n v="7250"/>
    <x v="77"/>
    <x v="65"/>
    <x v="7"/>
    <x v="2"/>
  </r>
  <r>
    <x v="5"/>
    <x v="18"/>
    <n v="3"/>
    <n v="1200"/>
    <x v="9"/>
    <x v="1"/>
    <x v="7"/>
    <x v="5"/>
  </r>
  <r>
    <x v="3"/>
    <x v="0"/>
    <n v="3"/>
    <n v="6000"/>
    <x v="54"/>
    <x v="13"/>
    <x v="7"/>
    <x v="9"/>
  </r>
  <r>
    <x v="2"/>
    <x v="2"/>
    <n v="4"/>
    <n v="8450"/>
    <x v="56"/>
    <x v="48"/>
    <x v="7"/>
    <x v="5"/>
  </r>
  <r>
    <x v="6"/>
    <x v="14"/>
    <n v="4"/>
    <n v="4200"/>
    <x v="69"/>
    <x v="22"/>
    <x v="7"/>
    <x v="3"/>
  </r>
  <r>
    <x v="6"/>
    <x v="12"/>
    <n v="5"/>
    <n v="10590"/>
    <x v="62"/>
    <x v="55"/>
    <x v="7"/>
    <x v="4"/>
  </r>
  <r>
    <x v="5"/>
    <x v="18"/>
    <n v="3"/>
    <n v="1200"/>
    <x v="9"/>
    <x v="1"/>
    <x v="7"/>
    <x v="8"/>
  </r>
  <r>
    <x v="10"/>
    <x v="7"/>
    <n v="4"/>
    <n v="1100"/>
    <x v="59"/>
    <x v="1"/>
    <x v="7"/>
    <x v="9"/>
  </r>
  <r>
    <x v="9"/>
    <x v="22"/>
    <n v="3"/>
    <n v="3700"/>
    <x v="84"/>
    <x v="47"/>
    <x v="7"/>
    <x v="2"/>
  </r>
  <r>
    <x v="1"/>
    <x v="22"/>
    <n v="3"/>
    <n v="3700"/>
    <x v="84"/>
    <x v="47"/>
    <x v="7"/>
    <x v="5"/>
  </r>
  <r>
    <x v="6"/>
    <x v="7"/>
    <n v="5"/>
    <n v="1100"/>
    <x v="63"/>
    <x v="57"/>
    <x v="7"/>
    <x v="4"/>
  </r>
  <r>
    <x v="5"/>
    <x v="22"/>
    <n v="3"/>
    <n v="3700"/>
    <x v="84"/>
    <x v="47"/>
    <x v="7"/>
    <x v="0"/>
  </r>
  <r>
    <x v="10"/>
    <x v="13"/>
    <n v="4"/>
    <n v="1490"/>
    <x v="67"/>
    <x v="59"/>
    <x v="7"/>
    <x v="0"/>
  </r>
  <r>
    <x v="9"/>
    <x v="21"/>
    <n v="4"/>
    <n v="1500"/>
    <x v="17"/>
    <x v="66"/>
    <x v="7"/>
    <x v="6"/>
  </r>
  <r>
    <x v="8"/>
    <x v="10"/>
    <n v="3"/>
    <n v="1090"/>
    <x v="76"/>
    <x v="64"/>
    <x v="7"/>
    <x v="12"/>
  </r>
  <r>
    <x v="10"/>
    <x v="9"/>
    <n v="3"/>
    <n v="1800"/>
    <x v="12"/>
    <x v="12"/>
    <x v="7"/>
    <x v="9"/>
  </r>
  <r>
    <x v="7"/>
    <x v="19"/>
    <n v="2"/>
    <n v="7530"/>
    <x v="44"/>
    <x v="39"/>
    <x v="7"/>
    <x v="9"/>
  </r>
  <r>
    <x v="6"/>
    <x v="7"/>
    <n v="5"/>
    <n v="1100"/>
    <x v="63"/>
    <x v="57"/>
    <x v="7"/>
    <x v="6"/>
  </r>
  <r>
    <x v="9"/>
    <x v="3"/>
    <n v="5"/>
    <n v="1350"/>
    <x v="92"/>
    <x v="74"/>
    <x v="7"/>
    <x v="4"/>
  </r>
  <r>
    <x v="8"/>
    <x v="3"/>
    <n v="4"/>
    <n v="1350"/>
    <x v="12"/>
    <x v="49"/>
    <x v="7"/>
    <x v="8"/>
  </r>
  <r>
    <x v="7"/>
    <x v="10"/>
    <n v="5"/>
    <n v="1090"/>
    <x v="68"/>
    <x v="60"/>
    <x v="7"/>
    <x v="8"/>
  </r>
  <r>
    <x v="7"/>
    <x v="14"/>
    <n v="2"/>
    <n v="4200"/>
    <x v="22"/>
    <x v="20"/>
    <x v="7"/>
    <x v="7"/>
  </r>
  <r>
    <x v="9"/>
    <x v="9"/>
    <n v="3"/>
    <n v="1800"/>
    <x v="12"/>
    <x v="12"/>
    <x v="7"/>
    <x v="1"/>
  </r>
  <r>
    <x v="11"/>
    <x v="10"/>
    <n v="3"/>
    <n v="1090"/>
    <x v="76"/>
    <x v="64"/>
    <x v="7"/>
    <x v="11"/>
  </r>
  <r>
    <x v="0"/>
    <x v="5"/>
    <n v="3"/>
    <n v="7600"/>
    <x v="24"/>
    <x v="22"/>
    <x v="7"/>
    <x v="11"/>
  </r>
  <r>
    <x v="8"/>
    <x v="5"/>
    <n v="2"/>
    <n v="7600"/>
    <x v="5"/>
    <x v="5"/>
    <x v="7"/>
    <x v="12"/>
  </r>
  <r>
    <x v="2"/>
    <x v="22"/>
    <n v="2"/>
    <n v="3700"/>
    <x v="49"/>
    <x v="45"/>
    <x v="7"/>
    <x v="9"/>
  </r>
  <r>
    <x v="4"/>
    <x v="6"/>
    <n v="5"/>
    <n v="7250"/>
    <x v="58"/>
    <x v="51"/>
    <x v="7"/>
    <x v="10"/>
  </r>
  <r>
    <x v="1"/>
    <x v="5"/>
    <n v="2"/>
    <n v="7600"/>
    <x v="5"/>
    <x v="5"/>
    <x v="7"/>
    <x v="2"/>
  </r>
  <r>
    <x v="10"/>
    <x v="14"/>
    <n v="3"/>
    <n v="4200"/>
    <x v="31"/>
    <x v="29"/>
    <x v="7"/>
    <x v="6"/>
  </r>
  <r>
    <x v="6"/>
    <x v="17"/>
    <n v="2"/>
    <n v="1250"/>
    <x v="52"/>
    <x v="7"/>
    <x v="7"/>
    <x v="7"/>
  </r>
  <r>
    <x v="8"/>
    <x v="10"/>
    <n v="3"/>
    <n v="1090"/>
    <x v="76"/>
    <x v="64"/>
    <x v="7"/>
    <x v="8"/>
  </r>
  <r>
    <x v="3"/>
    <x v="4"/>
    <n v="3"/>
    <n v="2180"/>
    <x v="11"/>
    <x v="11"/>
    <x v="7"/>
    <x v="9"/>
  </r>
  <r>
    <x v="11"/>
    <x v="22"/>
    <n v="5"/>
    <n v="3700"/>
    <x v="94"/>
    <x v="71"/>
    <x v="7"/>
    <x v="1"/>
  </r>
  <r>
    <x v="9"/>
    <x v="0"/>
    <n v="3"/>
    <n v="6000"/>
    <x v="54"/>
    <x v="13"/>
    <x v="7"/>
    <x v="9"/>
  </r>
  <r>
    <x v="10"/>
    <x v="17"/>
    <n v="2"/>
    <n v="1250"/>
    <x v="52"/>
    <x v="7"/>
    <x v="7"/>
    <x v="4"/>
  </r>
  <r>
    <x v="11"/>
    <x v="5"/>
    <n v="4"/>
    <n v="7600"/>
    <x v="65"/>
    <x v="58"/>
    <x v="7"/>
    <x v="10"/>
  </r>
  <r>
    <x v="0"/>
    <x v="1"/>
    <n v="3"/>
    <n v="1400"/>
    <x v="39"/>
    <x v="27"/>
    <x v="7"/>
    <x v="5"/>
  </r>
  <r>
    <x v="4"/>
    <x v="4"/>
    <n v="3"/>
    <n v="2180"/>
    <x v="11"/>
    <x v="11"/>
    <x v="7"/>
    <x v="9"/>
  </r>
  <r>
    <x v="0"/>
    <x v="9"/>
    <n v="4"/>
    <n v="1800"/>
    <x v="86"/>
    <x v="0"/>
    <x v="7"/>
    <x v="4"/>
  </r>
  <r>
    <x v="2"/>
    <x v="21"/>
    <n v="5"/>
    <n v="1500"/>
    <x v="85"/>
    <x v="71"/>
    <x v="7"/>
    <x v="6"/>
  </r>
  <r>
    <x v="6"/>
    <x v="2"/>
    <n v="2"/>
    <n v="8450"/>
    <x v="2"/>
    <x v="2"/>
    <x v="7"/>
    <x v="12"/>
  </r>
  <r>
    <x v="9"/>
    <x v="21"/>
    <n v="5"/>
    <n v="1500"/>
    <x v="85"/>
    <x v="71"/>
    <x v="7"/>
    <x v="8"/>
  </r>
  <r>
    <x v="5"/>
    <x v="0"/>
    <n v="3"/>
    <n v="6000"/>
    <x v="54"/>
    <x v="13"/>
    <x v="7"/>
    <x v="10"/>
  </r>
  <r>
    <x v="11"/>
    <x v="18"/>
    <n v="4"/>
    <n v="1200"/>
    <x v="71"/>
    <x v="25"/>
    <x v="7"/>
    <x v="5"/>
  </r>
  <r>
    <x v="0"/>
    <x v="14"/>
    <n v="3"/>
    <n v="4200"/>
    <x v="31"/>
    <x v="29"/>
    <x v="7"/>
    <x v="4"/>
  </r>
  <r>
    <x v="10"/>
    <x v="5"/>
    <n v="4"/>
    <n v="7600"/>
    <x v="65"/>
    <x v="58"/>
    <x v="7"/>
    <x v="4"/>
  </r>
  <r>
    <x v="5"/>
    <x v="6"/>
    <n v="2"/>
    <n v="7250"/>
    <x v="6"/>
    <x v="6"/>
    <x v="7"/>
    <x v="1"/>
  </r>
  <r>
    <x v="1"/>
    <x v="19"/>
    <n v="2"/>
    <n v="7530"/>
    <x v="44"/>
    <x v="39"/>
    <x v="7"/>
    <x v="1"/>
  </r>
  <r>
    <x v="2"/>
    <x v="6"/>
    <n v="3"/>
    <n v="7250"/>
    <x v="25"/>
    <x v="23"/>
    <x v="7"/>
    <x v="11"/>
  </r>
  <r>
    <x v="1"/>
    <x v="0"/>
    <n v="4"/>
    <n v="6000"/>
    <x v="13"/>
    <x v="56"/>
    <x v="7"/>
    <x v="2"/>
  </r>
  <r>
    <x v="5"/>
    <x v="18"/>
    <n v="2"/>
    <n v="1200"/>
    <x v="30"/>
    <x v="28"/>
    <x v="7"/>
    <x v="12"/>
  </r>
  <r>
    <x v="11"/>
    <x v="20"/>
    <n v="2"/>
    <n v="5300"/>
    <x v="47"/>
    <x v="43"/>
    <x v="7"/>
    <x v="9"/>
  </r>
  <r>
    <x v="8"/>
    <x v="2"/>
    <n v="4"/>
    <n v="8450"/>
    <x v="56"/>
    <x v="48"/>
    <x v="7"/>
    <x v="0"/>
  </r>
  <r>
    <x v="4"/>
    <x v="3"/>
    <n v="5"/>
    <n v="1350"/>
    <x v="92"/>
    <x v="74"/>
    <x v="7"/>
    <x v="9"/>
  </r>
  <r>
    <x v="6"/>
    <x v="10"/>
    <n v="2"/>
    <n v="1090"/>
    <x v="10"/>
    <x v="10"/>
    <x v="7"/>
    <x v="5"/>
  </r>
  <r>
    <x v="4"/>
    <x v="4"/>
    <n v="4"/>
    <n v="2180"/>
    <x v="60"/>
    <x v="53"/>
    <x v="7"/>
    <x v="10"/>
  </r>
  <r>
    <x v="0"/>
    <x v="0"/>
    <n v="3"/>
    <n v="6000"/>
    <x v="54"/>
    <x v="13"/>
    <x v="7"/>
    <x v="5"/>
  </r>
  <r>
    <x v="1"/>
    <x v="1"/>
    <n v="2"/>
    <n v="1400"/>
    <x v="1"/>
    <x v="1"/>
    <x v="7"/>
    <x v="12"/>
  </r>
  <r>
    <x v="2"/>
    <x v="2"/>
    <n v="5"/>
    <n v="8450"/>
    <x v="95"/>
    <x v="75"/>
    <x v="7"/>
    <x v="10"/>
  </r>
  <r>
    <x v="3"/>
    <x v="3"/>
    <n v="5"/>
    <n v="1350"/>
    <x v="92"/>
    <x v="74"/>
    <x v="7"/>
    <x v="4"/>
  </r>
  <r>
    <x v="0"/>
    <x v="4"/>
    <n v="3"/>
    <n v="2180"/>
    <x v="11"/>
    <x v="11"/>
    <x v="7"/>
    <x v="3"/>
  </r>
  <r>
    <x v="4"/>
    <x v="5"/>
    <n v="2"/>
    <n v="7600"/>
    <x v="5"/>
    <x v="5"/>
    <x v="7"/>
    <x v="2"/>
  </r>
  <r>
    <x v="1"/>
    <x v="6"/>
    <n v="3"/>
    <n v="7250"/>
    <x v="25"/>
    <x v="23"/>
    <x v="7"/>
    <x v="4"/>
  </r>
  <r>
    <x v="3"/>
    <x v="7"/>
    <n v="3"/>
    <n v="1100"/>
    <x v="7"/>
    <x v="7"/>
    <x v="7"/>
    <x v="1"/>
  </r>
  <r>
    <x v="5"/>
    <x v="0"/>
    <n v="3"/>
    <n v="6000"/>
    <x v="54"/>
    <x v="13"/>
    <x v="7"/>
    <x v="8"/>
  </r>
  <r>
    <x v="0"/>
    <x v="8"/>
    <n v="3"/>
    <n v="1200"/>
    <x v="9"/>
    <x v="1"/>
    <x v="7"/>
    <x v="6"/>
  </r>
  <r>
    <x v="6"/>
    <x v="9"/>
    <n v="2"/>
    <n v="1800"/>
    <x v="9"/>
    <x v="9"/>
    <x v="7"/>
    <x v="7"/>
  </r>
  <r>
    <x v="6"/>
    <x v="10"/>
    <n v="2"/>
    <n v="1090"/>
    <x v="10"/>
    <x v="10"/>
    <x v="7"/>
    <x v="2"/>
  </r>
  <r>
    <x v="5"/>
    <x v="4"/>
    <n v="3"/>
    <n v="2180"/>
    <x v="11"/>
    <x v="11"/>
    <x v="7"/>
    <x v="8"/>
  </r>
  <r>
    <x v="7"/>
    <x v="9"/>
    <n v="2"/>
    <n v="1800"/>
    <x v="9"/>
    <x v="9"/>
    <x v="7"/>
    <x v="5"/>
  </r>
  <r>
    <x v="4"/>
    <x v="11"/>
    <n v="2"/>
    <n v="8000"/>
    <x v="78"/>
    <x v="0"/>
    <x v="7"/>
    <x v="3"/>
  </r>
  <r>
    <x v="5"/>
    <x v="1"/>
    <n v="5"/>
    <n v="1400"/>
    <x v="55"/>
    <x v="12"/>
    <x v="7"/>
    <x v="2"/>
  </r>
  <r>
    <x v="8"/>
    <x v="12"/>
    <n v="3"/>
    <n v="10590"/>
    <x v="43"/>
    <x v="38"/>
    <x v="7"/>
    <x v="1"/>
  </r>
  <r>
    <x v="9"/>
    <x v="3"/>
    <n v="3"/>
    <n v="1350"/>
    <x v="3"/>
    <x v="3"/>
    <x v="7"/>
    <x v="10"/>
  </r>
  <r>
    <x v="6"/>
    <x v="1"/>
    <n v="3"/>
    <n v="1400"/>
    <x v="39"/>
    <x v="27"/>
    <x v="7"/>
    <x v="12"/>
  </r>
  <r>
    <x v="3"/>
    <x v="0"/>
    <n v="2"/>
    <n v="6000"/>
    <x v="0"/>
    <x v="0"/>
    <x v="7"/>
    <x v="4"/>
  </r>
  <r>
    <x v="8"/>
    <x v="7"/>
    <n v="5"/>
    <n v="1100"/>
    <x v="63"/>
    <x v="57"/>
    <x v="7"/>
    <x v="2"/>
  </r>
  <r>
    <x v="2"/>
    <x v="0"/>
    <n v="5"/>
    <n v="6000"/>
    <x v="83"/>
    <x v="54"/>
    <x v="7"/>
    <x v="6"/>
  </r>
  <r>
    <x v="9"/>
    <x v="13"/>
    <n v="5"/>
    <n v="1490"/>
    <x v="74"/>
    <x v="62"/>
    <x v="7"/>
    <x v="0"/>
  </r>
  <r>
    <x v="8"/>
    <x v="12"/>
    <n v="3"/>
    <n v="10590"/>
    <x v="43"/>
    <x v="38"/>
    <x v="7"/>
    <x v="2"/>
  </r>
  <r>
    <x v="2"/>
    <x v="11"/>
    <n v="4"/>
    <n v="8000"/>
    <x v="90"/>
    <x v="56"/>
    <x v="7"/>
    <x v="4"/>
  </r>
  <r>
    <x v="6"/>
    <x v="7"/>
    <n v="2"/>
    <n v="1100"/>
    <x v="18"/>
    <x v="14"/>
    <x v="7"/>
    <x v="7"/>
  </r>
  <r>
    <x v="9"/>
    <x v="8"/>
    <n v="5"/>
    <n v="1200"/>
    <x v="17"/>
    <x v="9"/>
    <x v="7"/>
    <x v="11"/>
  </r>
  <r>
    <x v="4"/>
    <x v="14"/>
    <n v="3"/>
    <n v="4200"/>
    <x v="31"/>
    <x v="29"/>
    <x v="7"/>
    <x v="11"/>
  </r>
  <r>
    <x v="1"/>
    <x v="15"/>
    <n v="5"/>
    <n v="5775"/>
    <x v="82"/>
    <x v="70"/>
    <x v="7"/>
    <x v="0"/>
  </r>
  <r>
    <x v="10"/>
    <x v="5"/>
    <n v="2"/>
    <n v="7600"/>
    <x v="5"/>
    <x v="5"/>
    <x v="7"/>
    <x v="3"/>
  </r>
  <r>
    <x v="1"/>
    <x v="6"/>
    <n v="4"/>
    <n v="7250"/>
    <x v="77"/>
    <x v="65"/>
    <x v="7"/>
    <x v="11"/>
  </r>
  <r>
    <x v="0"/>
    <x v="6"/>
    <n v="4"/>
    <n v="7250"/>
    <x v="77"/>
    <x v="65"/>
    <x v="7"/>
    <x v="6"/>
  </r>
  <r>
    <x v="8"/>
    <x v="6"/>
    <n v="2"/>
    <n v="7250"/>
    <x v="6"/>
    <x v="6"/>
    <x v="7"/>
    <x v="9"/>
  </r>
  <r>
    <x v="5"/>
    <x v="3"/>
    <n v="5"/>
    <n v="1350"/>
    <x v="92"/>
    <x v="74"/>
    <x v="7"/>
    <x v="0"/>
  </r>
  <r>
    <x v="1"/>
    <x v="6"/>
    <n v="2"/>
    <n v="7250"/>
    <x v="6"/>
    <x v="6"/>
    <x v="7"/>
    <x v="4"/>
  </r>
  <r>
    <x v="6"/>
    <x v="5"/>
    <n v="2"/>
    <n v="7600"/>
    <x v="5"/>
    <x v="5"/>
    <x v="7"/>
    <x v="2"/>
  </r>
  <r>
    <x v="11"/>
    <x v="5"/>
    <n v="4"/>
    <n v="7600"/>
    <x v="65"/>
    <x v="58"/>
    <x v="7"/>
    <x v="7"/>
  </r>
  <r>
    <x v="1"/>
    <x v="13"/>
    <n v="3"/>
    <n v="1490"/>
    <x v="28"/>
    <x v="26"/>
    <x v="7"/>
    <x v="10"/>
  </r>
  <r>
    <x v="5"/>
    <x v="16"/>
    <n v="4"/>
    <n v="2900"/>
    <x v="66"/>
    <x v="29"/>
    <x v="7"/>
    <x v="5"/>
  </r>
  <r>
    <x v="9"/>
    <x v="13"/>
    <n v="2"/>
    <n v="1490"/>
    <x v="35"/>
    <x v="33"/>
    <x v="7"/>
    <x v="8"/>
  </r>
  <r>
    <x v="9"/>
    <x v="10"/>
    <n v="4"/>
    <n v="1090"/>
    <x v="4"/>
    <x v="52"/>
    <x v="7"/>
    <x v="5"/>
  </r>
  <r>
    <x v="5"/>
    <x v="8"/>
    <n v="4"/>
    <n v="1200"/>
    <x v="71"/>
    <x v="25"/>
    <x v="7"/>
    <x v="6"/>
  </r>
  <r>
    <x v="8"/>
    <x v="12"/>
    <n v="3"/>
    <n v="10590"/>
    <x v="43"/>
    <x v="38"/>
    <x v="7"/>
    <x v="4"/>
  </r>
  <r>
    <x v="6"/>
    <x v="14"/>
    <n v="2"/>
    <n v="4200"/>
    <x v="22"/>
    <x v="20"/>
    <x v="7"/>
    <x v="5"/>
  </r>
  <r>
    <x v="3"/>
    <x v="14"/>
    <n v="5"/>
    <n v="4200"/>
    <x v="64"/>
    <x v="13"/>
    <x v="7"/>
    <x v="10"/>
  </r>
  <r>
    <x v="7"/>
    <x v="12"/>
    <n v="2"/>
    <n v="10590"/>
    <x v="20"/>
    <x v="18"/>
    <x v="7"/>
    <x v="10"/>
  </r>
  <r>
    <x v="11"/>
    <x v="17"/>
    <n v="3"/>
    <n v="1250"/>
    <x v="51"/>
    <x v="46"/>
    <x v="7"/>
    <x v="11"/>
  </r>
  <r>
    <x v="0"/>
    <x v="13"/>
    <n v="5"/>
    <n v="1490"/>
    <x v="74"/>
    <x v="62"/>
    <x v="7"/>
    <x v="10"/>
  </r>
  <r>
    <x v="6"/>
    <x v="8"/>
    <n v="3"/>
    <n v="1200"/>
    <x v="9"/>
    <x v="1"/>
    <x v="7"/>
    <x v="9"/>
  </r>
  <r>
    <x v="2"/>
    <x v="4"/>
    <n v="4"/>
    <n v="2180"/>
    <x v="60"/>
    <x v="53"/>
    <x v="7"/>
    <x v="3"/>
  </r>
  <r>
    <x v="9"/>
    <x v="18"/>
    <n v="5"/>
    <n v="1200"/>
    <x v="17"/>
    <x v="9"/>
    <x v="7"/>
    <x v="2"/>
  </r>
  <r>
    <x v="0"/>
    <x v="9"/>
    <n v="2"/>
    <n v="1800"/>
    <x v="9"/>
    <x v="9"/>
    <x v="7"/>
    <x v="5"/>
  </r>
  <r>
    <x v="2"/>
    <x v="5"/>
    <n v="2"/>
    <n v="7600"/>
    <x v="5"/>
    <x v="5"/>
    <x v="7"/>
    <x v="4"/>
  </r>
  <r>
    <x v="7"/>
    <x v="19"/>
    <n v="2"/>
    <n v="7530"/>
    <x v="44"/>
    <x v="39"/>
    <x v="7"/>
    <x v="9"/>
  </r>
  <r>
    <x v="11"/>
    <x v="13"/>
    <n v="5"/>
    <n v="1490"/>
    <x v="74"/>
    <x v="62"/>
    <x v="7"/>
    <x v="10"/>
  </r>
  <r>
    <x v="0"/>
    <x v="20"/>
    <n v="3"/>
    <n v="5300"/>
    <x v="46"/>
    <x v="42"/>
    <x v="7"/>
    <x v="5"/>
  </r>
  <r>
    <x v="4"/>
    <x v="8"/>
    <n v="5"/>
    <n v="1200"/>
    <x v="17"/>
    <x v="9"/>
    <x v="7"/>
    <x v="4"/>
  </r>
  <r>
    <x v="9"/>
    <x v="10"/>
    <n v="4"/>
    <n v="1090"/>
    <x v="4"/>
    <x v="52"/>
    <x v="7"/>
    <x v="2"/>
  </r>
  <r>
    <x v="4"/>
    <x v="6"/>
    <n v="3"/>
    <n v="7250"/>
    <x v="25"/>
    <x v="23"/>
    <x v="7"/>
    <x v="1"/>
  </r>
  <r>
    <x v="10"/>
    <x v="1"/>
    <n v="5"/>
    <n v="1400"/>
    <x v="55"/>
    <x v="12"/>
    <x v="7"/>
    <x v="12"/>
  </r>
  <r>
    <x v="2"/>
    <x v="21"/>
    <n v="4"/>
    <n v="1500"/>
    <x v="17"/>
    <x v="66"/>
    <x v="7"/>
    <x v="11"/>
  </r>
  <r>
    <x v="7"/>
    <x v="3"/>
    <n v="4"/>
    <n v="1350"/>
    <x v="12"/>
    <x v="49"/>
    <x v="7"/>
    <x v="1"/>
  </r>
  <r>
    <x v="7"/>
    <x v="8"/>
    <n v="5"/>
    <n v="1200"/>
    <x v="17"/>
    <x v="9"/>
    <x v="7"/>
    <x v="4"/>
  </r>
  <r>
    <x v="1"/>
    <x v="19"/>
    <n v="5"/>
    <n v="7530"/>
    <x v="73"/>
    <x v="61"/>
    <x v="7"/>
    <x v="6"/>
  </r>
  <r>
    <x v="10"/>
    <x v="8"/>
    <n v="3"/>
    <n v="1200"/>
    <x v="9"/>
    <x v="1"/>
    <x v="7"/>
    <x v="6"/>
  </r>
  <r>
    <x v="8"/>
    <x v="9"/>
    <n v="3"/>
    <n v="1800"/>
    <x v="12"/>
    <x v="12"/>
    <x v="7"/>
    <x v="9"/>
  </r>
  <r>
    <x v="0"/>
    <x v="6"/>
    <n v="2"/>
    <n v="7250"/>
    <x v="6"/>
    <x v="6"/>
    <x v="8"/>
    <x v="5"/>
  </r>
  <r>
    <x v="9"/>
    <x v="13"/>
    <n v="2"/>
    <n v="1490"/>
    <x v="35"/>
    <x v="33"/>
    <x v="8"/>
    <x v="10"/>
  </r>
  <r>
    <x v="9"/>
    <x v="18"/>
    <n v="3"/>
    <n v="1200"/>
    <x v="9"/>
    <x v="1"/>
    <x v="8"/>
    <x v="11"/>
  </r>
  <r>
    <x v="1"/>
    <x v="11"/>
    <n v="4"/>
    <n v="8000"/>
    <x v="90"/>
    <x v="56"/>
    <x v="8"/>
    <x v="2"/>
  </r>
  <r>
    <x v="6"/>
    <x v="1"/>
    <n v="2"/>
    <n v="1400"/>
    <x v="1"/>
    <x v="1"/>
    <x v="8"/>
    <x v="1"/>
  </r>
  <r>
    <x v="5"/>
    <x v="3"/>
    <n v="2"/>
    <n v="1350"/>
    <x v="16"/>
    <x v="16"/>
    <x v="8"/>
    <x v="2"/>
  </r>
  <r>
    <x v="8"/>
    <x v="18"/>
    <n v="5"/>
    <n v="1200"/>
    <x v="17"/>
    <x v="9"/>
    <x v="8"/>
    <x v="2"/>
  </r>
  <r>
    <x v="6"/>
    <x v="20"/>
    <n v="5"/>
    <n v="5300"/>
    <x v="79"/>
    <x v="67"/>
    <x v="8"/>
    <x v="10"/>
  </r>
  <r>
    <x v="9"/>
    <x v="12"/>
    <n v="4"/>
    <n v="10590"/>
    <x v="80"/>
    <x v="68"/>
    <x v="8"/>
    <x v="10"/>
  </r>
  <r>
    <x v="4"/>
    <x v="17"/>
    <n v="5"/>
    <n v="1250"/>
    <x v="93"/>
    <x v="36"/>
    <x v="8"/>
    <x v="12"/>
  </r>
  <r>
    <x v="11"/>
    <x v="18"/>
    <n v="5"/>
    <n v="1200"/>
    <x v="17"/>
    <x v="9"/>
    <x v="8"/>
    <x v="1"/>
  </r>
  <r>
    <x v="4"/>
    <x v="1"/>
    <n v="4"/>
    <n v="1400"/>
    <x v="88"/>
    <x v="20"/>
    <x v="8"/>
    <x v="3"/>
  </r>
  <r>
    <x v="11"/>
    <x v="19"/>
    <n v="4"/>
    <n v="7530"/>
    <x v="81"/>
    <x v="69"/>
    <x v="8"/>
    <x v="5"/>
  </r>
  <r>
    <x v="6"/>
    <x v="5"/>
    <n v="5"/>
    <n v="7600"/>
    <x v="72"/>
    <x v="56"/>
    <x v="8"/>
    <x v="5"/>
  </r>
  <r>
    <x v="11"/>
    <x v="21"/>
    <n v="5"/>
    <n v="1500"/>
    <x v="85"/>
    <x v="71"/>
    <x v="8"/>
    <x v="3"/>
  </r>
  <r>
    <x v="9"/>
    <x v="4"/>
    <n v="3"/>
    <n v="2180"/>
    <x v="11"/>
    <x v="11"/>
    <x v="8"/>
    <x v="2"/>
  </r>
  <r>
    <x v="3"/>
    <x v="4"/>
    <n v="2"/>
    <n v="2180"/>
    <x v="4"/>
    <x v="4"/>
    <x v="8"/>
    <x v="4"/>
  </r>
  <r>
    <x v="9"/>
    <x v="15"/>
    <n v="4"/>
    <n v="5775"/>
    <x v="98"/>
    <x v="77"/>
    <x v="8"/>
    <x v="9"/>
  </r>
  <r>
    <x v="9"/>
    <x v="7"/>
    <n v="4"/>
    <n v="1100"/>
    <x v="59"/>
    <x v="1"/>
    <x v="8"/>
    <x v="7"/>
  </r>
  <r>
    <x v="10"/>
    <x v="15"/>
    <n v="4"/>
    <n v="5775"/>
    <x v="98"/>
    <x v="77"/>
    <x v="8"/>
    <x v="9"/>
  </r>
  <r>
    <x v="7"/>
    <x v="3"/>
    <n v="2"/>
    <n v="1350"/>
    <x v="16"/>
    <x v="16"/>
    <x v="8"/>
    <x v="6"/>
  </r>
  <r>
    <x v="0"/>
    <x v="5"/>
    <n v="5"/>
    <n v="7600"/>
    <x v="72"/>
    <x v="56"/>
    <x v="8"/>
    <x v="5"/>
  </r>
  <r>
    <x v="2"/>
    <x v="6"/>
    <n v="2"/>
    <n v="7250"/>
    <x v="6"/>
    <x v="6"/>
    <x v="8"/>
    <x v="11"/>
  </r>
  <r>
    <x v="11"/>
    <x v="13"/>
    <n v="4"/>
    <n v="1490"/>
    <x v="67"/>
    <x v="59"/>
    <x v="8"/>
    <x v="7"/>
  </r>
  <r>
    <x v="3"/>
    <x v="13"/>
    <n v="4"/>
    <n v="1490"/>
    <x v="67"/>
    <x v="59"/>
    <x v="8"/>
    <x v="12"/>
  </r>
  <r>
    <x v="8"/>
    <x v="10"/>
    <n v="2"/>
    <n v="1090"/>
    <x v="10"/>
    <x v="10"/>
    <x v="8"/>
    <x v="9"/>
  </r>
  <r>
    <x v="8"/>
    <x v="8"/>
    <n v="3"/>
    <n v="1200"/>
    <x v="9"/>
    <x v="1"/>
    <x v="8"/>
    <x v="9"/>
  </r>
  <r>
    <x v="11"/>
    <x v="10"/>
    <n v="5"/>
    <n v="1090"/>
    <x v="68"/>
    <x v="60"/>
    <x v="8"/>
    <x v="8"/>
  </r>
  <r>
    <x v="11"/>
    <x v="4"/>
    <n v="2"/>
    <n v="2180"/>
    <x v="4"/>
    <x v="4"/>
    <x v="8"/>
    <x v="5"/>
  </r>
  <r>
    <x v="2"/>
    <x v="20"/>
    <n v="2"/>
    <n v="5300"/>
    <x v="47"/>
    <x v="43"/>
    <x v="8"/>
    <x v="0"/>
  </r>
  <r>
    <x v="11"/>
    <x v="20"/>
    <n v="3"/>
    <n v="5300"/>
    <x v="46"/>
    <x v="42"/>
    <x v="8"/>
    <x v="5"/>
  </r>
  <r>
    <x v="5"/>
    <x v="6"/>
    <n v="4"/>
    <n v="7250"/>
    <x v="77"/>
    <x v="65"/>
    <x v="8"/>
    <x v="11"/>
  </r>
  <r>
    <x v="5"/>
    <x v="18"/>
    <n v="3"/>
    <n v="1200"/>
    <x v="9"/>
    <x v="1"/>
    <x v="8"/>
    <x v="10"/>
  </r>
  <r>
    <x v="3"/>
    <x v="0"/>
    <n v="3"/>
    <n v="6000"/>
    <x v="54"/>
    <x v="13"/>
    <x v="8"/>
    <x v="8"/>
  </r>
  <r>
    <x v="2"/>
    <x v="2"/>
    <n v="3"/>
    <n v="8450"/>
    <x v="48"/>
    <x v="44"/>
    <x v="8"/>
    <x v="10"/>
  </r>
  <r>
    <x v="6"/>
    <x v="14"/>
    <n v="4"/>
    <n v="4200"/>
    <x v="69"/>
    <x v="22"/>
    <x v="8"/>
    <x v="1"/>
  </r>
  <r>
    <x v="6"/>
    <x v="12"/>
    <n v="2"/>
    <n v="10590"/>
    <x v="20"/>
    <x v="18"/>
    <x v="8"/>
    <x v="12"/>
  </r>
  <r>
    <x v="5"/>
    <x v="18"/>
    <n v="3"/>
    <n v="1200"/>
    <x v="9"/>
    <x v="1"/>
    <x v="8"/>
    <x v="2"/>
  </r>
  <r>
    <x v="10"/>
    <x v="7"/>
    <n v="4"/>
    <n v="1100"/>
    <x v="59"/>
    <x v="1"/>
    <x v="8"/>
    <x v="7"/>
  </r>
  <r>
    <x v="9"/>
    <x v="22"/>
    <n v="3"/>
    <n v="3700"/>
    <x v="84"/>
    <x v="47"/>
    <x v="8"/>
    <x v="1"/>
  </r>
  <r>
    <x v="1"/>
    <x v="22"/>
    <n v="5"/>
    <n v="3700"/>
    <x v="94"/>
    <x v="71"/>
    <x v="8"/>
    <x v="8"/>
  </r>
  <r>
    <x v="6"/>
    <x v="7"/>
    <n v="4"/>
    <n v="1100"/>
    <x v="59"/>
    <x v="1"/>
    <x v="8"/>
    <x v="9"/>
  </r>
  <r>
    <x v="5"/>
    <x v="22"/>
    <n v="3"/>
    <n v="3700"/>
    <x v="84"/>
    <x v="47"/>
    <x v="8"/>
    <x v="5"/>
  </r>
  <r>
    <x v="10"/>
    <x v="13"/>
    <n v="3"/>
    <n v="1490"/>
    <x v="28"/>
    <x v="26"/>
    <x v="8"/>
    <x v="6"/>
  </r>
  <r>
    <x v="9"/>
    <x v="21"/>
    <n v="2"/>
    <n v="1500"/>
    <x v="87"/>
    <x v="45"/>
    <x v="8"/>
    <x v="5"/>
  </r>
  <r>
    <x v="8"/>
    <x v="10"/>
    <n v="2"/>
    <n v="1090"/>
    <x v="10"/>
    <x v="10"/>
    <x v="8"/>
    <x v="4"/>
  </r>
  <r>
    <x v="10"/>
    <x v="9"/>
    <n v="2"/>
    <n v="1800"/>
    <x v="9"/>
    <x v="9"/>
    <x v="8"/>
    <x v="1"/>
  </r>
  <r>
    <x v="7"/>
    <x v="19"/>
    <n v="5"/>
    <n v="7530"/>
    <x v="73"/>
    <x v="61"/>
    <x v="8"/>
    <x v="8"/>
  </r>
  <r>
    <x v="6"/>
    <x v="7"/>
    <n v="3"/>
    <n v="1100"/>
    <x v="7"/>
    <x v="7"/>
    <x v="8"/>
    <x v="9"/>
  </r>
  <r>
    <x v="9"/>
    <x v="3"/>
    <n v="3"/>
    <n v="1350"/>
    <x v="3"/>
    <x v="3"/>
    <x v="8"/>
    <x v="8"/>
  </r>
  <r>
    <x v="8"/>
    <x v="3"/>
    <n v="2"/>
    <n v="1350"/>
    <x v="16"/>
    <x v="16"/>
    <x v="8"/>
    <x v="3"/>
  </r>
  <r>
    <x v="7"/>
    <x v="10"/>
    <n v="3"/>
    <n v="1090"/>
    <x v="76"/>
    <x v="64"/>
    <x v="8"/>
    <x v="11"/>
  </r>
  <r>
    <x v="7"/>
    <x v="14"/>
    <n v="2"/>
    <n v="4200"/>
    <x v="22"/>
    <x v="20"/>
    <x v="8"/>
    <x v="9"/>
  </r>
  <r>
    <x v="9"/>
    <x v="9"/>
    <n v="2"/>
    <n v="1800"/>
    <x v="9"/>
    <x v="9"/>
    <x v="8"/>
    <x v="1"/>
  </r>
  <r>
    <x v="11"/>
    <x v="10"/>
    <n v="5"/>
    <n v="1090"/>
    <x v="68"/>
    <x v="60"/>
    <x v="8"/>
    <x v="11"/>
  </r>
  <r>
    <x v="0"/>
    <x v="5"/>
    <n v="5"/>
    <n v="7600"/>
    <x v="72"/>
    <x v="56"/>
    <x v="8"/>
    <x v="8"/>
  </r>
  <r>
    <x v="8"/>
    <x v="5"/>
    <n v="3"/>
    <n v="7600"/>
    <x v="24"/>
    <x v="22"/>
    <x v="8"/>
    <x v="7"/>
  </r>
  <r>
    <x v="2"/>
    <x v="22"/>
    <n v="3"/>
    <n v="3700"/>
    <x v="84"/>
    <x v="47"/>
    <x v="8"/>
    <x v="11"/>
  </r>
  <r>
    <x v="4"/>
    <x v="6"/>
    <n v="5"/>
    <n v="7250"/>
    <x v="58"/>
    <x v="51"/>
    <x v="8"/>
    <x v="10"/>
  </r>
  <r>
    <x v="1"/>
    <x v="5"/>
    <n v="5"/>
    <n v="7600"/>
    <x v="72"/>
    <x v="56"/>
    <x v="8"/>
    <x v="3"/>
  </r>
  <r>
    <x v="10"/>
    <x v="14"/>
    <n v="4"/>
    <n v="4200"/>
    <x v="69"/>
    <x v="22"/>
    <x v="8"/>
    <x v="12"/>
  </r>
  <r>
    <x v="6"/>
    <x v="17"/>
    <n v="5"/>
    <n v="1250"/>
    <x v="93"/>
    <x v="36"/>
    <x v="8"/>
    <x v="4"/>
  </r>
  <r>
    <x v="8"/>
    <x v="10"/>
    <n v="2"/>
    <n v="1090"/>
    <x v="10"/>
    <x v="10"/>
    <x v="8"/>
    <x v="7"/>
  </r>
  <r>
    <x v="3"/>
    <x v="4"/>
    <n v="3"/>
    <n v="2180"/>
    <x v="11"/>
    <x v="11"/>
    <x v="8"/>
    <x v="12"/>
  </r>
  <r>
    <x v="11"/>
    <x v="22"/>
    <n v="2"/>
    <n v="3700"/>
    <x v="49"/>
    <x v="45"/>
    <x v="8"/>
    <x v="4"/>
  </r>
  <r>
    <x v="9"/>
    <x v="0"/>
    <n v="2"/>
    <n v="6000"/>
    <x v="0"/>
    <x v="0"/>
    <x v="8"/>
    <x v="11"/>
  </r>
  <r>
    <x v="10"/>
    <x v="17"/>
    <n v="2"/>
    <n v="1250"/>
    <x v="52"/>
    <x v="7"/>
    <x v="8"/>
    <x v="0"/>
  </r>
  <r>
    <x v="11"/>
    <x v="5"/>
    <n v="2"/>
    <n v="7600"/>
    <x v="5"/>
    <x v="5"/>
    <x v="8"/>
    <x v="9"/>
  </r>
  <r>
    <x v="0"/>
    <x v="1"/>
    <n v="3"/>
    <n v="1400"/>
    <x v="39"/>
    <x v="27"/>
    <x v="8"/>
    <x v="9"/>
  </r>
  <r>
    <x v="4"/>
    <x v="4"/>
    <n v="5"/>
    <n v="2180"/>
    <x v="57"/>
    <x v="50"/>
    <x v="8"/>
    <x v="10"/>
  </r>
  <r>
    <x v="0"/>
    <x v="9"/>
    <n v="3"/>
    <n v="1800"/>
    <x v="12"/>
    <x v="12"/>
    <x v="8"/>
    <x v="8"/>
  </r>
  <r>
    <x v="2"/>
    <x v="21"/>
    <n v="4"/>
    <n v="1500"/>
    <x v="17"/>
    <x v="66"/>
    <x v="8"/>
    <x v="7"/>
  </r>
  <r>
    <x v="6"/>
    <x v="2"/>
    <n v="5"/>
    <n v="8450"/>
    <x v="95"/>
    <x v="75"/>
    <x v="8"/>
    <x v="7"/>
  </r>
  <r>
    <x v="9"/>
    <x v="21"/>
    <n v="4"/>
    <n v="1500"/>
    <x v="17"/>
    <x v="66"/>
    <x v="8"/>
    <x v="4"/>
  </r>
  <r>
    <x v="5"/>
    <x v="0"/>
    <n v="5"/>
    <n v="6000"/>
    <x v="83"/>
    <x v="54"/>
    <x v="8"/>
    <x v="12"/>
  </r>
  <r>
    <x v="11"/>
    <x v="18"/>
    <n v="2"/>
    <n v="1200"/>
    <x v="30"/>
    <x v="28"/>
    <x v="8"/>
    <x v="3"/>
  </r>
  <r>
    <x v="0"/>
    <x v="14"/>
    <n v="3"/>
    <n v="4200"/>
    <x v="31"/>
    <x v="29"/>
    <x v="8"/>
    <x v="12"/>
  </r>
  <r>
    <x v="10"/>
    <x v="5"/>
    <n v="5"/>
    <n v="7600"/>
    <x v="72"/>
    <x v="56"/>
    <x v="8"/>
    <x v="12"/>
  </r>
  <r>
    <x v="5"/>
    <x v="6"/>
    <n v="5"/>
    <n v="7250"/>
    <x v="58"/>
    <x v="51"/>
    <x v="8"/>
    <x v="9"/>
  </r>
  <r>
    <x v="1"/>
    <x v="19"/>
    <n v="5"/>
    <n v="7530"/>
    <x v="73"/>
    <x v="61"/>
    <x v="8"/>
    <x v="11"/>
  </r>
  <r>
    <x v="2"/>
    <x v="6"/>
    <n v="3"/>
    <n v="7250"/>
    <x v="25"/>
    <x v="23"/>
    <x v="8"/>
    <x v="12"/>
  </r>
  <r>
    <x v="1"/>
    <x v="0"/>
    <n v="3"/>
    <n v="6000"/>
    <x v="54"/>
    <x v="13"/>
    <x v="8"/>
    <x v="2"/>
  </r>
  <r>
    <x v="5"/>
    <x v="18"/>
    <n v="4"/>
    <n v="1200"/>
    <x v="71"/>
    <x v="25"/>
    <x v="8"/>
    <x v="8"/>
  </r>
  <r>
    <x v="11"/>
    <x v="20"/>
    <n v="5"/>
    <n v="5300"/>
    <x v="79"/>
    <x v="67"/>
    <x v="8"/>
    <x v="2"/>
  </r>
  <r>
    <x v="8"/>
    <x v="2"/>
    <n v="2"/>
    <n v="8450"/>
    <x v="2"/>
    <x v="2"/>
    <x v="8"/>
    <x v="2"/>
  </r>
  <r>
    <x v="4"/>
    <x v="3"/>
    <n v="2"/>
    <n v="1350"/>
    <x v="16"/>
    <x v="16"/>
    <x v="8"/>
    <x v="3"/>
  </r>
  <r>
    <x v="6"/>
    <x v="10"/>
    <n v="4"/>
    <n v="1090"/>
    <x v="4"/>
    <x v="52"/>
    <x v="8"/>
    <x v="2"/>
  </r>
  <r>
    <x v="4"/>
    <x v="4"/>
    <n v="2"/>
    <n v="2180"/>
    <x v="4"/>
    <x v="4"/>
    <x v="8"/>
    <x v="9"/>
  </r>
  <r>
    <x v="1"/>
    <x v="22"/>
    <n v="5"/>
    <n v="3700"/>
    <x v="94"/>
    <x v="71"/>
    <x v="8"/>
    <x v="12"/>
  </r>
  <r>
    <x v="6"/>
    <x v="7"/>
    <n v="3"/>
    <n v="1100"/>
    <x v="7"/>
    <x v="7"/>
    <x v="8"/>
    <x v="2"/>
  </r>
  <r>
    <x v="5"/>
    <x v="22"/>
    <n v="3"/>
    <n v="3700"/>
    <x v="84"/>
    <x v="47"/>
    <x v="8"/>
    <x v="9"/>
  </r>
  <r>
    <x v="10"/>
    <x v="13"/>
    <n v="4"/>
    <n v="1490"/>
    <x v="67"/>
    <x v="59"/>
    <x v="8"/>
    <x v="6"/>
  </r>
  <r>
    <x v="9"/>
    <x v="21"/>
    <n v="2"/>
    <n v="1500"/>
    <x v="87"/>
    <x v="45"/>
    <x v="8"/>
    <x v="6"/>
  </r>
  <r>
    <x v="8"/>
    <x v="10"/>
    <n v="3"/>
    <n v="1090"/>
    <x v="76"/>
    <x v="64"/>
    <x v="8"/>
    <x v="7"/>
  </r>
  <r>
    <x v="10"/>
    <x v="9"/>
    <n v="3"/>
    <n v="1800"/>
    <x v="12"/>
    <x v="12"/>
    <x v="8"/>
    <x v="7"/>
  </r>
  <r>
    <x v="7"/>
    <x v="19"/>
    <n v="3"/>
    <n v="7530"/>
    <x v="41"/>
    <x v="15"/>
    <x v="8"/>
    <x v="4"/>
  </r>
  <r>
    <x v="6"/>
    <x v="7"/>
    <n v="3"/>
    <n v="1100"/>
    <x v="7"/>
    <x v="7"/>
    <x v="8"/>
    <x v="2"/>
  </r>
  <r>
    <x v="9"/>
    <x v="3"/>
    <n v="3"/>
    <n v="1350"/>
    <x v="3"/>
    <x v="3"/>
    <x v="8"/>
    <x v="8"/>
  </r>
  <r>
    <x v="8"/>
    <x v="3"/>
    <n v="2"/>
    <n v="1350"/>
    <x v="16"/>
    <x v="16"/>
    <x v="8"/>
    <x v="0"/>
  </r>
  <r>
    <x v="7"/>
    <x v="10"/>
    <n v="3"/>
    <n v="1090"/>
    <x v="76"/>
    <x v="64"/>
    <x v="8"/>
    <x v="3"/>
  </r>
  <r>
    <x v="7"/>
    <x v="14"/>
    <n v="3"/>
    <n v="4200"/>
    <x v="31"/>
    <x v="29"/>
    <x v="8"/>
    <x v="6"/>
  </r>
  <r>
    <x v="9"/>
    <x v="9"/>
    <n v="4"/>
    <n v="1800"/>
    <x v="86"/>
    <x v="0"/>
    <x v="8"/>
    <x v="12"/>
  </r>
  <r>
    <x v="11"/>
    <x v="10"/>
    <n v="2"/>
    <n v="1090"/>
    <x v="10"/>
    <x v="10"/>
    <x v="8"/>
    <x v="10"/>
  </r>
  <r>
    <x v="0"/>
    <x v="5"/>
    <n v="4"/>
    <n v="7600"/>
    <x v="65"/>
    <x v="58"/>
    <x v="8"/>
    <x v="11"/>
  </r>
  <r>
    <x v="8"/>
    <x v="5"/>
    <n v="3"/>
    <n v="7600"/>
    <x v="24"/>
    <x v="22"/>
    <x v="8"/>
    <x v="10"/>
  </r>
  <r>
    <x v="2"/>
    <x v="22"/>
    <n v="5"/>
    <n v="3700"/>
    <x v="94"/>
    <x v="71"/>
    <x v="8"/>
    <x v="3"/>
  </r>
  <r>
    <x v="4"/>
    <x v="6"/>
    <n v="2"/>
    <n v="7250"/>
    <x v="6"/>
    <x v="6"/>
    <x v="8"/>
    <x v="1"/>
  </r>
  <r>
    <x v="1"/>
    <x v="5"/>
    <n v="4"/>
    <n v="7600"/>
    <x v="65"/>
    <x v="58"/>
    <x v="8"/>
    <x v="7"/>
  </r>
  <r>
    <x v="10"/>
    <x v="14"/>
    <n v="3"/>
    <n v="4200"/>
    <x v="31"/>
    <x v="29"/>
    <x v="8"/>
    <x v="4"/>
  </r>
  <r>
    <x v="6"/>
    <x v="17"/>
    <n v="2"/>
    <n v="1250"/>
    <x v="52"/>
    <x v="7"/>
    <x v="8"/>
    <x v="1"/>
  </r>
  <r>
    <x v="8"/>
    <x v="10"/>
    <n v="5"/>
    <n v="1090"/>
    <x v="68"/>
    <x v="60"/>
    <x v="8"/>
    <x v="10"/>
  </r>
  <r>
    <x v="3"/>
    <x v="4"/>
    <n v="2"/>
    <n v="2180"/>
    <x v="4"/>
    <x v="4"/>
    <x v="8"/>
    <x v="4"/>
  </r>
  <r>
    <x v="11"/>
    <x v="22"/>
    <n v="3"/>
    <n v="3700"/>
    <x v="84"/>
    <x v="47"/>
    <x v="8"/>
    <x v="6"/>
  </r>
  <r>
    <x v="9"/>
    <x v="0"/>
    <n v="5"/>
    <n v="6000"/>
    <x v="83"/>
    <x v="54"/>
    <x v="8"/>
    <x v="5"/>
  </r>
  <r>
    <x v="10"/>
    <x v="17"/>
    <n v="2"/>
    <n v="1250"/>
    <x v="52"/>
    <x v="7"/>
    <x v="8"/>
    <x v="4"/>
  </r>
  <r>
    <x v="11"/>
    <x v="5"/>
    <n v="2"/>
    <n v="7600"/>
    <x v="5"/>
    <x v="5"/>
    <x v="8"/>
    <x v="8"/>
  </r>
  <r>
    <x v="0"/>
    <x v="1"/>
    <n v="5"/>
    <n v="1400"/>
    <x v="55"/>
    <x v="12"/>
    <x v="8"/>
    <x v="3"/>
  </r>
  <r>
    <x v="4"/>
    <x v="4"/>
    <n v="3"/>
    <n v="2180"/>
    <x v="11"/>
    <x v="11"/>
    <x v="8"/>
    <x v="8"/>
  </r>
  <r>
    <x v="0"/>
    <x v="9"/>
    <n v="5"/>
    <n v="1800"/>
    <x v="89"/>
    <x v="72"/>
    <x v="8"/>
    <x v="10"/>
  </r>
  <r>
    <x v="2"/>
    <x v="21"/>
    <n v="5"/>
    <n v="1500"/>
    <x v="85"/>
    <x v="71"/>
    <x v="8"/>
    <x v="2"/>
  </r>
  <r>
    <x v="6"/>
    <x v="2"/>
    <n v="4"/>
    <n v="8450"/>
    <x v="56"/>
    <x v="48"/>
    <x v="8"/>
    <x v="1"/>
  </r>
  <r>
    <x v="9"/>
    <x v="21"/>
    <n v="3"/>
    <n v="1500"/>
    <x v="53"/>
    <x v="47"/>
    <x v="8"/>
    <x v="3"/>
  </r>
  <r>
    <x v="5"/>
    <x v="0"/>
    <n v="3"/>
    <n v="6000"/>
    <x v="54"/>
    <x v="13"/>
    <x v="8"/>
    <x v="11"/>
  </r>
  <r>
    <x v="11"/>
    <x v="18"/>
    <n v="5"/>
    <n v="1200"/>
    <x v="17"/>
    <x v="9"/>
    <x v="8"/>
    <x v="7"/>
  </r>
  <r>
    <x v="0"/>
    <x v="14"/>
    <n v="2"/>
    <n v="4200"/>
    <x v="22"/>
    <x v="20"/>
    <x v="8"/>
    <x v="3"/>
  </r>
  <r>
    <x v="10"/>
    <x v="5"/>
    <n v="4"/>
    <n v="7600"/>
    <x v="65"/>
    <x v="58"/>
    <x v="8"/>
    <x v="5"/>
  </r>
  <r>
    <x v="5"/>
    <x v="6"/>
    <n v="2"/>
    <n v="7250"/>
    <x v="6"/>
    <x v="6"/>
    <x v="8"/>
    <x v="8"/>
  </r>
  <r>
    <x v="1"/>
    <x v="19"/>
    <n v="3"/>
    <n v="7530"/>
    <x v="41"/>
    <x v="15"/>
    <x v="8"/>
    <x v="0"/>
  </r>
  <r>
    <x v="2"/>
    <x v="6"/>
    <n v="5"/>
    <n v="7250"/>
    <x v="58"/>
    <x v="51"/>
    <x v="9"/>
    <x v="0"/>
  </r>
  <r>
    <x v="1"/>
    <x v="0"/>
    <n v="5"/>
    <n v="6000"/>
    <x v="83"/>
    <x v="54"/>
    <x v="9"/>
    <x v="5"/>
  </r>
  <r>
    <x v="5"/>
    <x v="18"/>
    <n v="2"/>
    <n v="1200"/>
    <x v="30"/>
    <x v="28"/>
    <x v="9"/>
    <x v="8"/>
  </r>
  <r>
    <x v="11"/>
    <x v="20"/>
    <n v="5"/>
    <n v="5300"/>
    <x v="79"/>
    <x v="67"/>
    <x v="9"/>
    <x v="7"/>
  </r>
  <r>
    <x v="8"/>
    <x v="2"/>
    <n v="5"/>
    <n v="8450"/>
    <x v="95"/>
    <x v="75"/>
    <x v="9"/>
    <x v="6"/>
  </r>
  <r>
    <x v="4"/>
    <x v="3"/>
    <n v="2"/>
    <n v="1350"/>
    <x v="16"/>
    <x v="16"/>
    <x v="9"/>
    <x v="9"/>
  </r>
  <r>
    <x v="6"/>
    <x v="10"/>
    <n v="5"/>
    <n v="1090"/>
    <x v="68"/>
    <x v="60"/>
    <x v="9"/>
    <x v="3"/>
  </r>
  <r>
    <x v="4"/>
    <x v="4"/>
    <n v="5"/>
    <n v="2180"/>
    <x v="57"/>
    <x v="50"/>
    <x v="9"/>
    <x v="9"/>
  </r>
  <r>
    <x v="0"/>
    <x v="0"/>
    <n v="2"/>
    <n v="6000"/>
    <x v="0"/>
    <x v="0"/>
    <x v="9"/>
    <x v="0"/>
  </r>
  <r>
    <x v="1"/>
    <x v="1"/>
    <n v="3"/>
    <n v="1400"/>
    <x v="39"/>
    <x v="27"/>
    <x v="9"/>
    <x v="8"/>
  </r>
  <r>
    <x v="2"/>
    <x v="2"/>
    <n v="5"/>
    <n v="8450"/>
    <x v="95"/>
    <x v="75"/>
    <x v="9"/>
    <x v="6"/>
  </r>
  <r>
    <x v="3"/>
    <x v="3"/>
    <n v="5"/>
    <n v="1350"/>
    <x v="92"/>
    <x v="74"/>
    <x v="9"/>
    <x v="4"/>
  </r>
  <r>
    <x v="0"/>
    <x v="4"/>
    <n v="2"/>
    <n v="2180"/>
    <x v="4"/>
    <x v="4"/>
    <x v="9"/>
    <x v="4"/>
  </r>
  <r>
    <x v="4"/>
    <x v="5"/>
    <n v="5"/>
    <n v="7600"/>
    <x v="72"/>
    <x v="56"/>
    <x v="9"/>
    <x v="6"/>
  </r>
  <r>
    <x v="1"/>
    <x v="6"/>
    <n v="4"/>
    <n v="7250"/>
    <x v="77"/>
    <x v="65"/>
    <x v="9"/>
    <x v="11"/>
  </r>
  <r>
    <x v="3"/>
    <x v="7"/>
    <n v="2"/>
    <n v="1100"/>
    <x v="18"/>
    <x v="14"/>
    <x v="9"/>
    <x v="4"/>
  </r>
  <r>
    <x v="5"/>
    <x v="0"/>
    <n v="5"/>
    <n v="6000"/>
    <x v="83"/>
    <x v="54"/>
    <x v="9"/>
    <x v="8"/>
  </r>
  <r>
    <x v="0"/>
    <x v="8"/>
    <n v="3"/>
    <n v="1200"/>
    <x v="9"/>
    <x v="1"/>
    <x v="9"/>
    <x v="7"/>
  </r>
  <r>
    <x v="6"/>
    <x v="9"/>
    <n v="3"/>
    <n v="1800"/>
    <x v="12"/>
    <x v="12"/>
    <x v="9"/>
    <x v="0"/>
  </r>
  <r>
    <x v="6"/>
    <x v="10"/>
    <n v="3"/>
    <n v="1090"/>
    <x v="76"/>
    <x v="64"/>
    <x v="9"/>
    <x v="0"/>
  </r>
  <r>
    <x v="5"/>
    <x v="4"/>
    <n v="2"/>
    <n v="2180"/>
    <x v="4"/>
    <x v="4"/>
    <x v="9"/>
    <x v="12"/>
  </r>
  <r>
    <x v="7"/>
    <x v="9"/>
    <n v="4"/>
    <n v="1800"/>
    <x v="86"/>
    <x v="0"/>
    <x v="9"/>
    <x v="1"/>
  </r>
  <r>
    <x v="4"/>
    <x v="11"/>
    <n v="2"/>
    <n v="8000"/>
    <x v="78"/>
    <x v="0"/>
    <x v="9"/>
    <x v="7"/>
  </r>
  <r>
    <x v="5"/>
    <x v="1"/>
    <n v="5"/>
    <n v="1400"/>
    <x v="55"/>
    <x v="12"/>
    <x v="9"/>
    <x v="7"/>
  </r>
  <r>
    <x v="8"/>
    <x v="12"/>
    <n v="3"/>
    <n v="10590"/>
    <x v="43"/>
    <x v="38"/>
    <x v="9"/>
    <x v="2"/>
  </r>
  <r>
    <x v="9"/>
    <x v="3"/>
    <n v="5"/>
    <n v="1350"/>
    <x v="92"/>
    <x v="74"/>
    <x v="9"/>
    <x v="6"/>
  </r>
  <r>
    <x v="6"/>
    <x v="1"/>
    <n v="5"/>
    <n v="1400"/>
    <x v="55"/>
    <x v="12"/>
    <x v="9"/>
    <x v="6"/>
  </r>
  <r>
    <x v="3"/>
    <x v="0"/>
    <n v="2"/>
    <n v="6000"/>
    <x v="0"/>
    <x v="0"/>
    <x v="9"/>
    <x v="5"/>
  </r>
  <r>
    <x v="8"/>
    <x v="7"/>
    <n v="4"/>
    <n v="1100"/>
    <x v="59"/>
    <x v="1"/>
    <x v="9"/>
    <x v="9"/>
  </r>
  <r>
    <x v="2"/>
    <x v="0"/>
    <n v="5"/>
    <n v="6000"/>
    <x v="83"/>
    <x v="54"/>
    <x v="9"/>
    <x v="2"/>
  </r>
  <r>
    <x v="9"/>
    <x v="13"/>
    <n v="3"/>
    <n v="1490"/>
    <x v="28"/>
    <x v="26"/>
    <x v="9"/>
    <x v="0"/>
  </r>
  <r>
    <x v="8"/>
    <x v="12"/>
    <n v="2"/>
    <n v="10590"/>
    <x v="20"/>
    <x v="18"/>
    <x v="9"/>
    <x v="8"/>
  </r>
  <r>
    <x v="2"/>
    <x v="11"/>
    <n v="5"/>
    <n v="8000"/>
    <x v="61"/>
    <x v="54"/>
    <x v="9"/>
    <x v="2"/>
  </r>
  <r>
    <x v="6"/>
    <x v="7"/>
    <n v="5"/>
    <n v="1100"/>
    <x v="63"/>
    <x v="57"/>
    <x v="9"/>
    <x v="5"/>
  </r>
  <r>
    <x v="9"/>
    <x v="8"/>
    <n v="4"/>
    <n v="1200"/>
    <x v="71"/>
    <x v="25"/>
    <x v="9"/>
    <x v="0"/>
  </r>
  <r>
    <x v="4"/>
    <x v="14"/>
    <n v="3"/>
    <n v="4200"/>
    <x v="31"/>
    <x v="29"/>
    <x v="9"/>
    <x v="4"/>
  </r>
  <r>
    <x v="1"/>
    <x v="15"/>
    <n v="2"/>
    <n v="5775"/>
    <x v="91"/>
    <x v="73"/>
    <x v="9"/>
    <x v="4"/>
  </r>
  <r>
    <x v="10"/>
    <x v="5"/>
    <n v="4"/>
    <n v="7600"/>
    <x v="65"/>
    <x v="58"/>
    <x v="9"/>
    <x v="12"/>
  </r>
  <r>
    <x v="1"/>
    <x v="6"/>
    <n v="2"/>
    <n v="7250"/>
    <x v="6"/>
    <x v="6"/>
    <x v="9"/>
    <x v="9"/>
  </r>
  <r>
    <x v="0"/>
    <x v="6"/>
    <n v="3"/>
    <n v="7250"/>
    <x v="25"/>
    <x v="23"/>
    <x v="9"/>
    <x v="9"/>
  </r>
  <r>
    <x v="8"/>
    <x v="6"/>
    <n v="3"/>
    <n v="7250"/>
    <x v="25"/>
    <x v="23"/>
    <x v="9"/>
    <x v="3"/>
  </r>
  <r>
    <x v="5"/>
    <x v="3"/>
    <n v="3"/>
    <n v="1350"/>
    <x v="3"/>
    <x v="3"/>
    <x v="9"/>
    <x v="5"/>
  </r>
  <r>
    <x v="1"/>
    <x v="6"/>
    <n v="2"/>
    <n v="7250"/>
    <x v="6"/>
    <x v="6"/>
    <x v="9"/>
    <x v="6"/>
  </r>
  <r>
    <x v="6"/>
    <x v="5"/>
    <n v="5"/>
    <n v="7600"/>
    <x v="72"/>
    <x v="56"/>
    <x v="9"/>
    <x v="4"/>
  </r>
  <r>
    <x v="11"/>
    <x v="5"/>
    <n v="4"/>
    <n v="7600"/>
    <x v="65"/>
    <x v="58"/>
    <x v="9"/>
    <x v="5"/>
  </r>
  <r>
    <x v="1"/>
    <x v="13"/>
    <n v="3"/>
    <n v="1490"/>
    <x v="28"/>
    <x v="26"/>
    <x v="9"/>
    <x v="6"/>
  </r>
  <r>
    <x v="5"/>
    <x v="16"/>
    <n v="5"/>
    <n v="2900"/>
    <x v="6"/>
    <x v="6"/>
    <x v="9"/>
    <x v="10"/>
  </r>
  <r>
    <x v="9"/>
    <x v="13"/>
    <n v="4"/>
    <n v="1490"/>
    <x v="67"/>
    <x v="59"/>
    <x v="9"/>
    <x v="8"/>
  </r>
  <r>
    <x v="9"/>
    <x v="10"/>
    <n v="2"/>
    <n v="1090"/>
    <x v="10"/>
    <x v="10"/>
    <x v="9"/>
    <x v="7"/>
  </r>
  <r>
    <x v="5"/>
    <x v="8"/>
    <n v="2"/>
    <n v="1200"/>
    <x v="30"/>
    <x v="28"/>
    <x v="9"/>
    <x v="0"/>
  </r>
  <r>
    <x v="8"/>
    <x v="12"/>
    <n v="4"/>
    <n v="10590"/>
    <x v="80"/>
    <x v="68"/>
    <x v="9"/>
    <x v="8"/>
  </r>
  <r>
    <x v="6"/>
    <x v="14"/>
    <n v="2"/>
    <n v="4200"/>
    <x v="22"/>
    <x v="20"/>
    <x v="9"/>
    <x v="0"/>
  </r>
  <r>
    <x v="3"/>
    <x v="14"/>
    <n v="2"/>
    <n v="4200"/>
    <x v="22"/>
    <x v="20"/>
    <x v="9"/>
    <x v="10"/>
  </r>
  <r>
    <x v="7"/>
    <x v="12"/>
    <n v="4"/>
    <n v="10590"/>
    <x v="80"/>
    <x v="68"/>
    <x v="9"/>
    <x v="8"/>
  </r>
  <r>
    <x v="11"/>
    <x v="17"/>
    <n v="3"/>
    <n v="1250"/>
    <x v="51"/>
    <x v="46"/>
    <x v="9"/>
    <x v="9"/>
  </r>
  <r>
    <x v="0"/>
    <x v="13"/>
    <n v="5"/>
    <n v="1490"/>
    <x v="74"/>
    <x v="62"/>
    <x v="9"/>
    <x v="10"/>
  </r>
  <r>
    <x v="6"/>
    <x v="8"/>
    <n v="5"/>
    <n v="1200"/>
    <x v="17"/>
    <x v="9"/>
    <x v="9"/>
    <x v="4"/>
  </r>
  <r>
    <x v="2"/>
    <x v="4"/>
    <n v="5"/>
    <n v="2180"/>
    <x v="57"/>
    <x v="50"/>
    <x v="9"/>
    <x v="0"/>
  </r>
  <r>
    <x v="9"/>
    <x v="18"/>
    <n v="2"/>
    <n v="1200"/>
    <x v="30"/>
    <x v="28"/>
    <x v="9"/>
    <x v="2"/>
  </r>
  <r>
    <x v="0"/>
    <x v="9"/>
    <n v="2"/>
    <n v="1800"/>
    <x v="9"/>
    <x v="9"/>
    <x v="9"/>
    <x v="1"/>
  </r>
  <r>
    <x v="2"/>
    <x v="5"/>
    <n v="4"/>
    <n v="7600"/>
    <x v="65"/>
    <x v="58"/>
    <x v="9"/>
    <x v="9"/>
  </r>
  <r>
    <x v="7"/>
    <x v="19"/>
    <n v="5"/>
    <n v="7530"/>
    <x v="73"/>
    <x v="61"/>
    <x v="9"/>
    <x v="10"/>
  </r>
  <r>
    <x v="11"/>
    <x v="13"/>
    <n v="2"/>
    <n v="1490"/>
    <x v="35"/>
    <x v="33"/>
    <x v="9"/>
    <x v="5"/>
  </r>
  <r>
    <x v="0"/>
    <x v="20"/>
    <n v="5"/>
    <n v="5300"/>
    <x v="79"/>
    <x v="67"/>
    <x v="9"/>
    <x v="7"/>
  </r>
  <r>
    <x v="4"/>
    <x v="8"/>
    <n v="2"/>
    <n v="1200"/>
    <x v="30"/>
    <x v="28"/>
    <x v="9"/>
    <x v="0"/>
  </r>
  <r>
    <x v="9"/>
    <x v="10"/>
    <n v="3"/>
    <n v="1090"/>
    <x v="76"/>
    <x v="64"/>
    <x v="9"/>
    <x v="5"/>
  </r>
  <r>
    <x v="4"/>
    <x v="6"/>
    <n v="5"/>
    <n v="7250"/>
    <x v="58"/>
    <x v="51"/>
    <x v="9"/>
    <x v="0"/>
  </r>
  <r>
    <x v="10"/>
    <x v="1"/>
    <n v="2"/>
    <n v="1400"/>
    <x v="1"/>
    <x v="1"/>
    <x v="9"/>
    <x v="12"/>
  </r>
  <r>
    <x v="2"/>
    <x v="21"/>
    <n v="4"/>
    <n v="1500"/>
    <x v="17"/>
    <x v="66"/>
    <x v="9"/>
    <x v="11"/>
  </r>
  <r>
    <x v="7"/>
    <x v="3"/>
    <n v="5"/>
    <n v="1350"/>
    <x v="92"/>
    <x v="74"/>
    <x v="9"/>
    <x v="2"/>
  </r>
  <r>
    <x v="7"/>
    <x v="8"/>
    <n v="2"/>
    <n v="1200"/>
    <x v="30"/>
    <x v="28"/>
    <x v="9"/>
    <x v="4"/>
  </r>
  <r>
    <x v="1"/>
    <x v="19"/>
    <n v="2"/>
    <n v="7530"/>
    <x v="44"/>
    <x v="39"/>
    <x v="9"/>
    <x v="5"/>
  </r>
  <r>
    <x v="10"/>
    <x v="8"/>
    <n v="2"/>
    <n v="1200"/>
    <x v="30"/>
    <x v="28"/>
    <x v="9"/>
    <x v="10"/>
  </r>
  <r>
    <x v="8"/>
    <x v="9"/>
    <n v="3"/>
    <n v="1800"/>
    <x v="12"/>
    <x v="12"/>
    <x v="9"/>
    <x v="11"/>
  </r>
  <r>
    <x v="0"/>
    <x v="6"/>
    <n v="2"/>
    <n v="7250"/>
    <x v="6"/>
    <x v="6"/>
    <x v="9"/>
    <x v="0"/>
  </r>
  <r>
    <x v="9"/>
    <x v="13"/>
    <n v="3"/>
    <n v="1490"/>
    <x v="28"/>
    <x v="26"/>
    <x v="9"/>
    <x v="10"/>
  </r>
  <r>
    <x v="9"/>
    <x v="18"/>
    <n v="4"/>
    <n v="1200"/>
    <x v="71"/>
    <x v="25"/>
    <x v="9"/>
    <x v="10"/>
  </r>
  <r>
    <x v="1"/>
    <x v="11"/>
    <n v="4"/>
    <n v="8000"/>
    <x v="90"/>
    <x v="56"/>
    <x v="9"/>
    <x v="11"/>
  </r>
  <r>
    <x v="6"/>
    <x v="1"/>
    <n v="4"/>
    <n v="1400"/>
    <x v="88"/>
    <x v="20"/>
    <x v="9"/>
    <x v="6"/>
  </r>
  <r>
    <x v="5"/>
    <x v="3"/>
    <n v="4"/>
    <n v="1350"/>
    <x v="12"/>
    <x v="49"/>
    <x v="9"/>
    <x v="1"/>
  </r>
  <r>
    <x v="8"/>
    <x v="18"/>
    <n v="3"/>
    <n v="1200"/>
    <x v="9"/>
    <x v="1"/>
    <x v="9"/>
    <x v="3"/>
  </r>
  <r>
    <x v="6"/>
    <x v="20"/>
    <n v="5"/>
    <n v="5300"/>
    <x v="79"/>
    <x v="67"/>
    <x v="9"/>
    <x v="9"/>
  </r>
  <r>
    <x v="9"/>
    <x v="12"/>
    <n v="5"/>
    <n v="10590"/>
    <x v="62"/>
    <x v="55"/>
    <x v="9"/>
    <x v="12"/>
  </r>
  <r>
    <x v="4"/>
    <x v="17"/>
    <n v="2"/>
    <n v="1250"/>
    <x v="52"/>
    <x v="7"/>
    <x v="9"/>
    <x v="4"/>
  </r>
  <r>
    <x v="11"/>
    <x v="18"/>
    <n v="3"/>
    <n v="1200"/>
    <x v="9"/>
    <x v="1"/>
    <x v="9"/>
    <x v="7"/>
  </r>
  <r>
    <x v="4"/>
    <x v="1"/>
    <n v="4"/>
    <n v="1400"/>
    <x v="88"/>
    <x v="20"/>
    <x v="9"/>
    <x v="9"/>
  </r>
  <r>
    <x v="11"/>
    <x v="19"/>
    <n v="2"/>
    <n v="7530"/>
    <x v="44"/>
    <x v="39"/>
    <x v="9"/>
    <x v="6"/>
  </r>
  <r>
    <x v="6"/>
    <x v="5"/>
    <n v="4"/>
    <n v="7600"/>
    <x v="65"/>
    <x v="58"/>
    <x v="9"/>
    <x v="7"/>
  </r>
  <r>
    <x v="11"/>
    <x v="21"/>
    <n v="5"/>
    <n v="1500"/>
    <x v="85"/>
    <x v="71"/>
    <x v="9"/>
    <x v="2"/>
  </r>
  <r>
    <x v="9"/>
    <x v="4"/>
    <n v="3"/>
    <n v="2180"/>
    <x v="11"/>
    <x v="11"/>
    <x v="9"/>
    <x v="3"/>
  </r>
  <r>
    <x v="3"/>
    <x v="4"/>
    <n v="4"/>
    <n v="2180"/>
    <x v="60"/>
    <x v="53"/>
    <x v="9"/>
    <x v="0"/>
  </r>
  <r>
    <x v="9"/>
    <x v="15"/>
    <n v="3"/>
    <n v="5775"/>
    <x v="23"/>
    <x v="21"/>
    <x v="9"/>
    <x v="3"/>
  </r>
  <r>
    <x v="9"/>
    <x v="7"/>
    <n v="2"/>
    <n v="1100"/>
    <x v="18"/>
    <x v="14"/>
    <x v="9"/>
    <x v="0"/>
  </r>
  <r>
    <x v="10"/>
    <x v="15"/>
    <n v="5"/>
    <n v="5775"/>
    <x v="82"/>
    <x v="70"/>
    <x v="9"/>
    <x v="3"/>
  </r>
  <r>
    <x v="7"/>
    <x v="3"/>
    <n v="5"/>
    <n v="1350"/>
    <x v="92"/>
    <x v="74"/>
    <x v="9"/>
    <x v="8"/>
  </r>
  <r>
    <x v="0"/>
    <x v="5"/>
    <n v="3"/>
    <n v="7600"/>
    <x v="24"/>
    <x v="22"/>
    <x v="9"/>
    <x v="2"/>
  </r>
  <r>
    <x v="2"/>
    <x v="6"/>
    <n v="3"/>
    <n v="7250"/>
    <x v="25"/>
    <x v="23"/>
    <x v="9"/>
    <x v="9"/>
  </r>
  <r>
    <x v="11"/>
    <x v="13"/>
    <n v="5"/>
    <n v="1490"/>
    <x v="74"/>
    <x v="62"/>
    <x v="9"/>
    <x v="1"/>
  </r>
  <r>
    <x v="3"/>
    <x v="13"/>
    <n v="3"/>
    <n v="1490"/>
    <x v="28"/>
    <x v="26"/>
    <x v="9"/>
    <x v="10"/>
  </r>
  <r>
    <x v="8"/>
    <x v="10"/>
    <n v="4"/>
    <n v="1090"/>
    <x v="4"/>
    <x v="52"/>
    <x v="9"/>
    <x v="9"/>
  </r>
  <r>
    <x v="8"/>
    <x v="8"/>
    <n v="5"/>
    <n v="1200"/>
    <x v="17"/>
    <x v="9"/>
    <x v="9"/>
    <x v="9"/>
  </r>
  <r>
    <x v="11"/>
    <x v="10"/>
    <n v="3"/>
    <n v="1090"/>
    <x v="76"/>
    <x v="64"/>
    <x v="9"/>
    <x v="11"/>
  </r>
  <r>
    <x v="11"/>
    <x v="4"/>
    <n v="2"/>
    <n v="2180"/>
    <x v="4"/>
    <x v="4"/>
    <x v="9"/>
    <x v="8"/>
  </r>
  <r>
    <x v="2"/>
    <x v="20"/>
    <n v="5"/>
    <n v="5300"/>
    <x v="79"/>
    <x v="67"/>
    <x v="9"/>
    <x v="1"/>
  </r>
  <r>
    <x v="11"/>
    <x v="20"/>
    <n v="3"/>
    <n v="5300"/>
    <x v="46"/>
    <x v="42"/>
    <x v="9"/>
    <x v="7"/>
  </r>
  <r>
    <x v="5"/>
    <x v="6"/>
    <n v="5"/>
    <n v="7250"/>
    <x v="58"/>
    <x v="51"/>
    <x v="9"/>
    <x v="9"/>
  </r>
  <r>
    <x v="5"/>
    <x v="18"/>
    <n v="3"/>
    <n v="1200"/>
    <x v="9"/>
    <x v="1"/>
    <x v="9"/>
    <x v="11"/>
  </r>
  <r>
    <x v="3"/>
    <x v="0"/>
    <n v="4"/>
    <n v="6000"/>
    <x v="13"/>
    <x v="56"/>
    <x v="9"/>
    <x v="6"/>
  </r>
  <r>
    <x v="2"/>
    <x v="2"/>
    <n v="3"/>
    <n v="8450"/>
    <x v="48"/>
    <x v="44"/>
    <x v="9"/>
    <x v="0"/>
  </r>
  <r>
    <x v="6"/>
    <x v="14"/>
    <n v="3"/>
    <n v="4200"/>
    <x v="31"/>
    <x v="29"/>
    <x v="9"/>
    <x v="0"/>
  </r>
  <r>
    <x v="6"/>
    <x v="12"/>
    <n v="2"/>
    <n v="10590"/>
    <x v="20"/>
    <x v="18"/>
    <x v="9"/>
    <x v="9"/>
  </r>
  <r>
    <x v="5"/>
    <x v="18"/>
    <n v="4"/>
    <n v="1200"/>
    <x v="71"/>
    <x v="25"/>
    <x v="9"/>
    <x v="8"/>
  </r>
  <r>
    <x v="10"/>
    <x v="7"/>
    <n v="4"/>
    <n v="1100"/>
    <x v="59"/>
    <x v="1"/>
    <x v="9"/>
    <x v="4"/>
  </r>
  <r>
    <x v="9"/>
    <x v="22"/>
    <n v="5"/>
    <n v="3700"/>
    <x v="94"/>
    <x v="71"/>
    <x v="9"/>
    <x v="1"/>
  </r>
  <r>
    <x v="1"/>
    <x v="22"/>
    <n v="5"/>
    <n v="3700"/>
    <x v="94"/>
    <x v="71"/>
    <x v="9"/>
    <x v="6"/>
  </r>
  <r>
    <x v="6"/>
    <x v="7"/>
    <n v="5"/>
    <n v="1100"/>
    <x v="63"/>
    <x v="57"/>
    <x v="10"/>
    <x v="4"/>
  </r>
  <r>
    <x v="5"/>
    <x v="22"/>
    <n v="5"/>
    <n v="3700"/>
    <x v="94"/>
    <x v="71"/>
    <x v="10"/>
    <x v="8"/>
  </r>
  <r>
    <x v="10"/>
    <x v="13"/>
    <n v="4"/>
    <n v="1490"/>
    <x v="67"/>
    <x v="59"/>
    <x v="10"/>
    <x v="5"/>
  </r>
  <r>
    <x v="9"/>
    <x v="21"/>
    <n v="2"/>
    <n v="1500"/>
    <x v="87"/>
    <x v="45"/>
    <x v="10"/>
    <x v="5"/>
  </r>
  <r>
    <x v="8"/>
    <x v="10"/>
    <n v="4"/>
    <n v="1090"/>
    <x v="4"/>
    <x v="52"/>
    <x v="10"/>
    <x v="12"/>
  </r>
  <r>
    <x v="10"/>
    <x v="9"/>
    <n v="3"/>
    <n v="1800"/>
    <x v="12"/>
    <x v="12"/>
    <x v="10"/>
    <x v="12"/>
  </r>
  <r>
    <x v="7"/>
    <x v="19"/>
    <n v="2"/>
    <n v="7530"/>
    <x v="44"/>
    <x v="39"/>
    <x v="10"/>
    <x v="7"/>
  </r>
  <r>
    <x v="6"/>
    <x v="7"/>
    <n v="2"/>
    <n v="1100"/>
    <x v="18"/>
    <x v="14"/>
    <x v="10"/>
    <x v="6"/>
  </r>
  <r>
    <x v="9"/>
    <x v="3"/>
    <n v="4"/>
    <n v="1350"/>
    <x v="12"/>
    <x v="49"/>
    <x v="10"/>
    <x v="10"/>
  </r>
  <r>
    <x v="8"/>
    <x v="3"/>
    <n v="3"/>
    <n v="1350"/>
    <x v="3"/>
    <x v="3"/>
    <x v="10"/>
    <x v="10"/>
  </r>
  <r>
    <x v="7"/>
    <x v="10"/>
    <n v="5"/>
    <n v="1090"/>
    <x v="68"/>
    <x v="60"/>
    <x v="10"/>
    <x v="1"/>
  </r>
  <r>
    <x v="7"/>
    <x v="14"/>
    <n v="5"/>
    <n v="4200"/>
    <x v="64"/>
    <x v="13"/>
    <x v="10"/>
    <x v="10"/>
  </r>
  <r>
    <x v="9"/>
    <x v="9"/>
    <n v="3"/>
    <n v="1800"/>
    <x v="12"/>
    <x v="12"/>
    <x v="10"/>
    <x v="1"/>
  </r>
  <r>
    <x v="11"/>
    <x v="10"/>
    <n v="5"/>
    <n v="1090"/>
    <x v="68"/>
    <x v="60"/>
    <x v="10"/>
    <x v="9"/>
  </r>
  <r>
    <x v="0"/>
    <x v="5"/>
    <n v="3"/>
    <n v="7600"/>
    <x v="24"/>
    <x v="22"/>
    <x v="10"/>
    <x v="1"/>
  </r>
  <r>
    <x v="8"/>
    <x v="5"/>
    <n v="4"/>
    <n v="7600"/>
    <x v="65"/>
    <x v="58"/>
    <x v="10"/>
    <x v="3"/>
  </r>
  <r>
    <x v="2"/>
    <x v="22"/>
    <n v="4"/>
    <n v="3700"/>
    <x v="96"/>
    <x v="66"/>
    <x v="10"/>
    <x v="9"/>
  </r>
  <r>
    <x v="4"/>
    <x v="6"/>
    <n v="5"/>
    <n v="7250"/>
    <x v="58"/>
    <x v="51"/>
    <x v="10"/>
    <x v="5"/>
  </r>
  <r>
    <x v="1"/>
    <x v="5"/>
    <n v="3"/>
    <n v="7600"/>
    <x v="24"/>
    <x v="22"/>
    <x v="10"/>
    <x v="5"/>
  </r>
  <r>
    <x v="10"/>
    <x v="14"/>
    <n v="3"/>
    <n v="4200"/>
    <x v="31"/>
    <x v="29"/>
    <x v="10"/>
    <x v="11"/>
  </r>
  <r>
    <x v="6"/>
    <x v="17"/>
    <n v="3"/>
    <n v="1250"/>
    <x v="51"/>
    <x v="46"/>
    <x v="10"/>
    <x v="0"/>
  </r>
  <r>
    <x v="8"/>
    <x v="10"/>
    <n v="3"/>
    <n v="1090"/>
    <x v="76"/>
    <x v="64"/>
    <x v="10"/>
    <x v="9"/>
  </r>
  <r>
    <x v="3"/>
    <x v="4"/>
    <n v="5"/>
    <n v="2180"/>
    <x v="57"/>
    <x v="50"/>
    <x v="10"/>
    <x v="7"/>
  </r>
  <r>
    <x v="11"/>
    <x v="22"/>
    <n v="2"/>
    <n v="3700"/>
    <x v="49"/>
    <x v="45"/>
    <x v="10"/>
    <x v="6"/>
  </r>
  <r>
    <x v="9"/>
    <x v="0"/>
    <n v="5"/>
    <n v="6000"/>
    <x v="83"/>
    <x v="54"/>
    <x v="10"/>
    <x v="4"/>
  </r>
  <r>
    <x v="10"/>
    <x v="17"/>
    <n v="3"/>
    <n v="1250"/>
    <x v="51"/>
    <x v="46"/>
    <x v="10"/>
    <x v="9"/>
  </r>
  <r>
    <x v="11"/>
    <x v="5"/>
    <n v="2"/>
    <n v="7600"/>
    <x v="5"/>
    <x v="5"/>
    <x v="10"/>
    <x v="6"/>
  </r>
  <r>
    <x v="0"/>
    <x v="1"/>
    <n v="2"/>
    <n v="1400"/>
    <x v="1"/>
    <x v="1"/>
    <x v="10"/>
    <x v="2"/>
  </r>
  <r>
    <x v="4"/>
    <x v="4"/>
    <n v="4"/>
    <n v="2180"/>
    <x v="60"/>
    <x v="53"/>
    <x v="10"/>
    <x v="10"/>
  </r>
  <r>
    <x v="0"/>
    <x v="9"/>
    <n v="4"/>
    <n v="1800"/>
    <x v="86"/>
    <x v="0"/>
    <x v="10"/>
    <x v="9"/>
  </r>
  <r>
    <x v="2"/>
    <x v="21"/>
    <n v="4"/>
    <n v="1500"/>
    <x v="17"/>
    <x v="66"/>
    <x v="10"/>
    <x v="3"/>
  </r>
  <r>
    <x v="6"/>
    <x v="2"/>
    <n v="2"/>
    <n v="8450"/>
    <x v="2"/>
    <x v="2"/>
    <x v="10"/>
    <x v="12"/>
  </r>
  <r>
    <x v="9"/>
    <x v="21"/>
    <n v="4"/>
    <n v="1500"/>
    <x v="17"/>
    <x v="66"/>
    <x v="10"/>
    <x v="12"/>
  </r>
  <r>
    <x v="5"/>
    <x v="0"/>
    <n v="2"/>
    <n v="6000"/>
    <x v="0"/>
    <x v="0"/>
    <x v="10"/>
    <x v="8"/>
  </r>
  <r>
    <x v="11"/>
    <x v="18"/>
    <n v="2"/>
    <n v="1200"/>
    <x v="30"/>
    <x v="28"/>
    <x v="10"/>
    <x v="3"/>
  </r>
  <r>
    <x v="0"/>
    <x v="14"/>
    <n v="4"/>
    <n v="4200"/>
    <x v="69"/>
    <x v="22"/>
    <x v="10"/>
    <x v="9"/>
  </r>
  <r>
    <x v="10"/>
    <x v="5"/>
    <n v="2"/>
    <n v="7600"/>
    <x v="5"/>
    <x v="5"/>
    <x v="10"/>
    <x v="7"/>
  </r>
  <r>
    <x v="5"/>
    <x v="6"/>
    <n v="2"/>
    <n v="7250"/>
    <x v="6"/>
    <x v="6"/>
    <x v="10"/>
    <x v="4"/>
  </r>
  <r>
    <x v="1"/>
    <x v="19"/>
    <n v="4"/>
    <n v="7530"/>
    <x v="81"/>
    <x v="69"/>
    <x v="10"/>
    <x v="4"/>
  </r>
  <r>
    <x v="2"/>
    <x v="6"/>
    <n v="2"/>
    <n v="7250"/>
    <x v="6"/>
    <x v="6"/>
    <x v="10"/>
    <x v="3"/>
  </r>
  <r>
    <x v="1"/>
    <x v="0"/>
    <n v="5"/>
    <n v="6000"/>
    <x v="83"/>
    <x v="54"/>
    <x v="10"/>
    <x v="1"/>
  </r>
  <r>
    <x v="5"/>
    <x v="18"/>
    <n v="3"/>
    <n v="1200"/>
    <x v="9"/>
    <x v="1"/>
    <x v="10"/>
    <x v="1"/>
  </r>
  <r>
    <x v="11"/>
    <x v="20"/>
    <n v="2"/>
    <n v="5300"/>
    <x v="47"/>
    <x v="43"/>
    <x v="10"/>
    <x v="6"/>
  </r>
  <r>
    <x v="8"/>
    <x v="2"/>
    <n v="4"/>
    <n v="8450"/>
    <x v="56"/>
    <x v="48"/>
    <x v="10"/>
    <x v="10"/>
  </r>
  <r>
    <x v="4"/>
    <x v="3"/>
    <n v="3"/>
    <n v="1350"/>
    <x v="3"/>
    <x v="3"/>
    <x v="10"/>
    <x v="11"/>
  </r>
  <r>
    <x v="6"/>
    <x v="10"/>
    <n v="2"/>
    <n v="1090"/>
    <x v="10"/>
    <x v="10"/>
    <x v="10"/>
    <x v="0"/>
  </r>
  <r>
    <x v="4"/>
    <x v="4"/>
    <n v="4"/>
    <n v="2180"/>
    <x v="60"/>
    <x v="53"/>
    <x v="10"/>
    <x v="10"/>
  </r>
  <r>
    <x v="1"/>
    <x v="22"/>
    <n v="2"/>
    <n v="3700"/>
    <x v="49"/>
    <x v="45"/>
    <x v="10"/>
    <x v="12"/>
  </r>
  <r>
    <x v="6"/>
    <x v="7"/>
    <n v="3"/>
    <n v="1100"/>
    <x v="7"/>
    <x v="7"/>
    <x v="10"/>
    <x v="0"/>
  </r>
  <r>
    <x v="5"/>
    <x v="22"/>
    <n v="2"/>
    <n v="3700"/>
    <x v="49"/>
    <x v="45"/>
    <x v="10"/>
    <x v="9"/>
  </r>
  <r>
    <x v="10"/>
    <x v="13"/>
    <n v="3"/>
    <n v="1490"/>
    <x v="28"/>
    <x v="26"/>
    <x v="10"/>
    <x v="10"/>
  </r>
  <r>
    <x v="9"/>
    <x v="21"/>
    <n v="3"/>
    <n v="1500"/>
    <x v="53"/>
    <x v="47"/>
    <x v="10"/>
    <x v="9"/>
  </r>
  <r>
    <x v="8"/>
    <x v="10"/>
    <n v="4"/>
    <n v="1090"/>
    <x v="4"/>
    <x v="52"/>
    <x v="10"/>
    <x v="2"/>
  </r>
  <r>
    <x v="10"/>
    <x v="9"/>
    <n v="4"/>
    <n v="1800"/>
    <x v="86"/>
    <x v="0"/>
    <x v="10"/>
    <x v="6"/>
  </r>
  <r>
    <x v="7"/>
    <x v="19"/>
    <n v="5"/>
    <n v="7530"/>
    <x v="73"/>
    <x v="61"/>
    <x v="10"/>
    <x v="6"/>
  </r>
  <r>
    <x v="6"/>
    <x v="7"/>
    <n v="2"/>
    <n v="1100"/>
    <x v="18"/>
    <x v="14"/>
    <x v="10"/>
    <x v="8"/>
  </r>
  <r>
    <x v="9"/>
    <x v="3"/>
    <n v="2"/>
    <n v="1350"/>
    <x v="16"/>
    <x v="16"/>
    <x v="10"/>
    <x v="8"/>
  </r>
  <r>
    <x v="8"/>
    <x v="3"/>
    <n v="2"/>
    <n v="1350"/>
    <x v="16"/>
    <x v="16"/>
    <x v="10"/>
    <x v="5"/>
  </r>
  <r>
    <x v="7"/>
    <x v="10"/>
    <n v="2"/>
    <n v="1090"/>
    <x v="10"/>
    <x v="10"/>
    <x v="10"/>
    <x v="8"/>
  </r>
  <r>
    <x v="7"/>
    <x v="14"/>
    <n v="3"/>
    <n v="4200"/>
    <x v="31"/>
    <x v="29"/>
    <x v="10"/>
    <x v="3"/>
  </r>
  <r>
    <x v="9"/>
    <x v="9"/>
    <n v="5"/>
    <n v="1800"/>
    <x v="89"/>
    <x v="72"/>
    <x v="10"/>
    <x v="0"/>
  </r>
  <r>
    <x v="11"/>
    <x v="10"/>
    <n v="5"/>
    <n v="1090"/>
    <x v="68"/>
    <x v="60"/>
    <x v="10"/>
    <x v="0"/>
  </r>
  <r>
    <x v="0"/>
    <x v="5"/>
    <n v="5"/>
    <n v="7600"/>
    <x v="72"/>
    <x v="56"/>
    <x v="10"/>
    <x v="12"/>
  </r>
  <r>
    <x v="8"/>
    <x v="5"/>
    <n v="2"/>
    <n v="7600"/>
    <x v="5"/>
    <x v="5"/>
    <x v="10"/>
    <x v="2"/>
  </r>
  <r>
    <x v="2"/>
    <x v="22"/>
    <n v="4"/>
    <n v="3700"/>
    <x v="96"/>
    <x v="66"/>
    <x v="10"/>
    <x v="4"/>
  </r>
  <r>
    <x v="4"/>
    <x v="6"/>
    <n v="2"/>
    <n v="7250"/>
    <x v="6"/>
    <x v="6"/>
    <x v="10"/>
    <x v="12"/>
  </r>
  <r>
    <x v="1"/>
    <x v="5"/>
    <n v="4"/>
    <n v="7600"/>
    <x v="65"/>
    <x v="58"/>
    <x v="10"/>
    <x v="11"/>
  </r>
  <r>
    <x v="10"/>
    <x v="14"/>
    <n v="2"/>
    <n v="4200"/>
    <x v="22"/>
    <x v="20"/>
    <x v="10"/>
    <x v="3"/>
  </r>
  <r>
    <x v="6"/>
    <x v="17"/>
    <n v="5"/>
    <n v="1250"/>
    <x v="93"/>
    <x v="36"/>
    <x v="10"/>
    <x v="7"/>
  </r>
  <r>
    <x v="8"/>
    <x v="10"/>
    <n v="5"/>
    <n v="1090"/>
    <x v="68"/>
    <x v="60"/>
    <x v="10"/>
    <x v="7"/>
  </r>
  <r>
    <x v="3"/>
    <x v="4"/>
    <n v="3"/>
    <n v="2180"/>
    <x v="11"/>
    <x v="11"/>
    <x v="10"/>
    <x v="10"/>
  </r>
  <r>
    <x v="11"/>
    <x v="22"/>
    <n v="5"/>
    <n v="3700"/>
    <x v="94"/>
    <x v="71"/>
    <x v="10"/>
    <x v="6"/>
  </r>
  <r>
    <x v="9"/>
    <x v="0"/>
    <n v="3"/>
    <n v="6000"/>
    <x v="54"/>
    <x v="13"/>
    <x v="10"/>
    <x v="8"/>
  </r>
  <r>
    <x v="10"/>
    <x v="17"/>
    <n v="5"/>
    <n v="1250"/>
    <x v="93"/>
    <x v="36"/>
    <x v="10"/>
    <x v="8"/>
  </r>
  <r>
    <x v="11"/>
    <x v="5"/>
    <n v="3"/>
    <n v="7600"/>
    <x v="24"/>
    <x v="22"/>
    <x v="10"/>
    <x v="8"/>
  </r>
  <r>
    <x v="0"/>
    <x v="1"/>
    <n v="2"/>
    <n v="1400"/>
    <x v="1"/>
    <x v="1"/>
    <x v="10"/>
    <x v="6"/>
  </r>
  <r>
    <x v="4"/>
    <x v="4"/>
    <n v="3"/>
    <n v="2180"/>
    <x v="11"/>
    <x v="11"/>
    <x v="10"/>
    <x v="7"/>
  </r>
  <r>
    <x v="0"/>
    <x v="9"/>
    <n v="4"/>
    <n v="1800"/>
    <x v="86"/>
    <x v="0"/>
    <x v="10"/>
    <x v="7"/>
  </r>
  <r>
    <x v="2"/>
    <x v="21"/>
    <n v="3"/>
    <n v="1500"/>
    <x v="53"/>
    <x v="47"/>
    <x v="10"/>
    <x v="9"/>
  </r>
  <r>
    <x v="6"/>
    <x v="2"/>
    <n v="2"/>
    <n v="8450"/>
    <x v="2"/>
    <x v="2"/>
    <x v="10"/>
    <x v="3"/>
  </r>
  <r>
    <x v="9"/>
    <x v="21"/>
    <n v="3"/>
    <n v="1500"/>
    <x v="53"/>
    <x v="47"/>
    <x v="10"/>
    <x v="6"/>
  </r>
  <r>
    <x v="5"/>
    <x v="0"/>
    <n v="2"/>
    <n v="6000"/>
    <x v="0"/>
    <x v="0"/>
    <x v="10"/>
    <x v="6"/>
  </r>
  <r>
    <x v="11"/>
    <x v="18"/>
    <n v="2"/>
    <n v="1200"/>
    <x v="30"/>
    <x v="28"/>
    <x v="10"/>
    <x v="5"/>
  </r>
  <r>
    <x v="0"/>
    <x v="14"/>
    <n v="4"/>
    <n v="4200"/>
    <x v="69"/>
    <x v="22"/>
    <x v="10"/>
    <x v="7"/>
  </r>
  <r>
    <x v="10"/>
    <x v="5"/>
    <n v="4"/>
    <n v="7600"/>
    <x v="65"/>
    <x v="58"/>
    <x v="10"/>
    <x v="9"/>
  </r>
  <r>
    <x v="5"/>
    <x v="6"/>
    <n v="5"/>
    <n v="7250"/>
    <x v="58"/>
    <x v="51"/>
    <x v="10"/>
    <x v="10"/>
  </r>
  <r>
    <x v="1"/>
    <x v="19"/>
    <n v="4"/>
    <n v="7530"/>
    <x v="81"/>
    <x v="69"/>
    <x v="10"/>
    <x v="9"/>
  </r>
  <r>
    <x v="2"/>
    <x v="6"/>
    <n v="3"/>
    <n v="7250"/>
    <x v="25"/>
    <x v="23"/>
    <x v="10"/>
    <x v="6"/>
  </r>
  <r>
    <x v="1"/>
    <x v="0"/>
    <n v="2"/>
    <n v="6000"/>
    <x v="0"/>
    <x v="0"/>
    <x v="10"/>
    <x v="3"/>
  </r>
  <r>
    <x v="5"/>
    <x v="18"/>
    <n v="3"/>
    <n v="1200"/>
    <x v="9"/>
    <x v="1"/>
    <x v="10"/>
    <x v="1"/>
  </r>
  <r>
    <x v="11"/>
    <x v="20"/>
    <n v="2"/>
    <n v="5300"/>
    <x v="47"/>
    <x v="43"/>
    <x v="10"/>
    <x v="3"/>
  </r>
  <r>
    <x v="8"/>
    <x v="2"/>
    <n v="2"/>
    <n v="8450"/>
    <x v="2"/>
    <x v="2"/>
    <x v="10"/>
    <x v="4"/>
  </r>
  <r>
    <x v="4"/>
    <x v="3"/>
    <n v="5"/>
    <n v="1350"/>
    <x v="92"/>
    <x v="74"/>
    <x v="10"/>
    <x v="2"/>
  </r>
  <r>
    <x v="6"/>
    <x v="10"/>
    <n v="5"/>
    <n v="1090"/>
    <x v="68"/>
    <x v="60"/>
    <x v="10"/>
    <x v="10"/>
  </r>
  <r>
    <x v="4"/>
    <x v="4"/>
    <n v="5"/>
    <n v="2180"/>
    <x v="57"/>
    <x v="50"/>
    <x v="10"/>
    <x v="3"/>
  </r>
  <r>
    <x v="0"/>
    <x v="0"/>
    <n v="4"/>
    <n v="6000"/>
    <x v="13"/>
    <x v="56"/>
    <x v="10"/>
    <x v="0"/>
  </r>
  <r>
    <x v="1"/>
    <x v="1"/>
    <n v="4"/>
    <n v="1400"/>
    <x v="88"/>
    <x v="20"/>
    <x v="10"/>
    <x v="8"/>
  </r>
  <r>
    <x v="2"/>
    <x v="2"/>
    <n v="5"/>
    <n v="8450"/>
    <x v="95"/>
    <x v="75"/>
    <x v="10"/>
    <x v="10"/>
  </r>
  <r>
    <x v="3"/>
    <x v="3"/>
    <n v="3"/>
    <n v="1350"/>
    <x v="3"/>
    <x v="3"/>
    <x v="10"/>
    <x v="5"/>
  </r>
  <r>
    <x v="0"/>
    <x v="4"/>
    <n v="2"/>
    <n v="2180"/>
    <x v="4"/>
    <x v="4"/>
    <x v="10"/>
    <x v="1"/>
  </r>
  <r>
    <x v="4"/>
    <x v="5"/>
    <n v="4"/>
    <n v="7600"/>
    <x v="65"/>
    <x v="58"/>
    <x v="10"/>
    <x v="4"/>
  </r>
  <r>
    <x v="1"/>
    <x v="6"/>
    <n v="4"/>
    <n v="7250"/>
    <x v="77"/>
    <x v="65"/>
    <x v="10"/>
    <x v="3"/>
  </r>
  <r>
    <x v="3"/>
    <x v="7"/>
    <n v="3"/>
    <n v="1100"/>
    <x v="7"/>
    <x v="7"/>
    <x v="10"/>
    <x v="7"/>
  </r>
  <r>
    <x v="5"/>
    <x v="0"/>
    <n v="3"/>
    <n v="6000"/>
    <x v="54"/>
    <x v="13"/>
    <x v="11"/>
    <x v="2"/>
  </r>
  <r>
    <x v="0"/>
    <x v="8"/>
    <n v="4"/>
    <n v="1200"/>
    <x v="71"/>
    <x v="25"/>
    <x v="11"/>
    <x v="9"/>
  </r>
  <r>
    <x v="6"/>
    <x v="9"/>
    <n v="2"/>
    <n v="1800"/>
    <x v="9"/>
    <x v="9"/>
    <x v="11"/>
    <x v="5"/>
  </r>
  <r>
    <x v="6"/>
    <x v="10"/>
    <n v="5"/>
    <n v="1090"/>
    <x v="68"/>
    <x v="60"/>
    <x v="11"/>
    <x v="1"/>
  </r>
  <r>
    <x v="5"/>
    <x v="4"/>
    <n v="4"/>
    <n v="2180"/>
    <x v="60"/>
    <x v="53"/>
    <x v="11"/>
    <x v="11"/>
  </r>
  <r>
    <x v="7"/>
    <x v="9"/>
    <n v="2"/>
    <n v="1800"/>
    <x v="9"/>
    <x v="9"/>
    <x v="11"/>
    <x v="0"/>
  </r>
  <r>
    <x v="4"/>
    <x v="11"/>
    <n v="5"/>
    <n v="8000"/>
    <x v="61"/>
    <x v="54"/>
    <x v="11"/>
    <x v="12"/>
  </r>
  <r>
    <x v="5"/>
    <x v="1"/>
    <n v="3"/>
    <n v="1400"/>
    <x v="39"/>
    <x v="27"/>
    <x v="11"/>
    <x v="8"/>
  </r>
  <r>
    <x v="8"/>
    <x v="12"/>
    <n v="4"/>
    <n v="10590"/>
    <x v="80"/>
    <x v="68"/>
    <x v="11"/>
    <x v="6"/>
  </r>
  <r>
    <x v="9"/>
    <x v="3"/>
    <n v="3"/>
    <n v="1350"/>
    <x v="3"/>
    <x v="3"/>
    <x v="11"/>
    <x v="3"/>
  </r>
  <r>
    <x v="6"/>
    <x v="1"/>
    <n v="3"/>
    <n v="1400"/>
    <x v="39"/>
    <x v="27"/>
    <x v="11"/>
    <x v="2"/>
  </r>
  <r>
    <x v="3"/>
    <x v="0"/>
    <n v="2"/>
    <n v="6000"/>
    <x v="0"/>
    <x v="0"/>
    <x v="11"/>
    <x v="4"/>
  </r>
  <r>
    <x v="8"/>
    <x v="7"/>
    <n v="3"/>
    <n v="1100"/>
    <x v="7"/>
    <x v="7"/>
    <x v="11"/>
    <x v="5"/>
  </r>
  <r>
    <x v="2"/>
    <x v="0"/>
    <n v="4"/>
    <n v="6000"/>
    <x v="13"/>
    <x v="56"/>
    <x v="11"/>
    <x v="7"/>
  </r>
  <r>
    <x v="9"/>
    <x v="13"/>
    <n v="5"/>
    <n v="1490"/>
    <x v="74"/>
    <x v="62"/>
    <x v="11"/>
    <x v="10"/>
  </r>
  <r>
    <x v="8"/>
    <x v="12"/>
    <n v="3"/>
    <n v="10590"/>
    <x v="43"/>
    <x v="38"/>
    <x v="11"/>
    <x v="6"/>
  </r>
  <r>
    <x v="2"/>
    <x v="11"/>
    <n v="5"/>
    <n v="8000"/>
    <x v="61"/>
    <x v="54"/>
    <x v="11"/>
    <x v="3"/>
  </r>
  <r>
    <x v="6"/>
    <x v="7"/>
    <n v="5"/>
    <n v="1100"/>
    <x v="63"/>
    <x v="57"/>
    <x v="11"/>
    <x v="10"/>
  </r>
  <r>
    <x v="9"/>
    <x v="8"/>
    <n v="4"/>
    <n v="1200"/>
    <x v="71"/>
    <x v="25"/>
    <x v="11"/>
    <x v="7"/>
  </r>
  <r>
    <x v="4"/>
    <x v="14"/>
    <n v="3"/>
    <n v="4200"/>
    <x v="31"/>
    <x v="29"/>
    <x v="11"/>
    <x v="8"/>
  </r>
  <r>
    <x v="1"/>
    <x v="15"/>
    <n v="3"/>
    <n v="5775"/>
    <x v="23"/>
    <x v="21"/>
    <x v="11"/>
    <x v="0"/>
  </r>
  <r>
    <x v="10"/>
    <x v="5"/>
    <n v="3"/>
    <n v="7600"/>
    <x v="24"/>
    <x v="22"/>
    <x v="11"/>
    <x v="9"/>
  </r>
  <r>
    <x v="1"/>
    <x v="6"/>
    <n v="4"/>
    <n v="7250"/>
    <x v="77"/>
    <x v="65"/>
    <x v="11"/>
    <x v="12"/>
  </r>
  <r>
    <x v="0"/>
    <x v="6"/>
    <n v="4"/>
    <n v="7250"/>
    <x v="77"/>
    <x v="65"/>
    <x v="11"/>
    <x v="9"/>
  </r>
  <r>
    <x v="8"/>
    <x v="6"/>
    <n v="4"/>
    <n v="7250"/>
    <x v="77"/>
    <x v="65"/>
    <x v="11"/>
    <x v="12"/>
  </r>
  <r>
    <x v="5"/>
    <x v="3"/>
    <n v="3"/>
    <n v="1350"/>
    <x v="3"/>
    <x v="3"/>
    <x v="11"/>
    <x v="3"/>
  </r>
  <r>
    <x v="1"/>
    <x v="6"/>
    <n v="4"/>
    <n v="7250"/>
    <x v="77"/>
    <x v="65"/>
    <x v="11"/>
    <x v="8"/>
  </r>
  <r>
    <x v="6"/>
    <x v="5"/>
    <n v="2"/>
    <n v="7600"/>
    <x v="5"/>
    <x v="5"/>
    <x v="11"/>
    <x v="7"/>
  </r>
  <r>
    <x v="11"/>
    <x v="5"/>
    <n v="2"/>
    <n v="7600"/>
    <x v="5"/>
    <x v="5"/>
    <x v="11"/>
    <x v="10"/>
  </r>
  <r>
    <x v="1"/>
    <x v="13"/>
    <n v="2"/>
    <n v="1490"/>
    <x v="35"/>
    <x v="33"/>
    <x v="11"/>
    <x v="9"/>
  </r>
  <r>
    <x v="5"/>
    <x v="16"/>
    <n v="2"/>
    <n v="2900"/>
    <x v="29"/>
    <x v="27"/>
    <x v="11"/>
    <x v="0"/>
  </r>
  <r>
    <x v="9"/>
    <x v="13"/>
    <n v="4"/>
    <n v="1490"/>
    <x v="67"/>
    <x v="59"/>
    <x v="11"/>
    <x v="11"/>
  </r>
  <r>
    <x v="9"/>
    <x v="10"/>
    <n v="4"/>
    <n v="1090"/>
    <x v="4"/>
    <x v="52"/>
    <x v="11"/>
    <x v="11"/>
  </r>
  <r>
    <x v="5"/>
    <x v="8"/>
    <n v="5"/>
    <n v="1200"/>
    <x v="17"/>
    <x v="9"/>
    <x v="11"/>
    <x v="11"/>
  </r>
  <r>
    <x v="8"/>
    <x v="12"/>
    <n v="2"/>
    <n v="10590"/>
    <x v="20"/>
    <x v="18"/>
    <x v="11"/>
    <x v="7"/>
  </r>
  <r>
    <x v="6"/>
    <x v="14"/>
    <n v="4"/>
    <n v="4200"/>
    <x v="69"/>
    <x v="22"/>
    <x v="11"/>
    <x v="5"/>
  </r>
  <r>
    <x v="3"/>
    <x v="14"/>
    <n v="2"/>
    <n v="4200"/>
    <x v="22"/>
    <x v="20"/>
    <x v="11"/>
    <x v="11"/>
  </r>
  <r>
    <x v="7"/>
    <x v="12"/>
    <n v="5"/>
    <n v="10590"/>
    <x v="62"/>
    <x v="55"/>
    <x v="11"/>
    <x v="11"/>
  </r>
  <r>
    <x v="11"/>
    <x v="17"/>
    <n v="3"/>
    <n v="1250"/>
    <x v="51"/>
    <x v="46"/>
    <x v="11"/>
    <x v="12"/>
  </r>
  <r>
    <x v="0"/>
    <x v="13"/>
    <n v="3"/>
    <n v="1490"/>
    <x v="28"/>
    <x v="26"/>
    <x v="11"/>
    <x v="1"/>
  </r>
  <r>
    <x v="6"/>
    <x v="8"/>
    <n v="5"/>
    <n v="1200"/>
    <x v="17"/>
    <x v="9"/>
    <x v="11"/>
    <x v="1"/>
  </r>
  <r>
    <x v="2"/>
    <x v="4"/>
    <n v="5"/>
    <n v="2180"/>
    <x v="57"/>
    <x v="50"/>
    <x v="11"/>
    <x v="2"/>
  </r>
  <r>
    <x v="9"/>
    <x v="18"/>
    <n v="2"/>
    <n v="1200"/>
    <x v="30"/>
    <x v="28"/>
    <x v="11"/>
    <x v="11"/>
  </r>
  <r>
    <x v="0"/>
    <x v="9"/>
    <n v="2"/>
    <n v="1800"/>
    <x v="9"/>
    <x v="9"/>
    <x v="11"/>
    <x v="6"/>
  </r>
  <r>
    <x v="2"/>
    <x v="5"/>
    <n v="2"/>
    <n v="7600"/>
    <x v="5"/>
    <x v="5"/>
    <x v="11"/>
    <x v="5"/>
  </r>
  <r>
    <x v="7"/>
    <x v="19"/>
    <n v="4"/>
    <n v="7530"/>
    <x v="81"/>
    <x v="69"/>
    <x v="11"/>
    <x v="9"/>
  </r>
  <r>
    <x v="11"/>
    <x v="13"/>
    <n v="5"/>
    <n v="1490"/>
    <x v="74"/>
    <x v="62"/>
    <x v="11"/>
    <x v="5"/>
  </r>
  <r>
    <x v="0"/>
    <x v="20"/>
    <n v="3"/>
    <n v="5300"/>
    <x v="46"/>
    <x v="42"/>
    <x v="11"/>
    <x v="8"/>
  </r>
  <r>
    <x v="4"/>
    <x v="8"/>
    <n v="2"/>
    <n v="1200"/>
    <x v="30"/>
    <x v="28"/>
    <x v="11"/>
    <x v="2"/>
  </r>
  <r>
    <x v="9"/>
    <x v="10"/>
    <n v="3"/>
    <n v="1090"/>
    <x v="76"/>
    <x v="64"/>
    <x v="11"/>
    <x v="6"/>
  </r>
  <r>
    <x v="4"/>
    <x v="6"/>
    <n v="4"/>
    <n v="7250"/>
    <x v="77"/>
    <x v="65"/>
    <x v="11"/>
    <x v="7"/>
  </r>
  <r>
    <x v="10"/>
    <x v="1"/>
    <n v="4"/>
    <n v="1400"/>
    <x v="88"/>
    <x v="20"/>
    <x v="11"/>
    <x v="4"/>
  </r>
  <r>
    <x v="2"/>
    <x v="21"/>
    <n v="3"/>
    <n v="1500"/>
    <x v="53"/>
    <x v="47"/>
    <x v="11"/>
    <x v="12"/>
  </r>
  <r>
    <x v="7"/>
    <x v="3"/>
    <n v="3"/>
    <n v="1350"/>
    <x v="3"/>
    <x v="3"/>
    <x v="11"/>
    <x v="1"/>
  </r>
  <r>
    <x v="7"/>
    <x v="8"/>
    <n v="2"/>
    <n v="1200"/>
    <x v="30"/>
    <x v="28"/>
    <x v="11"/>
    <x v="8"/>
  </r>
  <r>
    <x v="1"/>
    <x v="19"/>
    <n v="2"/>
    <n v="7530"/>
    <x v="44"/>
    <x v="39"/>
    <x v="11"/>
    <x v="10"/>
  </r>
  <r>
    <x v="10"/>
    <x v="8"/>
    <n v="2"/>
    <n v="1200"/>
    <x v="30"/>
    <x v="28"/>
    <x v="11"/>
    <x v="0"/>
  </r>
  <r>
    <x v="8"/>
    <x v="9"/>
    <n v="2"/>
    <n v="1800"/>
    <x v="9"/>
    <x v="9"/>
    <x v="11"/>
    <x v="7"/>
  </r>
  <r>
    <x v="0"/>
    <x v="6"/>
    <n v="2"/>
    <n v="7250"/>
    <x v="6"/>
    <x v="6"/>
    <x v="11"/>
    <x v="4"/>
  </r>
  <r>
    <x v="9"/>
    <x v="13"/>
    <n v="4"/>
    <n v="1490"/>
    <x v="67"/>
    <x v="59"/>
    <x v="11"/>
    <x v="1"/>
  </r>
  <r>
    <x v="9"/>
    <x v="18"/>
    <n v="2"/>
    <n v="1200"/>
    <x v="30"/>
    <x v="28"/>
    <x v="11"/>
    <x v="3"/>
  </r>
  <r>
    <x v="1"/>
    <x v="11"/>
    <n v="5"/>
    <n v="8000"/>
    <x v="61"/>
    <x v="54"/>
    <x v="11"/>
    <x v="3"/>
  </r>
  <r>
    <x v="6"/>
    <x v="1"/>
    <n v="5"/>
    <n v="1400"/>
    <x v="55"/>
    <x v="12"/>
    <x v="11"/>
    <x v="10"/>
  </r>
  <r>
    <x v="5"/>
    <x v="3"/>
    <n v="4"/>
    <n v="1350"/>
    <x v="12"/>
    <x v="49"/>
    <x v="11"/>
    <x v="8"/>
  </r>
  <r>
    <x v="8"/>
    <x v="18"/>
    <n v="4"/>
    <n v="1200"/>
    <x v="71"/>
    <x v="25"/>
    <x v="11"/>
    <x v="12"/>
  </r>
  <r>
    <x v="6"/>
    <x v="20"/>
    <n v="2"/>
    <n v="5300"/>
    <x v="47"/>
    <x v="43"/>
    <x v="11"/>
    <x v="10"/>
  </r>
  <r>
    <x v="9"/>
    <x v="12"/>
    <n v="3"/>
    <n v="10590"/>
    <x v="43"/>
    <x v="38"/>
    <x v="11"/>
    <x v="12"/>
  </r>
  <r>
    <x v="4"/>
    <x v="17"/>
    <n v="2"/>
    <n v="1250"/>
    <x v="52"/>
    <x v="7"/>
    <x v="11"/>
    <x v="11"/>
  </r>
  <r>
    <x v="11"/>
    <x v="18"/>
    <n v="5"/>
    <n v="1200"/>
    <x v="17"/>
    <x v="9"/>
    <x v="11"/>
    <x v="7"/>
  </r>
  <r>
    <x v="4"/>
    <x v="1"/>
    <n v="3"/>
    <n v="1400"/>
    <x v="39"/>
    <x v="27"/>
    <x v="11"/>
    <x v="1"/>
  </r>
  <r>
    <x v="11"/>
    <x v="19"/>
    <n v="5"/>
    <n v="7530"/>
    <x v="73"/>
    <x v="61"/>
    <x v="11"/>
    <x v="1"/>
  </r>
  <r>
    <x v="6"/>
    <x v="5"/>
    <n v="4"/>
    <n v="7600"/>
    <x v="65"/>
    <x v="58"/>
    <x v="11"/>
    <x v="6"/>
  </r>
  <r>
    <x v="11"/>
    <x v="21"/>
    <n v="4"/>
    <n v="1500"/>
    <x v="17"/>
    <x v="66"/>
    <x v="11"/>
    <x v="2"/>
  </r>
  <r>
    <x v="9"/>
    <x v="4"/>
    <n v="2"/>
    <n v="2180"/>
    <x v="4"/>
    <x v="4"/>
    <x v="11"/>
    <x v="0"/>
  </r>
  <r>
    <x v="3"/>
    <x v="4"/>
    <n v="5"/>
    <n v="2180"/>
    <x v="57"/>
    <x v="50"/>
    <x v="11"/>
    <x v="8"/>
  </r>
  <r>
    <x v="9"/>
    <x v="15"/>
    <n v="2"/>
    <n v="5775"/>
    <x v="91"/>
    <x v="73"/>
    <x v="11"/>
    <x v="8"/>
  </r>
  <r>
    <x v="9"/>
    <x v="7"/>
    <n v="5"/>
    <n v="1100"/>
    <x v="63"/>
    <x v="57"/>
    <x v="11"/>
    <x v="10"/>
  </r>
  <r>
    <x v="10"/>
    <x v="15"/>
    <n v="3"/>
    <n v="5775"/>
    <x v="23"/>
    <x v="21"/>
    <x v="11"/>
    <x v="9"/>
  </r>
  <r>
    <x v="7"/>
    <x v="3"/>
    <n v="2"/>
    <n v="1350"/>
    <x v="16"/>
    <x v="16"/>
    <x v="11"/>
    <x v="11"/>
  </r>
  <r>
    <x v="0"/>
    <x v="5"/>
    <n v="5"/>
    <n v="7600"/>
    <x v="72"/>
    <x v="56"/>
    <x v="11"/>
    <x v="2"/>
  </r>
  <r>
    <x v="2"/>
    <x v="6"/>
    <n v="5"/>
    <n v="7250"/>
    <x v="58"/>
    <x v="51"/>
    <x v="11"/>
    <x v="7"/>
  </r>
  <r>
    <x v="11"/>
    <x v="13"/>
    <n v="3"/>
    <n v="1490"/>
    <x v="28"/>
    <x v="26"/>
    <x v="11"/>
    <x v="6"/>
  </r>
  <r>
    <x v="3"/>
    <x v="13"/>
    <n v="2"/>
    <n v="1490"/>
    <x v="35"/>
    <x v="33"/>
    <x v="11"/>
    <x v="11"/>
  </r>
  <r>
    <x v="8"/>
    <x v="10"/>
    <n v="3"/>
    <n v="1090"/>
    <x v="76"/>
    <x v="64"/>
    <x v="11"/>
    <x v="6"/>
  </r>
  <r>
    <x v="8"/>
    <x v="8"/>
    <n v="3"/>
    <n v="1200"/>
    <x v="9"/>
    <x v="1"/>
    <x v="11"/>
    <x v="9"/>
  </r>
  <r>
    <x v="11"/>
    <x v="10"/>
    <n v="2"/>
    <n v="1090"/>
    <x v="10"/>
    <x v="10"/>
    <x v="11"/>
    <x v="12"/>
  </r>
  <r>
    <x v="11"/>
    <x v="4"/>
    <n v="2"/>
    <n v="2180"/>
    <x v="4"/>
    <x v="4"/>
    <x v="11"/>
    <x v="3"/>
  </r>
  <r>
    <x v="2"/>
    <x v="20"/>
    <n v="2"/>
    <n v="5300"/>
    <x v="47"/>
    <x v="43"/>
    <x v="11"/>
    <x v="12"/>
  </r>
  <r>
    <x v="11"/>
    <x v="20"/>
    <n v="4"/>
    <n v="5300"/>
    <x v="75"/>
    <x v="63"/>
    <x v="11"/>
    <x v="6"/>
  </r>
  <r>
    <x v="5"/>
    <x v="6"/>
    <n v="5"/>
    <n v="7250"/>
    <x v="58"/>
    <x v="51"/>
    <x v="11"/>
    <x v="0"/>
  </r>
  <r>
    <x v="5"/>
    <x v="18"/>
    <n v="4"/>
    <n v="1200"/>
    <x v="71"/>
    <x v="25"/>
    <x v="11"/>
    <x v="8"/>
  </r>
  <r>
    <x v="3"/>
    <x v="0"/>
    <n v="3"/>
    <n v="6000"/>
    <x v="54"/>
    <x v="13"/>
    <x v="11"/>
    <x v="5"/>
  </r>
  <r>
    <x v="2"/>
    <x v="2"/>
    <n v="4"/>
    <n v="8450"/>
    <x v="56"/>
    <x v="48"/>
    <x v="11"/>
    <x v="1"/>
  </r>
  <r>
    <x v="6"/>
    <x v="14"/>
    <n v="4"/>
    <n v="4200"/>
    <x v="69"/>
    <x v="22"/>
    <x v="11"/>
    <x v="3"/>
  </r>
  <r>
    <x v="6"/>
    <x v="12"/>
    <n v="2"/>
    <n v="10590"/>
    <x v="20"/>
    <x v="18"/>
    <x v="11"/>
    <x v="2"/>
  </r>
  <r>
    <x v="5"/>
    <x v="18"/>
    <n v="5"/>
    <n v="1200"/>
    <x v="17"/>
    <x v="9"/>
    <x v="11"/>
    <x v="0"/>
  </r>
  <r>
    <x v="10"/>
    <x v="7"/>
    <n v="2"/>
    <n v="1100"/>
    <x v="18"/>
    <x v="14"/>
    <x v="11"/>
    <x v="4"/>
  </r>
  <r>
    <x v="9"/>
    <x v="22"/>
    <n v="3"/>
    <n v="3700"/>
    <x v="84"/>
    <x v="47"/>
    <x v="11"/>
    <x v="6"/>
  </r>
  <r>
    <x v="1"/>
    <x v="22"/>
    <n v="3"/>
    <n v="3700"/>
    <x v="84"/>
    <x v="47"/>
    <x v="11"/>
    <x v="5"/>
  </r>
  <r>
    <x v="6"/>
    <x v="7"/>
    <n v="4"/>
    <n v="1100"/>
    <x v="59"/>
    <x v="1"/>
    <x v="11"/>
    <x v="11"/>
  </r>
  <r>
    <x v="5"/>
    <x v="22"/>
    <n v="2"/>
    <n v="3700"/>
    <x v="49"/>
    <x v="45"/>
    <x v="11"/>
    <x v="2"/>
  </r>
  <r>
    <x v="10"/>
    <x v="13"/>
    <n v="5"/>
    <n v="1490"/>
    <x v="74"/>
    <x v="62"/>
    <x v="11"/>
    <x v="12"/>
  </r>
  <r>
    <x v="9"/>
    <x v="21"/>
    <n v="5"/>
    <n v="1500"/>
    <x v="85"/>
    <x v="71"/>
    <x v="11"/>
    <x v="11"/>
  </r>
  <r>
    <x v="8"/>
    <x v="10"/>
    <n v="5"/>
    <n v="1090"/>
    <x v="68"/>
    <x v="60"/>
    <x v="11"/>
    <x v="9"/>
  </r>
  <r>
    <x v="10"/>
    <x v="9"/>
    <n v="2"/>
    <n v="1800"/>
    <x v="9"/>
    <x v="9"/>
    <x v="11"/>
    <x v="4"/>
  </r>
  <r>
    <x v="7"/>
    <x v="19"/>
    <n v="4"/>
    <n v="7530"/>
    <x v="81"/>
    <x v="69"/>
    <x v="11"/>
    <x v="12"/>
  </r>
  <r>
    <x v="6"/>
    <x v="7"/>
    <n v="3"/>
    <n v="1100"/>
    <x v="7"/>
    <x v="7"/>
    <x v="11"/>
    <x v="8"/>
  </r>
  <r>
    <x v="9"/>
    <x v="3"/>
    <n v="2"/>
    <n v="1350"/>
    <x v="16"/>
    <x v="16"/>
    <x v="11"/>
    <x v="7"/>
  </r>
  <r>
    <x v="8"/>
    <x v="3"/>
    <n v="3"/>
    <n v="1350"/>
    <x v="3"/>
    <x v="3"/>
    <x v="11"/>
    <x v="8"/>
  </r>
  <r>
    <x v="7"/>
    <x v="10"/>
    <n v="2"/>
    <n v="1090"/>
    <x v="10"/>
    <x v="10"/>
    <x v="11"/>
    <x v="8"/>
  </r>
  <r>
    <x v="7"/>
    <x v="14"/>
    <n v="3"/>
    <n v="4200"/>
    <x v="31"/>
    <x v="29"/>
    <x v="11"/>
    <x v="8"/>
  </r>
  <r>
    <x v="9"/>
    <x v="9"/>
    <n v="5"/>
    <n v="1800"/>
    <x v="89"/>
    <x v="72"/>
    <x v="11"/>
    <x v="11"/>
  </r>
  <r>
    <x v="11"/>
    <x v="10"/>
    <n v="3"/>
    <n v="1090"/>
    <x v="76"/>
    <x v="64"/>
    <x v="11"/>
    <x v="1"/>
  </r>
  <r>
    <x v="0"/>
    <x v="5"/>
    <n v="4"/>
    <n v="7600"/>
    <x v="65"/>
    <x v="58"/>
    <x v="11"/>
    <x v="6"/>
  </r>
  <r>
    <x v="8"/>
    <x v="5"/>
    <n v="2"/>
    <n v="7600"/>
    <x v="5"/>
    <x v="5"/>
    <x v="11"/>
    <x v="9"/>
  </r>
  <r>
    <x v="2"/>
    <x v="22"/>
    <n v="3"/>
    <n v="3700"/>
    <x v="84"/>
    <x v="47"/>
    <x v="11"/>
    <x v="10"/>
  </r>
  <r>
    <x v="4"/>
    <x v="6"/>
    <n v="3"/>
    <n v="7250"/>
    <x v="25"/>
    <x v="23"/>
    <x v="11"/>
    <x v="2"/>
  </r>
  <r>
    <x v="1"/>
    <x v="5"/>
    <n v="5"/>
    <n v="7600"/>
    <x v="72"/>
    <x v="56"/>
    <x v="11"/>
    <x v="6"/>
  </r>
  <r>
    <x v="10"/>
    <x v="14"/>
    <n v="4"/>
    <n v="4200"/>
    <x v="69"/>
    <x v="22"/>
    <x v="11"/>
    <x v="5"/>
  </r>
  <r>
    <x v="6"/>
    <x v="17"/>
    <n v="2"/>
    <n v="1250"/>
    <x v="52"/>
    <x v="7"/>
    <x v="11"/>
    <x v="6"/>
  </r>
  <r>
    <x v="8"/>
    <x v="10"/>
    <n v="2"/>
    <n v="1090"/>
    <x v="10"/>
    <x v="10"/>
    <x v="11"/>
    <x v="7"/>
  </r>
  <r>
    <x v="3"/>
    <x v="4"/>
    <n v="2"/>
    <n v="2180"/>
    <x v="4"/>
    <x v="4"/>
    <x v="11"/>
    <x v="3"/>
  </r>
  <r>
    <x v="11"/>
    <x v="22"/>
    <n v="4"/>
    <n v="3700"/>
    <x v="96"/>
    <x v="66"/>
    <x v="11"/>
    <x v="8"/>
  </r>
  <r>
    <x v="9"/>
    <x v="0"/>
    <n v="3"/>
    <n v="6000"/>
    <x v="54"/>
    <x v="13"/>
    <x v="11"/>
    <x v="2"/>
  </r>
  <r>
    <x v="10"/>
    <x v="17"/>
    <n v="3"/>
    <n v="1250"/>
    <x v="51"/>
    <x v="46"/>
    <x v="11"/>
    <x v="0"/>
  </r>
  <r>
    <x v="11"/>
    <x v="5"/>
    <n v="5"/>
    <n v="7600"/>
    <x v="72"/>
    <x v="56"/>
    <x v="11"/>
    <x v="3"/>
  </r>
  <r>
    <x v="0"/>
    <x v="1"/>
    <n v="5"/>
    <n v="1400"/>
    <x v="55"/>
    <x v="12"/>
    <x v="11"/>
    <x v="12"/>
  </r>
  <r>
    <x v="4"/>
    <x v="4"/>
    <n v="4"/>
    <n v="2180"/>
    <x v="60"/>
    <x v="53"/>
    <x v="11"/>
    <x v="6"/>
  </r>
  <r>
    <x v="0"/>
    <x v="9"/>
    <n v="4"/>
    <n v="1800"/>
    <x v="86"/>
    <x v="0"/>
    <x v="11"/>
    <x v="0"/>
  </r>
  <r>
    <x v="2"/>
    <x v="21"/>
    <n v="4"/>
    <n v="1500"/>
    <x v="17"/>
    <x v="66"/>
    <x v="11"/>
    <x v="9"/>
  </r>
  <r>
    <x v="6"/>
    <x v="2"/>
    <n v="4"/>
    <n v="8450"/>
    <x v="56"/>
    <x v="48"/>
    <x v="11"/>
    <x v="3"/>
  </r>
  <r>
    <x v="9"/>
    <x v="21"/>
    <n v="4"/>
    <n v="1500"/>
    <x v="17"/>
    <x v="66"/>
    <x v="11"/>
    <x v="12"/>
  </r>
  <r>
    <x v="5"/>
    <x v="0"/>
    <n v="4"/>
    <n v="6000"/>
    <x v="13"/>
    <x v="56"/>
    <x v="11"/>
    <x v="7"/>
  </r>
  <r>
    <x v="11"/>
    <x v="18"/>
    <n v="2"/>
    <n v="1200"/>
    <x v="30"/>
    <x v="28"/>
    <x v="11"/>
    <x v="7"/>
  </r>
  <r>
    <x v="0"/>
    <x v="14"/>
    <n v="4"/>
    <n v="4200"/>
    <x v="69"/>
    <x v="22"/>
    <x v="11"/>
    <x v="12"/>
  </r>
  <r>
    <x v="10"/>
    <x v="5"/>
    <n v="5"/>
    <n v="7600"/>
    <x v="72"/>
    <x v="56"/>
    <x v="11"/>
    <x v="5"/>
  </r>
  <r>
    <x v="5"/>
    <x v="3"/>
    <n v="1"/>
    <n v="1350"/>
    <x v="26"/>
    <x v="24"/>
    <x v="0"/>
    <x v="7"/>
  </r>
  <r>
    <x v="1"/>
    <x v="6"/>
    <n v="2"/>
    <n v="7250"/>
    <x v="6"/>
    <x v="6"/>
    <x v="0"/>
    <x v="9"/>
  </r>
  <r>
    <x v="6"/>
    <x v="5"/>
    <n v="1"/>
    <n v="7600"/>
    <x v="27"/>
    <x v="25"/>
    <x v="0"/>
    <x v="7"/>
  </r>
  <r>
    <x v="11"/>
    <x v="5"/>
    <n v="3"/>
    <n v="7600"/>
    <x v="24"/>
    <x v="22"/>
    <x v="0"/>
    <x v="4"/>
  </r>
  <r>
    <x v="1"/>
    <x v="13"/>
    <n v="3"/>
    <n v="1490"/>
    <x v="28"/>
    <x v="26"/>
    <x v="0"/>
    <x v="3"/>
  </r>
  <r>
    <x v="5"/>
    <x v="16"/>
    <n v="2"/>
    <n v="2900"/>
    <x v="29"/>
    <x v="27"/>
    <x v="0"/>
    <x v="5"/>
  </r>
  <r>
    <x v="9"/>
    <x v="13"/>
    <n v="1"/>
    <n v="1490"/>
    <x v="19"/>
    <x v="17"/>
    <x v="0"/>
    <x v="4"/>
  </r>
  <r>
    <x v="9"/>
    <x v="10"/>
    <n v="2"/>
    <n v="1090"/>
    <x v="10"/>
    <x v="10"/>
    <x v="0"/>
    <x v="9"/>
  </r>
  <r>
    <x v="5"/>
    <x v="8"/>
    <n v="2"/>
    <n v="1200"/>
    <x v="30"/>
    <x v="28"/>
    <x v="0"/>
    <x v="3"/>
  </r>
  <r>
    <x v="8"/>
    <x v="12"/>
    <n v="2"/>
    <n v="10590"/>
    <x v="20"/>
    <x v="18"/>
    <x v="0"/>
    <x v="11"/>
  </r>
  <r>
    <x v="6"/>
    <x v="14"/>
    <n v="3"/>
    <n v="4200"/>
    <x v="31"/>
    <x v="29"/>
    <x v="0"/>
    <x v="12"/>
  </r>
  <r>
    <x v="3"/>
    <x v="14"/>
    <n v="3"/>
    <n v="4200"/>
    <x v="31"/>
    <x v="29"/>
    <x v="0"/>
    <x v="8"/>
  </r>
  <r>
    <x v="7"/>
    <x v="12"/>
    <n v="2"/>
    <n v="10590"/>
    <x v="20"/>
    <x v="18"/>
    <x v="0"/>
    <x v="2"/>
  </r>
  <r>
    <x v="11"/>
    <x v="17"/>
    <n v="1"/>
    <n v="1250"/>
    <x v="32"/>
    <x v="30"/>
    <x v="0"/>
    <x v="6"/>
  </r>
  <r>
    <x v="0"/>
    <x v="13"/>
    <n v="3"/>
    <n v="1490"/>
    <x v="28"/>
    <x v="26"/>
    <x v="0"/>
    <x v="9"/>
  </r>
  <r>
    <x v="6"/>
    <x v="8"/>
    <n v="2"/>
    <n v="1200"/>
    <x v="30"/>
    <x v="28"/>
    <x v="0"/>
    <x v="10"/>
  </r>
  <r>
    <x v="2"/>
    <x v="4"/>
    <n v="3"/>
    <n v="2180"/>
    <x v="11"/>
    <x v="11"/>
    <x v="0"/>
    <x v="5"/>
  </r>
  <r>
    <x v="9"/>
    <x v="18"/>
    <n v="3"/>
    <n v="1200"/>
    <x v="9"/>
    <x v="1"/>
    <x v="0"/>
    <x v="5"/>
  </r>
  <r>
    <x v="0"/>
    <x v="9"/>
    <n v="1"/>
    <n v="1800"/>
    <x v="33"/>
    <x v="31"/>
    <x v="0"/>
    <x v="4"/>
  </r>
  <r>
    <x v="2"/>
    <x v="5"/>
    <n v="1"/>
    <n v="7600"/>
    <x v="27"/>
    <x v="25"/>
    <x v="0"/>
    <x v="5"/>
  </r>
  <r>
    <x v="7"/>
    <x v="19"/>
    <n v="1"/>
    <n v="7530"/>
    <x v="34"/>
    <x v="32"/>
    <x v="0"/>
    <x v="5"/>
  </r>
  <r>
    <x v="11"/>
    <x v="13"/>
    <n v="2"/>
    <n v="1490"/>
    <x v="35"/>
    <x v="33"/>
    <x v="0"/>
    <x v="10"/>
  </r>
  <r>
    <x v="0"/>
    <x v="20"/>
    <n v="1"/>
    <n v="5300"/>
    <x v="36"/>
    <x v="34"/>
    <x v="0"/>
    <x v="9"/>
  </r>
  <r>
    <x v="4"/>
    <x v="8"/>
    <n v="2"/>
    <n v="1200"/>
    <x v="30"/>
    <x v="28"/>
    <x v="0"/>
    <x v="8"/>
  </r>
  <r>
    <x v="9"/>
    <x v="10"/>
    <n v="1"/>
    <n v="1090"/>
    <x v="37"/>
    <x v="35"/>
    <x v="0"/>
    <x v="4"/>
  </r>
  <r>
    <x v="4"/>
    <x v="6"/>
    <n v="1"/>
    <n v="7250"/>
    <x v="38"/>
    <x v="36"/>
    <x v="0"/>
    <x v="11"/>
  </r>
  <r>
    <x v="10"/>
    <x v="1"/>
    <n v="3"/>
    <n v="1400"/>
    <x v="39"/>
    <x v="27"/>
    <x v="0"/>
    <x v="7"/>
  </r>
  <r>
    <x v="2"/>
    <x v="21"/>
    <n v="1"/>
    <n v="1500"/>
    <x v="40"/>
    <x v="37"/>
    <x v="0"/>
    <x v="5"/>
  </r>
  <r>
    <x v="7"/>
    <x v="3"/>
    <n v="1"/>
    <n v="1350"/>
    <x v="26"/>
    <x v="24"/>
    <x v="0"/>
    <x v="2"/>
  </r>
  <r>
    <x v="7"/>
    <x v="8"/>
    <n v="3"/>
    <n v="1200"/>
    <x v="9"/>
    <x v="1"/>
    <x v="0"/>
    <x v="4"/>
  </r>
  <r>
    <x v="1"/>
    <x v="19"/>
    <n v="3"/>
    <n v="7530"/>
    <x v="41"/>
    <x v="15"/>
    <x v="0"/>
    <x v="4"/>
  </r>
  <r>
    <x v="10"/>
    <x v="8"/>
    <n v="1"/>
    <n v="1200"/>
    <x v="8"/>
    <x v="8"/>
    <x v="0"/>
    <x v="1"/>
  </r>
  <r>
    <x v="8"/>
    <x v="9"/>
    <n v="3"/>
    <n v="1800"/>
    <x v="12"/>
    <x v="12"/>
    <x v="0"/>
    <x v="11"/>
  </r>
  <r>
    <x v="0"/>
    <x v="6"/>
    <n v="1"/>
    <n v="7250"/>
    <x v="38"/>
    <x v="36"/>
    <x v="0"/>
    <x v="12"/>
  </r>
  <r>
    <x v="9"/>
    <x v="13"/>
    <n v="3"/>
    <n v="1490"/>
    <x v="28"/>
    <x v="26"/>
    <x v="0"/>
    <x v="12"/>
  </r>
  <r>
    <x v="9"/>
    <x v="18"/>
    <n v="1"/>
    <n v="1200"/>
    <x v="8"/>
    <x v="8"/>
    <x v="0"/>
    <x v="11"/>
  </r>
  <r>
    <x v="1"/>
    <x v="11"/>
    <n v="1"/>
    <n v="8000"/>
    <x v="42"/>
    <x v="9"/>
    <x v="0"/>
    <x v="11"/>
  </r>
  <r>
    <x v="6"/>
    <x v="1"/>
    <n v="1"/>
    <n v="1400"/>
    <x v="14"/>
    <x v="14"/>
    <x v="0"/>
    <x v="8"/>
  </r>
  <r>
    <x v="5"/>
    <x v="3"/>
    <n v="1"/>
    <n v="1350"/>
    <x v="26"/>
    <x v="24"/>
    <x v="0"/>
    <x v="5"/>
  </r>
  <r>
    <x v="8"/>
    <x v="18"/>
    <n v="1"/>
    <n v="1200"/>
    <x v="8"/>
    <x v="8"/>
    <x v="0"/>
    <x v="5"/>
  </r>
  <r>
    <x v="6"/>
    <x v="20"/>
    <n v="1"/>
    <n v="5300"/>
    <x v="36"/>
    <x v="34"/>
    <x v="0"/>
    <x v="3"/>
  </r>
  <r>
    <x v="9"/>
    <x v="12"/>
    <n v="3"/>
    <n v="10590"/>
    <x v="43"/>
    <x v="38"/>
    <x v="0"/>
    <x v="0"/>
  </r>
  <r>
    <x v="4"/>
    <x v="17"/>
    <n v="1"/>
    <n v="1250"/>
    <x v="32"/>
    <x v="30"/>
    <x v="0"/>
    <x v="8"/>
  </r>
  <r>
    <x v="11"/>
    <x v="18"/>
    <n v="1"/>
    <n v="1200"/>
    <x v="8"/>
    <x v="8"/>
    <x v="0"/>
    <x v="3"/>
  </r>
  <r>
    <x v="4"/>
    <x v="1"/>
    <n v="3"/>
    <n v="1400"/>
    <x v="39"/>
    <x v="27"/>
    <x v="0"/>
    <x v="7"/>
  </r>
  <r>
    <x v="11"/>
    <x v="19"/>
    <n v="2"/>
    <n v="7530"/>
    <x v="44"/>
    <x v="39"/>
    <x v="0"/>
    <x v="4"/>
  </r>
  <r>
    <x v="6"/>
    <x v="5"/>
    <n v="1"/>
    <n v="7600"/>
    <x v="27"/>
    <x v="25"/>
    <x v="0"/>
    <x v="5"/>
  </r>
  <r>
    <x v="11"/>
    <x v="21"/>
    <n v="1"/>
    <n v="1500"/>
    <x v="40"/>
    <x v="37"/>
    <x v="0"/>
    <x v="2"/>
  </r>
  <r>
    <x v="9"/>
    <x v="4"/>
    <n v="2"/>
    <n v="2180"/>
    <x v="4"/>
    <x v="4"/>
    <x v="0"/>
    <x v="0"/>
  </r>
  <r>
    <x v="3"/>
    <x v="4"/>
    <n v="1"/>
    <n v="2180"/>
    <x v="10"/>
    <x v="40"/>
    <x v="0"/>
    <x v="9"/>
  </r>
  <r>
    <x v="9"/>
    <x v="15"/>
    <n v="1"/>
    <n v="5775"/>
    <x v="45"/>
    <x v="41"/>
    <x v="0"/>
    <x v="11"/>
  </r>
  <r>
    <x v="9"/>
    <x v="7"/>
    <n v="3"/>
    <n v="1100"/>
    <x v="7"/>
    <x v="7"/>
    <x v="0"/>
    <x v="0"/>
  </r>
  <r>
    <x v="10"/>
    <x v="15"/>
    <n v="1"/>
    <n v="5775"/>
    <x v="45"/>
    <x v="41"/>
    <x v="0"/>
    <x v="8"/>
  </r>
  <r>
    <x v="7"/>
    <x v="3"/>
    <n v="1"/>
    <n v="1350"/>
    <x v="26"/>
    <x v="24"/>
    <x v="0"/>
    <x v="2"/>
  </r>
  <r>
    <x v="0"/>
    <x v="5"/>
    <n v="3"/>
    <n v="7600"/>
    <x v="24"/>
    <x v="22"/>
    <x v="0"/>
    <x v="8"/>
  </r>
  <r>
    <x v="2"/>
    <x v="6"/>
    <n v="3"/>
    <n v="7250"/>
    <x v="25"/>
    <x v="23"/>
    <x v="0"/>
    <x v="10"/>
  </r>
  <r>
    <x v="11"/>
    <x v="13"/>
    <n v="2"/>
    <n v="1490"/>
    <x v="35"/>
    <x v="33"/>
    <x v="0"/>
    <x v="11"/>
  </r>
  <r>
    <x v="3"/>
    <x v="13"/>
    <n v="2"/>
    <n v="1490"/>
    <x v="35"/>
    <x v="33"/>
    <x v="0"/>
    <x v="4"/>
  </r>
  <r>
    <x v="8"/>
    <x v="10"/>
    <n v="2"/>
    <n v="1090"/>
    <x v="10"/>
    <x v="10"/>
    <x v="0"/>
    <x v="8"/>
  </r>
  <r>
    <x v="8"/>
    <x v="8"/>
    <n v="3"/>
    <n v="1200"/>
    <x v="9"/>
    <x v="1"/>
    <x v="0"/>
    <x v="1"/>
  </r>
  <r>
    <x v="11"/>
    <x v="10"/>
    <n v="2"/>
    <n v="1090"/>
    <x v="10"/>
    <x v="1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F6C09-7138-4146-8593-2E73FE5A4384}" name="KisiUrun" cacheId="29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>
  <location ref="A20:D30" firstHeaderRow="0" firstDataRow="1" firstDataCol="1"/>
  <pivotFields count="8">
    <pivotField showAll="0">
      <items count="13">
        <item h="1" x="4"/>
        <item h="1" x="8"/>
        <item h="1" x="10"/>
        <item x="3"/>
        <item h="1" x="2"/>
        <item h="1" x="5"/>
        <item h="1" x="9"/>
        <item h="1" x="0"/>
        <item h="1" x="6"/>
        <item h="1" x="1"/>
        <item h="1" x="7"/>
        <item h="1" x="11"/>
        <item t="default"/>
      </items>
    </pivotField>
    <pivotField axis="axisRow" showAll="0">
      <items count="24">
        <item x="0"/>
        <item x="20"/>
        <item x="12"/>
        <item x="2"/>
        <item x="19"/>
        <item x="11"/>
        <item x="5"/>
        <item x="13"/>
        <item x="21"/>
        <item x="15"/>
        <item x="6"/>
        <item x="14"/>
        <item x="22"/>
        <item x="16"/>
        <item x="4"/>
        <item x="1"/>
        <item x="9"/>
        <item x="7"/>
        <item x="17"/>
        <item x="8"/>
        <item x="10"/>
        <item x="18"/>
        <item x="3"/>
        <item t="default"/>
      </items>
    </pivotField>
    <pivotField dataField="1" showAll="0"/>
    <pivotField showAll="0"/>
    <pivotField dataField="1" showAll="0"/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4">
        <item x="6"/>
        <item x="2"/>
        <item x="5"/>
        <item x="8"/>
        <item x="10"/>
        <item x="1"/>
        <item x="4"/>
        <item x="12"/>
        <item x="9"/>
        <item x="0"/>
        <item x="3"/>
        <item x="11"/>
        <item x="7"/>
        <item t="default"/>
      </items>
    </pivotField>
  </pivotFields>
  <rowFields count="1">
    <field x="1"/>
  </rowFields>
  <rowItems count="10">
    <i>
      <x/>
    </i>
    <i>
      <x v="2"/>
    </i>
    <i>
      <x v="7"/>
    </i>
    <i>
      <x v="11"/>
    </i>
    <i>
      <x v="12"/>
    </i>
    <i>
      <x v="13"/>
    </i>
    <i>
      <x v="14"/>
    </i>
    <i>
      <x v="17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Adet" fld="2" baseField="0" baseItem="1" numFmtId="3"/>
    <dataField name="Toplam Toplam Sipariş Tutarı" fld="4" baseField="0" baseItem="1" numFmtId="42"/>
    <dataField name="Toplam Ürün Kar Tutarı" fld="5" baseField="0" baseItem="1" numFmtId="42"/>
  </dataFields>
  <formats count="10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7" type="button" dataOnly="0" labelOnly="1" outline="0"/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">
      <pivotArea outline="0" collapsedLevelsAreSubtotals="1" fieldPosition="0"/>
    </format>
    <format dxfId="38">
      <pivotArea dataOnly="0" labelOnly="1" fieldPosition="0">
        <references count="1">
          <reference field="1" count="9">
            <x v="0"/>
            <x v="2"/>
            <x v="7"/>
            <x v="11"/>
            <x v="12"/>
            <x v="13"/>
            <x v="14"/>
            <x v="17"/>
            <x v="22"/>
          </reference>
        </references>
      </pivotArea>
    </format>
    <format dxfId="37">
      <pivotArea dataOnly="0" labelOnly="1" grandRow="1" outline="0" fieldPosition="0"/>
    </format>
    <format dxfId="36">
      <pivotArea field="1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E0DA0-315B-4F48-A11A-EBB7CEA68D71}" name="KisiSehir" cacheId="29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>
  <location ref="F4:I18" firstHeaderRow="0" firstDataRow="1" firstDataCol="1"/>
  <pivotFields count="8">
    <pivotField showAll="0">
      <items count="13">
        <item h="1" x="4"/>
        <item h="1" x="8"/>
        <item h="1" x="10"/>
        <item x="3"/>
        <item h="1" x="2"/>
        <item h="1" x="5"/>
        <item h="1" x="9"/>
        <item h="1" x="0"/>
        <item h="1" x="6"/>
        <item h="1" x="1"/>
        <item h="1" x="7"/>
        <item h="1" x="11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4">
        <item x="6"/>
        <item x="2"/>
        <item x="5"/>
        <item x="8"/>
        <item x="10"/>
        <item x="1"/>
        <item x="4"/>
        <item x="12"/>
        <item x="9"/>
        <item x="0"/>
        <item x="3"/>
        <item x="11"/>
        <item x="7"/>
        <item t="default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Adet" fld="2" baseField="0" baseItem="1" numFmtId="3"/>
    <dataField name="Toplam Toplam Sipariş Tutarı" fld="4" baseField="0" baseItem="1" numFmtId="42"/>
    <dataField name="Toplam Ürün Kar Tutarı" fld="5" baseField="0" baseItem="1" numFmtId="42"/>
  </dataFields>
  <formats count="10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7" type="button" dataOnly="0" labelOnly="1" outline="0" axis="axisRow" fieldPosition="0"/>
    </format>
    <format dxfId="51">
      <pivotArea dataOnly="0" labelOnly="1" fieldPosition="0">
        <references count="1">
          <reference field="7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">
      <pivotArea collapsedLevelsAreSubtotals="1" fieldPosition="0">
        <references count="1">
          <reference field="7" count="0"/>
        </references>
      </pivotArea>
    </format>
    <format dxfId="47">
      <pivotArea dataOnly="0" labelOnly="1" fieldPosition="0">
        <references count="1">
          <reference field="7" count="0"/>
        </references>
      </pivotArea>
    </format>
    <format dxfId="46">
      <pivotArea grandRow="1" outline="0" collapsedLevelsAreSubtotals="1" fieldPosition="0"/>
    </format>
    <format dxfId="45">
      <pivotArea dataOnly="0" labelOnly="1" grandRow="1" outline="0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5E76F-2142-4AEF-B14E-C90F3422396B}" name="KisiAy" cacheId="29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>
  <location ref="A4:D17" firstHeaderRow="0" firstDataRow="1" firstDataCol="1"/>
  <pivotFields count="8">
    <pivotField showAll="0">
      <items count="13">
        <item h="1" x="4"/>
        <item h="1" x="8"/>
        <item h="1" x="10"/>
        <item x="3"/>
        <item h="1" x="2"/>
        <item h="1" x="5"/>
        <item h="1" x="9"/>
        <item h="1" x="0"/>
        <item h="1" x="6"/>
        <item h="1" x="1"/>
        <item h="1" x="7"/>
        <item h="1" x="11"/>
        <item t="default"/>
      </items>
    </pivotField>
    <pivotField showAll="0"/>
    <pivotField dataField="1" showAll="0"/>
    <pivotField showAll="0"/>
    <pivotField dataField="1"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Adet" fld="2" baseField="0" baseItem="1" numFmtId="3"/>
    <dataField name="Toplam Toplam Sipariş Tutarı" fld="4" baseField="0" baseItem="1" numFmtId="42"/>
    <dataField name="Toplam Ürün Kar Tutarı" fld="5" baseField="0" baseItem="1" numFmtId="42"/>
  </dataFields>
  <formats count="9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6" type="button" dataOnly="0" labelOnly="1" outline="0" axis="axisRow" fieldPosition="0"/>
    </format>
    <format dxfId="60">
      <pivotArea dataOnly="0" labelOnly="1" fieldPosition="0">
        <references count="1">
          <reference field="6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7">
      <pivotArea dataOnly="0" fieldPosition="0">
        <references count="1">
          <reference field="6" count="0"/>
        </references>
      </pivotArea>
    </format>
    <format dxfId="56">
      <pivotArea grandRow="1" outline="0" collapsedLevelsAreSubtotals="1" fieldPosition="0"/>
    </format>
    <format dxfId="55">
      <pivotArea dataOnly="0" labelOnly="1" grandRow="1" outline="0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6047D-8710-4D30-8D60-64685373FB69}" name="AyUrun" cacheId="29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>
  <location ref="A56:D79" firstHeaderRow="0" firstDataRow="1" firstDataCol="1"/>
  <pivotFields count="8">
    <pivotField showAll="0">
      <items count="13">
        <item x="4"/>
        <item x="8"/>
        <item x="10"/>
        <item x="3"/>
        <item x="2"/>
        <item x="5"/>
        <item x="9"/>
        <item x="0"/>
        <item x="6"/>
        <item x="1"/>
        <item x="7"/>
        <item x="11"/>
        <item t="default"/>
      </items>
    </pivotField>
    <pivotField axis="axisRow" showAll="0">
      <items count="24">
        <item x="0"/>
        <item x="20"/>
        <item x="12"/>
        <item x="2"/>
        <item x="19"/>
        <item x="11"/>
        <item x="5"/>
        <item x="13"/>
        <item x="21"/>
        <item x="15"/>
        <item x="6"/>
        <item x="14"/>
        <item x="22"/>
        <item x="16"/>
        <item x="4"/>
        <item x="1"/>
        <item x="9"/>
        <item x="7"/>
        <item x="17"/>
        <item x="8"/>
        <item x="10"/>
        <item x="18"/>
        <item x="3"/>
        <item t="default"/>
      </items>
    </pivotField>
    <pivotField dataField="1" showAll="0"/>
    <pivotField showAll="0"/>
    <pivotField dataField="1" showAll="0"/>
    <pivotField dataField="1" showAll="0"/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Adet" fld="2" baseField="0" baseItem="1" numFmtId="3"/>
    <dataField name="Toplam Toplam Sipariş Tutarı" fld="4" baseField="0" baseItem="1" numFmtId="42"/>
    <dataField name="Toplam Ürün Kar Tutarı" fld="5" baseField="0" baseItem="1" numFmtId="42"/>
  </dataFields>
  <formats count="14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6" type="button" dataOnly="0" labelOnly="1" outline="0"/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1" type="button" dataOnly="0" labelOnly="1" outline="0" axis="axisRow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Row="1" outline="0" fieldPosition="0"/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">
      <pivotArea outline="0" collapsedLevelsAreSubtotals="1" fieldPosition="0"/>
    </format>
    <format dxfId="65">
      <pivotArea dataOnly="0" labelOnly="1" fieldPosition="0">
        <references count="1">
          <reference field="1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64">
      <pivotArea dataOnly="0" labelOnly="1" grandRow="1" outline="0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084FE-241A-46D0-9E3D-706FAE491803}" name="AySehir" cacheId="29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>
  <location ref="F41:I54" firstHeaderRow="0" firstDataRow="1" firstDataCol="1"/>
  <pivotFields count="8">
    <pivotField axis="axisRow" showAll="0">
      <items count="13">
        <item x="4"/>
        <item x="8"/>
        <item x="10"/>
        <item x="3"/>
        <item x="2"/>
        <item x="5"/>
        <item x="9"/>
        <item x="0"/>
        <item x="6"/>
        <item x="1"/>
        <item x="7"/>
        <item x="11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Adet" fld="2" baseField="0" baseItem="1" numFmtId="3"/>
    <dataField name="Toplam Toplam Sipariş Tutarı" fld="4" baseField="0" baseItem="1" numFmtId="42"/>
    <dataField name="Toplam Ürün Kar Tutarı" fld="5" baseField="0" baseItem="1" numFmtId="42"/>
  </dataFields>
  <formats count="14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6" type="button" dataOnly="0" labelOnly="1" outline="0"/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outline="0" collapsedLevelsAreSubtotals="1" fieldPosition="0"/>
    </format>
    <format dxfId="79">
      <pivotArea dataOnly="0" labelOnly="1" fieldPosition="0">
        <references count="1">
          <reference field="0" count="0"/>
        </references>
      </pivotArea>
    </format>
    <format dxfId="78">
      <pivotArea dataOnly="0" labelOnly="1" grandRow="1" outline="0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A2037-B9F0-485A-99EC-3CB416827E86}" name="AyPersonel" cacheId="29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>
  <location ref="A41:D54" firstHeaderRow="0" firstDataRow="1" firstDataCol="1"/>
  <pivotFields count="8">
    <pivotField axis="axisRow" showAll="0">
      <items count="13">
        <item x="4"/>
        <item x="8"/>
        <item x="10"/>
        <item x="3"/>
        <item x="2"/>
        <item x="5"/>
        <item x="9"/>
        <item x="0"/>
        <item x="6"/>
        <item x="1"/>
        <item x="7"/>
        <item x="11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Adet" fld="2" baseField="0" baseItem="1" numFmtId="3"/>
    <dataField name="Toplam Toplam Sipariş Tutarı" fld="4" baseField="0" baseItem="1" numFmtId="42"/>
    <dataField name="Toplam Ürün Kar Tutarı" fld="5" baseField="0" baseItem="1" numFmtId="42"/>
  </dataFields>
  <formats count="14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6" type="button" dataOnly="0" labelOnly="1" outline="0"/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0" type="button" dataOnly="0" labelOnly="1" outline="0" axis="axisRow" fieldPosition="0"/>
    </format>
    <format dxfId="97">
      <pivotArea dataOnly="0" labelOnly="1" fieldPosition="0">
        <references count="1">
          <reference field="0" count="0"/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4">
      <pivotArea outline="0" collapsedLevelsAreSubtotals="1" fieldPosition="0"/>
    </format>
    <format dxfId="93">
      <pivotArea dataOnly="0" labelOnly="1" fieldPosition="0">
        <references count="1">
          <reference field="0" count="0"/>
        </references>
      </pivotArea>
    </format>
    <format dxfId="92">
      <pivotArea dataOnly="0" labelOnly="1" grandRow="1" outline="0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5F4B5-69D6-460C-B3CF-EB6E2F8BCB7F}" name="PivotTable15" cacheId="29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 chartFormat="12">
  <location ref="K3:N14" firstHeaderRow="0" firstDataRow="1" firstDataCol="1"/>
  <pivotFields count="8">
    <pivotField showAll="0">
      <items count="13">
        <item x="4"/>
        <item h="1" x="8"/>
        <item h="1" x="10"/>
        <item h="1" x="3"/>
        <item h="1" x="2"/>
        <item h="1" x="5"/>
        <item h="1" x="9"/>
        <item h="1" x="0"/>
        <item h="1" x="6"/>
        <item h="1" x="1"/>
        <item h="1" x="7"/>
        <item h="1" x="11"/>
        <item t="default"/>
      </items>
    </pivotField>
    <pivotField axis="axisRow" showAll="0">
      <items count="24">
        <item x="0"/>
        <item x="20"/>
        <item x="12"/>
        <item x="2"/>
        <item x="19"/>
        <item x="11"/>
        <item x="5"/>
        <item x="13"/>
        <item x="21"/>
        <item x="15"/>
        <item x="6"/>
        <item x="14"/>
        <item x="22"/>
        <item x="16"/>
        <item x="4"/>
        <item x="1"/>
        <item x="9"/>
        <item x="7"/>
        <item x="17"/>
        <item x="8"/>
        <item x="10"/>
        <item x="18"/>
        <item x="3"/>
        <item t="default"/>
      </items>
    </pivotField>
    <pivotField dataField="1" showAll="0"/>
    <pivotField showAll="0"/>
    <pivotField dataField="1" showAll="0"/>
    <pivotField dataField="1" showAll="0"/>
    <pivotField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>
      <items count="14">
        <item x="6"/>
        <item x="2"/>
        <item x="5"/>
        <item x="8"/>
        <item x="10"/>
        <item x="1"/>
        <item x="4"/>
        <item x="12"/>
        <item x="9"/>
        <item x="0"/>
        <item x="3"/>
        <item x="11"/>
        <item x="7"/>
        <item t="default"/>
      </items>
    </pivotField>
  </pivotFields>
  <rowFields count="1">
    <field x="1"/>
  </rowFields>
  <rowItems count="11">
    <i>
      <x v="5"/>
    </i>
    <i>
      <x v="6"/>
    </i>
    <i>
      <x v="10"/>
    </i>
    <i>
      <x v="11"/>
    </i>
    <i>
      <x v="13"/>
    </i>
    <i>
      <x v="14"/>
    </i>
    <i>
      <x v="15"/>
    </i>
    <i>
      <x v="18"/>
    </i>
    <i>
      <x v="19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Adet" fld="2" baseField="0" baseItem="0"/>
    <dataField name="Toplam Toplam Sipariş Tutarı" fld="4" baseField="6" baseItem="6" numFmtId="42"/>
    <dataField name="Toplam Ürün Kar Tutarı" fld="5" baseField="6" baseItem="8" numFmtId="42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773E4-205D-4092-9DA0-A8685F0FF651}" name="PerDashAy" cacheId="29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 chartFormat="23">
  <location ref="F3:I16" firstHeaderRow="0" firstDataRow="1" firstDataCol="1"/>
  <pivotFields count="8">
    <pivotField showAll="0">
      <items count="13">
        <item x="4"/>
        <item h="1" x="8"/>
        <item h="1" x="10"/>
        <item h="1" x="3"/>
        <item h="1" x="2"/>
        <item h="1" x="5"/>
        <item h="1" x="9"/>
        <item h="1" x="0"/>
        <item h="1" x="6"/>
        <item h="1" x="1"/>
        <item h="1" x="7"/>
        <item h="1" x="11"/>
        <item t="default"/>
      </items>
    </pivotField>
    <pivotField showAll="0"/>
    <pivotField dataField="1" showAll="0"/>
    <pivotField showAll="0"/>
    <pivotField dataField="1" showAll="0"/>
    <pivotField dataField="1" showAll="0"/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>
      <items count="14">
        <item x="6"/>
        <item x="2"/>
        <item x="5"/>
        <item x="8"/>
        <item x="10"/>
        <item x="1"/>
        <item x="4"/>
        <item x="12"/>
        <item x="9"/>
        <item x="0"/>
        <item x="3"/>
        <item x="11"/>
        <item x="7"/>
        <item t="default"/>
      </items>
    </pivotField>
  </pivotFields>
  <rowFields count="1">
    <field x="6"/>
  </rowFields>
  <rowItems count="13">
    <i>
      <x v="7"/>
    </i>
    <i>
      <x v="4"/>
    </i>
    <i>
      <x v="5"/>
    </i>
    <i>
      <x v="10"/>
    </i>
    <i>
      <x v="11"/>
    </i>
    <i>
      <x v="3"/>
    </i>
    <i>
      <x v="9"/>
    </i>
    <i>
      <x v="8"/>
    </i>
    <i>
      <x/>
    </i>
    <i>
      <x v="6"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Adet" fld="2" baseField="0" baseItem="0"/>
    <dataField name="Toplam Toplam Sipariş Tutarı" fld="4" baseField="6" baseItem="6" numFmtId="42"/>
    <dataField name="Toplam Ürün Kar Tutarı" fld="5" baseField="6" baseItem="8" numFmtId="42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C31A1-00EE-47D9-86A4-820B5DB6B1CD}" name="PerDashSehir" cacheId="29" applyNumberFormats="0" applyBorderFormats="0" applyFontFormats="0" applyPatternFormats="0" applyAlignmentFormats="0" applyWidthHeightFormats="1" dataCaption="Değerler" updatedVersion="8" minRefreshableVersion="3" itemPrintTitles="1" createdVersion="8" indent="0" outline="1" outlineData="1" multipleFieldFilters="0" chartFormat="5">
  <location ref="A3:D17" firstHeaderRow="0" firstDataRow="1" firstDataCol="1"/>
  <pivotFields count="8">
    <pivotField showAll="0">
      <items count="13">
        <item x="4"/>
        <item h="1" x="8"/>
        <item h="1" x="10"/>
        <item h="1" x="3"/>
        <item h="1" x="2"/>
        <item h="1" x="5"/>
        <item h="1" x="9"/>
        <item h="1" x="0"/>
        <item h="1" x="6"/>
        <item h="1" x="1"/>
        <item h="1" x="7"/>
        <item h="1" x="11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/>
    <pivotField axis="axisRow" showAll="0" sortType="descending">
      <items count="14">
        <item x="6"/>
        <item x="2"/>
        <item x="5"/>
        <item x="8"/>
        <item x="10"/>
        <item x="1"/>
        <item x="4"/>
        <item x="12"/>
        <item x="9"/>
        <item x="0"/>
        <item x="3"/>
        <item x="11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</pivotFields>
  <rowFields count="1">
    <field x="7"/>
  </rowFields>
  <rowItems count="14">
    <i>
      <x v="4"/>
    </i>
    <i>
      <x v="3"/>
    </i>
    <i>
      <x/>
    </i>
    <i>
      <x v="12"/>
    </i>
    <i>
      <x v="9"/>
    </i>
    <i>
      <x v="11"/>
    </i>
    <i>
      <x v="7"/>
    </i>
    <i>
      <x v="6"/>
    </i>
    <i>
      <x v="1"/>
    </i>
    <i>
      <x v="5"/>
    </i>
    <i>
      <x v="8"/>
    </i>
    <i>
      <x v="2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Satış Adet" fld="2" baseField="0" baseItem="0"/>
    <dataField name="Toplam Toplam Sipariş Tutarı" fld="4" baseField="7" baseItem="2" numFmtId="42"/>
    <dataField name="Toplam Ürün Kar Tutarı" fld="5" baseField="7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F1B10-AB16-4114-B8C7-4EF4BB19608F}" name="PivotTable5" cacheId="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A46:B70" firstHeaderRow="1" firstDataRow="1" firstDataCol="1"/>
  <pivotFields count="2">
    <pivotField axis="axisRow" allDrilled="1" subtotalTop="0" showAll="0" sortType="ascending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Toplam veri: Satış Adet" fld="1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</chartFormats>
  <pivotHierarchies count="12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Dark15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NC_Veri_Seti.xlsx!Tablo3">
        <x15:activeTabTopLevelEntity name="[Tablo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6194B-3169-402A-9451-33DFF9974B87}" name="PivotTable3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H2:I16" firstHeaderRow="1" firstDataRow="1" firstDataCol="1"/>
  <pivotFields count="2">
    <pivotField axis="axisRow" allDrilled="1" subtotalTop="0" showAll="0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plam Sipariş Tutarı" fld="1" baseField="0" baseItem="0" numFmtId="165"/>
  </dataFields>
  <formats count="8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 caption="Toplam Sipariş Tutarı"/>
    <pivotHierarchy dragToData="1"/>
  </pivotHierarchies>
  <pivotTableStyleInfo name="PivotStyleDark15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NC_Veri_Seti.xlsx!Tablo3">
        <x15:activeTabTopLevelEntity name="[Tablo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AB264-434F-47F8-899F-FA741F0E842A}" name="PivotTable2" cacheId="2" applyNumberFormats="0" applyBorderFormats="0" applyFontFormats="0" applyPatternFormats="0" applyAlignmentFormats="0" applyWidthHeightFormats="1" dataCaption="Değerler" updatedVersion="8" minRefreshableVersion="3" useAutoFormatting="1" subtotalHiddenItems="1" itemPrintTitles="1" createdVersion="8" indent="0" outline="1" outlineData="1" multipleFieldFilters="0" chartFormat="3">
  <location ref="H46:I59" firstHeaderRow="1" firstDataRow="1" firstDataCol="1"/>
  <pivotFields count="2">
    <pivotField axis="axisRow" allDrilled="1" subtotalTop="0" showAll="0" sortType="ascending" defaultSubtotal="0" defaultAttributeDrillState="1">
      <items count="12">
        <item x="9"/>
        <item x="10"/>
        <item x="6"/>
        <item x="8"/>
        <item x="7"/>
        <item x="4"/>
        <item x="11"/>
        <item x="0"/>
        <item x="3"/>
        <item x="2"/>
        <item x="5"/>
        <item x="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plam veri: Toplam Sipariş Tutarı" fld="1" baseField="0" baseItem="0" numFmtId="164"/>
  </dataFields>
  <formats count="8"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Dark15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NC_Veri_Seti.xlsx!Tablo3">
        <x15:activeTabTopLevelEntity name="[Tablo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CC203-AC3C-4ACE-ACB5-51858E7A9BFC}" name="PivotTable4" cacheId="29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2:C15" firstHeaderRow="0" firstDataRow="1" firstDataCol="1"/>
  <pivotFields count="8">
    <pivotField axis="axisRow" showAll="0" sortType="ascending">
      <items count="13">
        <item x="4"/>
        <item x="8"/>
        <item x="10"/>
        <item x="3"/>
        <item x="2"/>
        <item x="5"/>
        <item x="9"/>
        <item x="0"/>
        <item x="6"/>
        <item x="1"/>
        <item x="7"/>
        <item x="11"/>
        <item t="default"/>
      </items>
    </pivotField>
    <pivotField showAll="0"/>
    <pivotField showAll="0"/>
    <pivotField showAll="0"/>
    <pivotField dataField="1" showAll="0">
      <items count="100">
        <item x="37"/>
        <item x="21"/>
        <item x="8"/>
        <item x="32"/>
        <item x="26"/>
        <item x="14"/>
        <item x="19"/>
        <item x="40"/>
        <item x="33"/>
        <item x="10"/>
        <item x="18"/>
        <item x="30"/>
        <item x="52"/>
        <item x="16"/>
        <item x="1"/>
        <item x="35"/>
        <item x="87"/>
        <item x="76"/>
        <item x="7"/>
        <item x="9"/>
        <item x="50"/>
        <item x="51"/>
        <item x="3"/>
        <item x="39"/>
        <item x="4"/>
        <item x="59"/>
        <item x="28"/>
        <item x="53"/>
        <item x="71"/>
        <item x="70"/>
        <item x="36"/>
        <item x="12"/>
        <item x="68"/>
        <item x="63"/>
        <item x="88"/>
        <item x="45"/>
        <item x="29"/>
        <item x="67"/>
        <item x="17"/>
        <item x="93"/>
        <item x="11"/>
        <item x="92"/>
        <item x="55"/>
        <item x="86"/>
        <item x="38"/>
        <item x="49"/>
        <item x="74"/>
        <item x="85"/>
        <item x="34"/>
        <item x="27"/>
        <item x="42"/>
        <item x="22"/>
        <item x="97"/>
        <item x="60"/>
        <item x="89"/>
        <item x="15"/>
        <item x="47"/>
        <item x="57"/>
        <item x="84"/>
        <item x="91"/>
        <item x="66"/>
        <item x="0"/>
        <item x="31"/>
        <item x="6"/>
        <item x="96"/>
        <item x="44"/>
        <item x="5"/>
        <item x="46"/>
        <item x="78"/>
        <item x="69"/>
        <item x="2"/>
        <item x="23"/>
        <item x="54"/>
        <item x="94"/>
        <item x="64"/>
        <item x="20"/>
        <item x="75"/>
        <item x="25"/>
        <item x="41"/>
        <item x="24"/>
        <item x="98"/>
        <item x="13"/>
        <item x="48"/>
        <item x="79"/>
        <item x="82"/>
        <item x="77"/>
        <item x="83"/>
        <item x="81"/>
        <item x="65"/>
        <item x="43"/>
        <item x="90"/>
        <item x="56"/>
        <item x="58"/>
        <item x="73"/>
        <item x="72"/>
        <item x="61"/>
        <item x="95"/>
        <item x="80"/>
        <item x="62"/>
        <item t="default"/>
      </items>
    </pivotField>
    <pivotField dataField="1" showAll="0">
      <items count="79">
        <item x="35"/>
        <item x="19"/>
        <item x="8"/>
        <item x="30"/>
        <item x="24"/>
        <item x="10"/>
        <item x="14"/>
        <item x="40"/>
        <item x="17"/>
        <item x="37"/>
        <item x="28"/>
        <item x="64"/>
        <item x="7"/>
        <item x="31"/>
        <item x="16"/>
        <item x="52"/>
        <item x="1"/>
        <item x="34"/>
        <item x="46"/>
        <item x="4"/>
        <item x="33"/>
        <item x="45"/>
        <item x="60"/>
        <item x="57"/>
        <item x="32"/>
        <item x="25"/>
        <item x="3"/>
        <item x="41"/>
        <item x="27"/>
        <item x="9"/>
        <item x="11"/>
        <item x="26"/>
        <item x="47"/>
        <item x="49"/>
        <item x="36"/>
        <item x="20"/>
        <item x="43"/>
        <item x="76"/>
        <item x="53"/>
        <item x="74"/>
        <item x="59"/>
        <item x="66"/>
        <item x="12"/>
        <item x="39"/>
        <item x="5"/>
        <item x="50"/>
        <item x="62"/>
        <item x="71"/>
        <item x="73"/>
        <item x="29"/>
        <item x="42"/>
        <item x="0"/>
        <item x="6"/>
        <item x="15"/>
        <item x="22"/>
        <item x="2"/>
        <item x="72"/>
        <item x="63"/>
        <item x="21"/>
        <item x="13"/>
        <item x="69"/>
        <item x="58"/>
        <item x="67"/>
        <item x="23"/>
        <item x="77"/>
        <item x="44"/>
        <item x="61"/>
        <item x="56"/>
        <item x="70"/>
        <item x="65"/>
        <item x="18"/>
        <item x="48"/>
        <item x="54"/>
        <item x="51"/>
        <item x="75"/>
        <item x="38"/>
        <item x="68"/>
        <item x="55"/>
        <item t="default"/>
      </items>
    </pivotField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Toplam Sipariş Tutarı" fld="4" baseField="0" baseItem="0"/>
    <dataField name="Toplam Ürün Kar Tutarı" fld="5" baseField="0" baseItem="0"/>
  </dataFields>
  <formats count="8"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Personel_Ad" xr10:uid="{59D21180-CE76-4F6B-88D9-C0E3C664FEB2}" sourceName="Personel Ad">
  <pivotTables>
    <pivotTable tabId="2" name="PivotTable4"/>
  </pivotTables>
  <data>
    <tabular pivotCacheId="1822192548">
      <items count="12">
        <i x="4" s="1"/>
        <i x="8" s="1"/>
        <i x="10" s="1"/>
        <i x="3" s="1"/>
        <i x="2" s="1"/>
        <i x="5" s="1"/>
        <i x="9" s="1"/>
        <i x="0" s="1"/>
        <i x="6" s="1"/>
        <i x="1" s="1"/>
        <i x="7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Şehirler" xr10:uid="{4C1E4DE8-434A-40EF-BA96-3552CB5E987E}" sourceName="[Tablo3].[Şehirler]">
  <pivotTables>
    <pivotTable tabId="2" name="PivotTable3"/>
  </pivotTables>
  <data>
    <olap pivotCacheId="313515932">
      <levels count="2">
        <level uniqueName="[Tablo3].[Şehirler].[(All)]" sourceCaption="(All)" count="0"/>
        <level uniqueName="[Tablo3].[Şehirler].[Şehirler]" sourceCaption="Şehirler" count="13">
          <ranges>
            <range startItem="0">
              <i n="[Tablo3].[Şehirler].&amp;[Adana]" c="Adana"/>
              <i n="[Tablo3].[Şehirler].&amp;[Ankara]" c="Ankara"/>
              <i n="[Tablo3].[Şehirler].&amp;[Antalya]" c="Antalya"/>
              <i n="[Tablo3].[Şehirler].&amp;[Bursa]" c="Bursa"/>
              <i n="[Tablo3].[Şehirler].&amp;[Diyarbakır]" c="Diyarbakır"/>
              <i n="[Tablo3].[Şehirler].&amp;[Gaziantep]" c="Gaziantep"/>
              <i n="[Tablo3].[Şehirler].&amp;[Hatay]" c="Hatay"/>
              <i n="[Tablo3].[Şehirler].&amp;[İstanbul]" c="İstanbul"/>
              <i n="[Tablo3].[Şehirler].&amp;[İzmir]" c="İzmir"/>
              <i n="[Tablo3].[Şehirler].&amp;[Kocaeli]" c="Kocaeli"/>
              <i n="[Tablo3].[Şehirler].&amp;[Konya]" c="Konya"/>
              <i n="[Tablo3].[Şehirler].&amp;[Mersin]" c="Mersin"/>
              <i n="[Tablo3].[Şehirler].&amp;[Şanlıurfa]" c="Şanlıurfa"/>
            </range>
          </ranges>
        </level>
      </levels>
      <selections count="1">
        <selection n="[Tablo3].[Şehirler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y" xr10:uid="{26267261-9127-445D-8B8B-943DA18D0A7E}" sourceName="[Tablo3].[Ay]">
  <pivotTables>
    <pivotTable tabId="2" name="PivotTable2"/>
  </pivotTables>
  <data>
    <olap pivotCacheId="313515932">
      <levels count="2">
        <level uniqueName="[Tablo3].[Ay].[(All)]" sourceCaption="(All)" count="0"/>
        <level uniqueName="[Tablo3].[Ay].[Ay]" sourceCaption="Ay" count="12">
          <ranges>
            <range startItem="0">
              <i n="[Tablo3].[Ay].&amp;[Ağustos]" c="Ağustos"/>
              <i n="[Tablo3].[Ay].&amp;[Aralık]" c="Aralık"/>
              <i n="[Tablo3].[Ay].&amp;[Ekim]" c="Ekim"/>
              <i n="[Tablo3].[Ay].&amp;[Eylül]" c="Eylül"/>
              <i n="[Tablo3].[Ay].&amp;[Haziran]" c="Haziran"/>
              <i n="[Tablo3].[Ay].&amp;[Kasım]" c="Kasım"/>
              <i n="[Tablo3].[Ay].&amp;[Mart]" c="Mart"/>
              <i n="[Tablo3].[Ay].&amp;[Mayıs]" c="Mayıs"/>
              <i n="[Tablo3].[Ay].&amp;[Nisan]" c="Nisan"/>
              <i n="[Tablo3].[Ay].&amp;[Ocak]" c="Ocak"/>
              <i n="[Tablo3].[Ay].&amp;[Şubat]" c="Şubat"/>
              <i n="[Tablo3].[Ay].&amp;[Temmuz]" c="Temmuz"/>
            </range>
          </ranges>
        </level>
      </levels>
      <selections count="1">
        <selection n="[Tablo3].[Ay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run_Ad" xr10:uid="{D239F2ED-5710-44EA-A739-71B9B5CA9972}" sourceName="[Tablo3].[Urun Ad]">
  <pivotTables>
    <pivotTable tabId="2" name="PivotTable5"/>
  </pivotTables>
  <data>
    <olap pivotCacheId="313515932">
      <levels count="2">
        <level uniqueName="[Tablo3].[Urun Ad].[(All)]" sourceCaption="(All)" count="0"/>
        <level uniqueName="[Tablo3].[Urun Ad].[Urun Ad]" sourceCaption="Urun Ad" count="23">
          <ranges>
            <range startItem="0">
              <i n="[Tablo3].[Urun Ad].&amp;[Bulaşık Makinesi Beyaz]" c="Bulaşık Makinesi Beyaz"/>
              <i n="[Tablo3].[Urun Ad].&amp;[Bulaşık Makinesi Gri]" c="Bulaşık Makinesi Gri"/>
              <i n="[Tablo3].[Urun Ad].&amp;[Buzdolabı Dört Kapılı Gri]" c="Buzdolabı Dört Kapılı Gri"/>
              <i n="[Tablo3].[Urun Ad].&amp;[Buzdolabı İki Kapaklı Beyaz]" c="Buzdolabı İki Kapaklı Beyaz"/>
              <i n="[Tablo3].[Urun Ad].&amp;[Buzdolabı İki Kapılı Gri]" c="Buzdolabı İki Kapılı Gri"/>
              <i n="[Tablo3].[Urun Ad].&amp;[Çamaşır Makinesi Beyaz]" c="Çamaşır Makinesi Beyaz"/>
              <i n="[Tablo3].[Urun Ad].&amp;[Çamaşır Makinesi Gri]" c="Çamaşır Makinesi Gri"/>
              <i n="[Tablo3].[Urun Ad].&amp;[Davlumbaz Gri X Marka]" c="Davlumbaz Gri X Marka"/>
              <i n="[Tablo3].[Urun Ad].&amp;[Davlumbaz Gri Y Marka]" c="Davlumbaz Gri Y Marka"/>
              <i n="[Tablo3].[Urun Ad].&amp;[Derin Dondurucu Beyaz]" c="Derin Dondurucu Beyaz"/>
              <i n="[Tablo3].[Urun Ad].&amp;[Derin Dondurucu Gri]" c="Derin Dondurucu Gri"/>
              <i n="[Tablo3].[Urun Ad].&amp;[Fırın Beyaz]" c="Fırın Beyaz"/>
              <i n="[Tablo3].[Urun Ad].&amp;[Fırın Siyah]" c="Fırın Siyah"/>
              <i n="[Tablo3].[Urun Ad].&amp;[Kahve Makinesi X Marka]" c="Kahve Makinesi X Marka"/>
              <i n="[Tablo3].[Urun Ad].&amp;[Kahve Makinesi Y Marka]" c="Kahve Makinesi Y Marka"/>
              <i n="[Tablo3].[Urun Ad].&amp;[Mikrodalga Fırın Beyaz]" c="Mikrodalga Fırın Beyaz"/>
              <i n="[Tablo3].[Urun Ad].&amp;[Mikrodalga Fırın Gri]" c="Mikrodalga Fırın Gri"/>
              <i n="[Tablo3].[Urun Ad].&amp;[Ocak Beyaz]" c="Ocak Beyaz"/>
              <i n="[Tablo3].[Urun Ad].&amp;[Ocak Siyah]" c="Ocak Siyah"/>
              <i n="[Tablo3].[Urun Ad].&amp;[Tost Makinesi Gri X Marka]" c="Tost Makinesi Gri X Marka"/>
              <i n="[Tablo3].[Urun Ad].&amp;[Tost Makinesi Gri Y Marka]" c="Tost Makinesi Gri Y Marka"/>
              <i n="[Tablo3].[Urun Ad].&amp;[Ütü Mor]" c="Ütü Mor"/>
              <i n="[Tablo3].[Urun Ad].&amp;[Ütü Siyah]" c="Ütü Siyah"/>
            </range>
          </ranges>
        </level>
      </levels>
      <selections count="1">
        <selection n="[Tablo3].[Urun Ad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Personel_Ad1" xr10:uid="{996912CB-1D28-4245-A99E-F36AD278994F}" sourceName="Personel Ad">
  <pivotTables>
    <pivotTable tabId="8" name="KisiAy"/>
    <pivotTable tabId="8" name="KisiSehir"/>
    <pivotTable tabId="8" name="KisiUrun"/>
  </pivotTables>
  <data>
    <tabular pivotCacheId="1822192548">
      <items count="12">
        <i x="4"/>
        <i x="8"/>
        <i x="10"/>
        <i x="3" s="1"/>
        <i x="2"/>
        <i x="5"/>
        <i x="9"/>
        <i x="0"/>
        <i x="6"/>
        <i x="1"/>
        <i x="7"/>
        <i x="1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y1" xr10:uid="{E0210EEB-423B-46E3-90FD-238E5F12D1CE}" sourceName="Ay">
  <pivotTables>
    <pivotTable tabId="8" name="AyPersonel"/>
    <pivotTable tabId="8" name="AySehir"/>
    <pivotTable tabId="8" name="AyUrun"/>
  </pivotTables>
  <data>
    <tabular pivotCacheId="1822192548">
      <items count="12">
        <i x="0" s="1"/>
        <i x="1"/>
        <i x="2"/>
        <i x="3"/>
        <i x="4"/>
        <i x="5"/>
        <i x="6"/>
        <i x="7"/>
        <i x="8"/>
        <i x="9"/>
        <i x="10"/>
        <i x="1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Personel_Ad2" xr10:uid="{2646E3E2-7220-4A1C-A406-A76DCFCD337A}" sourceName="Personel Ad">
  <pivotTables>
    <pivotTable tabId="14" name="PerDashSehir"/>
    <pivotTable tabId="14" name="PerDashAy"/>
    <pivotTable tabId="14" name="PivotTable15"/>
  </pivotTables>
  <data>
    <tabular pivotCacheId="1822192548">
      <items count="12">
        <i x="4" s="1"/>
        <i x="8"/>
        <i x="10"/>
        <i x="3"/>
        <i x="2"/>
        <i x="5"/>
        <i x="9"/>
        <i x="0"/>
        <i x="6"/>
        <i x="1"/>
        <i x="7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sonel Ad 1" xr10:uid="{C3638910-AD5B-4403-9B12-A1523FDFDACA}" cache="Dilimleyici_Personel_Ad1" caption="Personel Ad" columnCount="6" style="SlicerStyleDark5" rowHeight="257175"/>
  <slicer name="Ay 1" xr10:uid="{9675DBAD-99E7-43B4-8EEA-06032F249D26}" cache="Dilimleyici_Ay1" caption="Ay" columnCount="4" style="SlicerStyleDark5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sonelAd2" xr10:uid="{1D858D9A-AF7D-4019-8361-28FF4EBDCCEB}" cache="Dilimleyici_Personel_Ad2" caption="Personel Ad" columnCount="4" style="Dilimleyici Stili 2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sonel Ad" xr10:uid="{639A5F81-CECE-4301-B757-3C4CB6F8995A}" cache="Dilimleyici_Personel_Ad" caption="Personel Ad" rowHeight="247650"/>
  <slicer name="Şehirler" xr10:uid="{7E063008-D14E-40AF-AEA5-F2664CE11869}" cache="Dilimleyici_Şehirler" caption="Şehirler" level="1" rowHeight="247650"/>
  <slicer name="Ay" xr10:uid="{59AF0339-2C1C-484D-888C-77A04B936938}" cache="Dilimleyici_Ay" caption="Ay" level="1" rowHeight="247650"/>
  <slicer name="Urun Ad" xr10:uid="{6789E7D8-F947-40BF-9926-5E03A40F3ADB}" cache="Dilimleyici_Urun_Ad" caption="Urun Ad" level="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6DA05F-859E-4E34-A113-4019A6D2187E}" name="Tablo3" displayName="Tablo3" ref="A1:H2890" totalsRowShown="0" headerRowDxfId="34">
  <autoFilter ref="A1:H2890" xr:uid="{F96DA05F-859E-4E34-A113-4019A6D2187E}"/>
  <tableColumns count="8">
    <tableColumn id="1" xr3:uid="{2354CF19-5243-49DB-8934-05F37F3F7EB3}" name="Personel Ad"/>
    <tableColumn id="2" xr3:uid="{D6DFB4D8-6250-4B22-9967-92A8AE55BBBF}" name="Urun Ad"/>
    <tableColumn id="3" xr3:uid="{E0B300A4-F1EB-4A79-8C08-C1FB94C4C841}" name="Satış Adet"/>
    <tableColumn id="4" xr3:uid="{6D859E85-58D9-4FC1-BA74-F26E9821D527}" name="Birim Fiyat" dataDxfId="33"/>
    <tableColumn id="5" xr3:uid="{BBE2CEFE-1B80-480B-B502-0EB192D276C4}" name="Toplam Sipariş Tutarı" dataDxfId="32">
      <calculatedColumnFormula>+Tablo3[[#This Row],[Birim Fiyat]]*Tablo3[[#This Row],[Satış Adet]]</calculatedColumnFormula>
    </tableColumn>
    <tableColumn id="6" xr3:uid="{D938E005-2588-4331-B36A-BA8B44A8B007}" name="Ürün Kar Tutarı" dataDxfId="31"/>
    <tableColumn id="7" xr3:uid="{74CDCE79-F563-4083-A867-81546DA6E827}" name="Ay"/>
    <tableColumn id="8" xr3:uid="{B7762415-2E44-4855-9158-E311E4E76353}" name="Şehir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microsoft.com/office/2007/relationships/slicer" Target="../slicers/slicer3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67A3-881D-4FA9-ABC9-34FD48E72853}">
  <dimension ref="A1:I81"/>
  <sheetViews>
    <sheetView zoomScale="70" zoomScaleNormal="70" workbookViewId="0">
      <selection activeCell="G26" sqref="G26"/>
    </sheetView>
  </sheetViews>
  <sheetFormatPr defaultRowHeight="15" x14ac:dyDescent="0.25"/>
  <cols>
    <col min="1" max="1" width="27" customWidth="1"/>
    <col min="2" max="2" width="17.28515625" bestFit="1" customWidth="1"/>
    <col min="3" max="3" width="27.28515625" bestFit="1" customWidth="1"/>
    <col min="4" max="4" width="21.5703125" bestFit="1" customWidth="1"/>
    <col min="6" max="6" width="18.7109375" customWidth="1"/>
    <col min="7" max="7" width="17.28515625" bestFit="1" customWidth="1"/>
    <col min="8" max="8" width="27.28515625" bestFit="1" customWidth="1"/>
    <col min="9" max="9" width="21.5703125" bestFit="1" customWidth="1"/>
  </cols>
  <sheetData>
    <row r="1" spans="1:9" ht="28.5" customHeight="1" x14ac:dyDescent="0.25">
      <c r="A1" s="10"/>
      <c r="B1" s="11"/>
      <c r="C1" s="11"/>
      <c r="D1" s="11"/>
      <c r="E1" s="11"/>
      <c r="F1" s="11"/>
      <c r="G1" s="11"/>
      <c r="H1" s="41" t="s">
        <v>80</v>
      </c>
      <c r="I1" s="42"/>
    </row>
    <row r="2" spans="1:9" ht="28.5" customHeight="1" x14ac:dyDescent="0.25">
      <c r="A2" s="13"/>
      <c r="H2" s="43"/>
      <c r="I2" s="44"/>
    </row>
    <row r="3" spans="1:9" ht="28.5" customHeight="1" thickBot="1" x14ac:dyDescent="0.3">
      <c r="A3" s="13"/>
      <c r="H3" s="43"/>
      <c r="I3" s="44"/>
    </row>
    <row r="4" spans="1:9" ht="15.75" thickBot="1" x14ac:dyDescent="0.3">
      <c r="A4" s="17" t="s">
        <v>68</v>
      </c>
      <c r="B4" s="18" t="s">
        <v>79</v>
      </c>
      <c r="C4" s="19" t="s">
        <v>70</v>
      </c>
      <c r="D4" s="20" t="s">
        <v>72</v>
      </c>
      <c r="F4" s="17" t="s">
        <v>68</v>
      </c>
      <c r="G4" s="18" t="s">
        <v>79</v>
      </c>
      <c r="H4" s="19" t="s">
        <v>70</v>
      </c>
      <c r="I4" s="20" t="s">
        <v>72</v>
      </c>
    </row>
    <row r="5" spans="1:9" ht="15.75" x14ac:dyDescent="0.25">
      <c r="A5" s="21" t="s">
        <v>10</v>
      </c>
      <c r="B5" s="22">
        <v>25</v>
      </c>
      <c r="C5" s="23">
        <v>64910</v>
      </c>
      <c r="D5" s="24">
        <v>21610</v>
      </c>
      <c r="F5" s="21" t="s">
        <v>29</v>
      </c>
      <c r="G5" s="22">
        <v>23</v>
      </c>
      <c r="H5" s="23">
        <v>73420</v>
      </c>
      <c r="I5" s="24">
        <v>24120</v>
      </c>
    </row>
    <row r="6" spans="1:9" ht="15.75" x14ac:dyDescent="0.25">
      <c r="A6" s="25" t="s">
        <v>47</v>
      </c>
      <c r="B6" s="26">
        <v>20</v>
      </c>
      <c r="C6" s="27">
        <v>77900</v>
      </c>
      <c r="D6" s="28">
        <v>25200</v>
      </c>
      <c r="F6" s="25" t="s">
        <v>17</v>
      </c>
      <c r="G6" s="26">
        <v>9</v>
      </c>
      <c r="H6" s="27">
        <v>27230</v>
      </c>
      <c r="I6" s="28">
        <v>8330</v>
      </c>
    </row>
    <row r="7" spans="1:9" ht="15.75" x14ac:dyDescent="0.25">
      <c r="A7" s="25" t="s">
        <v>57</v>
      </c>
      <c r="B7" s="26">
        <v>5</v>
      </c>
      <c r="C7" s="27">
        <v>10900</v>
      </c>
      <c r="D7" s="28">
        <v>3400</v>
      </c>
      <c r="F7" s="25" t="s">
        <v>27</v>
      </c>
      <c r="G7" s="26">
        <v>35</v>
      </c>
      <c r="H7" s="27">
        <v>122110</v>
      </c>
      <c r="I7" s="28">
        <v>39310</v>
      </c>
    </row>
    <row r="8" spans="1:9" ht="15.75" x14ac:dyDescent="0.25">
      <c r="A8" s="25" t="s">
        <v>58</v>
      </c>
      <c r="B8" s="26">
        <v>40</v>
      </c>
      <c r="C8" s="27">
        <v>120120</v>
      </c>
      <c r="D8" s="28">
        <v>39620</v>
      </c>
      <c r="F8" s="25" t="s">
        <v>39</v>
      </c>
      <c r="G8" s="26">
        <v>44</v>
      </c>
      <c r="H8" s="27">
        <v>119170</v>
      </c>
      <c r="I8" s="28">
        <v>38070</v>
      </c>
    </row>
    <row r="9" spans="1:9" ht="15.75" x14ac:dyDescent="0.25">
      <c r="A9" s="25" t="s">
        <v>59</v>
      </c>
      <c r="B9" s="26">
        <v>30</v>
      </c>
      <c r="C9" s="27">
        <v>82310</v>
      </c>
      <c r="D9" s="28">
        <v>26410</v>
      </c>
      <c r="F9" s="25" t="s">
        <v>42</v>
      </c>
      <c r="G9" s="26">
        <v>27</v>
      </c>
      <c r="H9" s="27">
        <v>72510</v>
      </c>
      <c r="I9" s="28">
        <v>23610</v>
      </c>
    </row>
    <row r="10" spans="1:9" ht="15.75" x14ac:dyDescent="0.25">
      <c r="A10" s="25" t="s">
        <v>60</v>
      </c>
      <c r="B10" s="26">
        <v>45</v>
      </c>
      <c r="C10" s="27">
        <v>129550</v>
      </c>
      <c r="D10" s="28">
        <v>42450</v>
      </c>
      <c r="F10" s="25" t="s">
        <v>14</v>
      </c>
      <c r="G10" s="26">
        <v>27</v>
      </c>
      <c r="H10" s="27">
        <v>52240</v>
      </c>
      <c r="I10" s="28">
        <v>16040</v>
      </c>
    </row>
    <row r="11" spans="1:9" ht="15.75" x14ac:dyDescent="0.25">
      <c r="A11" s="25" t="s">
        <v>61</v>
      </c>
      <c r="B11" s="26">
        <v>20</v>
      </c>
      <c r="C11" s="27">
        <v>54740</v>
      </c>
      <c r="D11" s="28">
        <v>18940</v>
      </c>
      <c r="F11" s="25" t="s">
        <v>24</v>
      </c>
      <c r="G11" s="26">
        <v>33</v>
      </c>
      <c r="H11" s="27">
        <v>91240</v>
      </c>
      <c r="I11" s="28">
        <v>31140</v>
      </c>
    </row>
    <row r="12" spans="1:9" ht="15.75" x14ac:dyDescent="0.25">
      <c r="A12" s="25" t="s">
        <v>62</v>
      </c>
      <c r="B12" s="26">
        <v>64</v>
      </c>
      <c r="C12" s="27">
        <v>184810</v>
      </c>
      <c r="D12" s="28">
        <v>60310</v>
      </c>
      <c r="F12" s="25" t="s">
        <v>52</v>
      </c>
      <c r="G12" s="26">
        <v>16</v>
      </c>
      <c r="H12" s="27">
        <v>47400</v>
      </c>
      <c r="I12" s="28">
        <v>16200</v>
      </c>
    </row>
    <row r="13" spans="1:9" ht="15.75" x14ac:dyDescent="0.25">
      <c r="A13" s="25" t="s">
        <v>63</v>
      </c>
      <c r="B13" s="26">
        <v>20</v>
      </c>
      <c r="C13" s="27">
        <v>54740</v>
      </c>
      <c r="D13" s="28">
        <v>18940</v>
      </c>
      <c r="F13" s="25" t="s">
        <v>40</v>
      </c>
      <c r="G13" s="26">
        <v>20</v>
      </c>
      <c r="H13" s="27">
        <v>78840</v>
      </c>
      <c r="I13" s="28">
        <v>25740</v>
      </c>
    </row>
    <row r="14" spans="1:9" ht="15.75" x14ac:dyDescent="0.25">
      <c r="A14" s="25" t="s">
        <v>64</v>
      </c>
      <c r="B14" s="26">
        <v>36</v>
      </c>
      <c r="C14" s="27">
        <v>103650</v>
      </c>
      <c r="D14" s="28">
        <v>34750</v>
      </c>
      <c r="F14" s="25" t="s">
        <v>11</v>
      </c>
      <c r="G14" s="26">
        <v>39</v>
      </c>
      <c r="H14" s="27">
        <v>130190</v>
      </c>
      <c r="I14" s="28">
        <v>44790</v>
      </c>
    </row>
    <row r="15" spans="1:9" ht="15.75" x14ac:dyDescent="0.25">
      <c r="A15" s="25" t="s">
        <v>65</v>
      </c>
      <c r="B15" s="26">
        <v>22</v>
      </c>
      <c r="C15" s="27">
        <v>36500</v>
      </c>
      <c r="D15" s="28">
        <v>11900</v>
      </c>
      <c r="F15" s="25" t="s">
        <v>20</v>
      </c>
      <c r="G15" s="26">
        <v>20</v>
      </c>
      <c r="H15" s="27">
        <v>67820</v>
      </c>
      <c r="I15" s="28">
        <v>22020</v>
      </c>
    </row>
    <row r="16" spans="1:9" ht="16.5" thickBot="1" x14ac:dyDescent="0.3">
      <c r="A16" s="29" t="s">
        <v>66</v>
      </c>
      <c r="B16" s="26">
        <v>25</v>
      </c>
      <c r="C16" s="27">
        <v>88580</v>
      </c>
      <c r="D16" s="28">
        <v>28880</v>
      </c>
      <c r="F16" s="25" t="s">
        <v>44</v>
      </c>
      <c r="G16" s="26">
        <v>30</v>
      </c>
      <c r="H16" s="27">
        <v>60550</v>
      </c>
      <c r="I16" s="28">
        <v>21950</v>
      </c>
    </row>
    <row r="17" spans="1:9" ht="16.5" thickBot="1" x14ac:dyDescent="0.3">
      <c r="A17" s="30" t="s">
        <v>69</v>
      </c>
      <c r="B17" s="31">
        <v>352</v>
      </c>
      <c r="C17" s="32">
        <v>1008710</v>
      </c>
      <c r="D17" s="33">
        <v>332410</v>
      </c>
      <c r="F17" s="29" t="s">
        <v>35</v>
      </c>
      <c r="G17" s="26">
        <v>29</v>
      </c>
      <c r="H17" s="27">
        <v>65990</v>
      </c>
      <c r="I17" s="28">
        <v>21090</v>
      </c>
    </row>
    <row r="18" spans="1:9" ht="16.5" thickBot="1" x14ac:dyDescent="0.3">
      <c r="A18" s="13"/>
      <c r="F18" s="30" t="s">
        <v>69</v>
      </c>
      <c r="G18" s="31">
        <v>352</v>
      </c>
      <c r="H18" s="32">
        <v>1008710</v>
      </c>
      <c r="I18" s="33">
        <v>332410</v>
      </c>
    </row>
    <row r="19" spans="1:9" ht="15.75" thickBot="1" x14ac:dyDescent="0.3">
      <c r="A19" s="13"/>
      <c r="I19" s="14"/>
    </row>
    <row r="20" spans="1:9" ht="15.75" thickBot="1" x14ac:dyDescent="0.3">
      <c r="A20" s="35" t="s">
        <v>68</v>
      </c>
      <c r="B20" s="18" t="s">
        <v>79</v>
      </c>
      <c r="C20" s="19" t="s">
        <v>70</v>
      </c>
      <c r="D20" s="20" t="s">
        <v>72</v>
      </c>
      <c r="I20" s="14"/>
    </row>
    <row r="21" spans="1:9" ht="15.75" x14ac:dyDescent="0.25">
      <c r="A21" s="34" t="s">
        <v>9</v>
      </c>
      <c r="B21" s="22">
        <v>69</v>
      </c>
      <c r="C21" s="23">
        <v>414000</v>
      </c>
      <c r="D21" s="24">
        <v>138000</v>
      </c>
      <c r="I21" s="14"/>
    </row>
    <row r="22" spans="1:9" ht="15.75" x14ac:dyDescent="0.25">
      <c r="A22" s="34" t="s">
        <v>37</v>
      </c>
      <c r="B22" s="26">
        <v>1</v>
      </c>
      <c r="C22" s="27">
        <v>2180</v>
      </c>
      <c r="D22" s="28">
        <v>680</v>
      </c>
      <c r="I22" s="14"/>
    </row>
    <row r="23" spans="1:9" ht="15.75" x14ac:dyDescent="0.25">
      <c r="A23" s="34" t="s">
        <v>41</v>
      </c>
      <c r="B23" s="26">
        <v>44</v>
      </c>
      <c r="C23" s="27">
        <v>65560</v>
      </c>
      <c r="D23" s="28">
        <v>30360</v>
      </c>
      <c r="I23" s="14"/>
    </row>
    <row r="24" spans="1:9" ht="15.75" x14ac:dyDescent="0.25">
      <c r="A24" s="34" t="s">
        <v>43</v>
      </c>
      <c r="B24" s="26">
        <v>49</v>
      </c>
      <c r="C24" s="27">
        <v>205800</v>
      </c>
      <c r="D24" s="28">
        <v>58800</v>
      </c>
      <c r="I24" s="14"/>
    </row>
    <row r="25" spans="1:9" ht="15.75" x14ac:dyDescent="0.25">
      <c r="A25" s="34" t="s">
        <v>56</v>
      </c>
      <c r="B25" s="26">
        <v>3</v>
      </c>
      <c r="C25" s="27">
        <v>3300</v>
      </c>
      <c r="D25" s="28">
        <v>900</v>
      </c>
      <c r="I25" s="14"/>
    </row>
    <row r="26" spans="1:9" ht="15.75" x14ac:dyDescent="0.25">
      <c r="A26" s="34" t="s">
        <v>49</v>
      </c>
      <c r="B26" s="26">
        <v>3</v>
      </c>
      <c r="C26" s="27">
        <v>12600</v>
      </c>
      <c r="D26" s="28">
        <v>3600</v>
      </c>
      <c r="I26" s="14"/>
    </row>
    <row r="27" spans="1:9" ht="15.75" x14ac:dyDescent="0.25">
      <c r="A27" s="34" t="s">
        <v>21</v>
      </c>
      <c r="B27" s="26">
        <v>84</v>
      </c>
      <c r="C27" s="27">
        <v>183120</v>
      </c>
      <c r="D27" s="28">
        <v>57120</v>
      </c>
      <c r="I27" s="14"/>
    </row>
    <row r="28" spans="1:9" ht="15.75" x14ac:dyDescent="0.25">
      <c r="A28" s="34" t="s">
        <v>26</v>
      </c>
      <c r="B28" s="26">
        <v>46</v>
      </c>
      <c r="C28" s="27">
        <v>50600</v>
      </c>
      <c r="D28" s="28">
        <v>13800</v>
      </c>
      <c r="I28" s="14"/>
    </row>
    <row r="29" spans="1:9" ht="16.5" thickBot="1" x14ac:dyDescent="0.3">
      <c r="A29" s="34" t="s">
        <v>19</v>
      </c>
      <c r="B29" s="26">
        <v>53</v>
      </c>
      <c r="C29" s="27">
        <v>71550</v>
      </c>
      <c r="D29" s="28">
        <v>29150</v>
      </c>
      <c r="I29" s="14"/>
    </row>
    <row r="30" spans="1:9" ht="16.5" thickBot="1" x14ac:dyDescent="0.3">
      <c r="A30" s="30" t="s">
        <v>69</v>
      </c>
      <c r="B30" s="31">
        <v>352</v>
      </c>
      <c r="C30" s="32">
        <v>1008710</v>
      </c>
      <c r="D30" s="33">
        <v>332410</v>
      </c>
      <c r="I30" s="14"/>
    </row>
    <row r="31" spans="1:9" x14ac:dyDescent="0.25">
      <c r="I31" s="14"/>
    </row>
    <row r="32" spans="1:9" x14ac:dyDescent="0.25">
      <c r="I32" s="14"/>
    </row>
    <row r="33" spans="1:9" x14ac:dyDescent="0.25">
      <c r="I33" s="14"/>
    </row>
    <row r="34" spans="1:9" ht="15.75" thickBot="1" x14ac:dyDescent="0.3">
      <c r="A34" s="15"/>
      <c r="B34" s="15"/>
      <c r="C34" s="15"/>
      <c r="D34" s="15"/>
      <c r="E34" s="15"/>
      <c r="F34" s="15"/>
      <c r="G34" s="15"/>
      <c r="H34" s="15"/>
      <c r="I34" s="16"/>
    </row>
    <row r="35" spans="1:9" ht="15.75" thickBot="1" x14ac:dyDescent="0.3"/>
    <row r="36" spans="1:9" ht="28.5" customHeight="1" x14ac:dyDescent="0.25">
      <c r="A36" s="10"/>
      <c r="B36" s="11"/>
      <c r="C36" s="11"/>
      <c r="D36" s="11"/>
      <c r="E36" s="11"/>
      <c r="F36" s="11"/>
      <c r="G36" s="11"/>
      <c r="H36" s="41" t="s">
        <v>81</v>
      </c>
      <c r="I36" s="42"/>
    </row>
    <row r="37" spans="1:9" ht="28.5" customHeight="1" x14ac:dyDescent="0.25">
      <c r="A37" s="13"/>
      <c r="H37" s="43"/>
      <c r="I37" s="44"/>
    </row>
    <row r="38" spans="1:9" ht="28.5" customHeight="1" x14ac:dyDescent="0.25">
      <c r="A38" s="13"/>
      <c r="H38" s="43"/>
      <c r="I38" s="44"/>
    </row>
    <row r="39" spans="1:9" x14ac:dyDescent="0.25">
      <c r="A39" s="13"/>
      <c r="H39" s="43"/>
      <c r="I39" s="44"/>
    </row>
    <row r="40" spans="1:9" ht="15.75" thickBot="1" x14ac:dyDescent="0.3">
      <c r="A40" s="13"/>
      <c r="H40" s="45"/>
      <c r="I40" s="46"/>
    </row>
    <row r="41" spans="1:9" ht="15.75" thickBot="1" x14ac:dyDescent="0.3">
      <c r="A41" s="17" t="s">
        <v>68</v>
      </c>
      <c r="B41" s="18" t="s">
        <v>79</v>
      </c>
      <c r="C41" s="19" t="s">
        <v>70</v>
      </c>
      <c r="D41" s="20" t="s">
        <v>72</v>
      </c>
      <c r="F41" s="17" t="s">
        <v>68</v>
      </c>
      <c r="G41" s="18" t="s">
        <v>79</v>
      </c>
      <c r="H41" s="19" t="s">
        <v>70</v>
      </c>
      <c r="I41" s="20" t="s">
        <v>72</v>
      </c>
    </row>
    <row r="42" spans="1:9" ht="15.75" x14ac:dyDescent="0.25">
      <c r="A42" s="25" t="s">
        <v>22</v>
      </c>
      <c r="B42" s="22">
        <v>27</v>
      </c>
      <c r="C42" s="23">
        <v>146500</v>
      </c>
      <c r="D42" s="24">
        <v>37700</v>
      </c>
      <c r="F42" s="25" t="s">
        <v>22</v>
      </c>
      <c r="G42" s="22">
        <v>27</v>
      </c>
      <c r="H42" s="23">
        <v>146500</v>
      </c>
      <c r="I42" s="24">
        <v>37700</v>
      </c>
    </row>
    <row r="43" spans="1:9" ht="15.75" x14ac:dyDescent="0.25">
      <c r="A43" s="25" t="s">
        <v>36</v>
      </c>
      <c r="B43" s="26">
        <v>33</v>
      </c>
      <c r="C43" s="27">
        <v>201860</v>
      </c>
      <c r="D43" s="28">
        <v>79460</v>
      </c>
      <c r="F43" s="25" t="s">
        <v>36</v>
      </c>
      <c r="G43" s="26">
        <v>33</v>
      </c>
      <c r="H43" s="27">
        <v>201860</v>
      </c>
      <c r="I43" s="28">
        <v>79460</v>
      </c>
    </row>
    <row r="44" spans="1:9" ht="15.75" x14ac:dyDescent="0.25">
      <c r="A44" s="25" t="s">
        <v>46</v>
      </c>
      <c r="B44" s="26">
        <v>11</v>
      </c>
      <c r="C44" s="27">
        <v>56775</v>
      </c>
      <c r="D44" s="28">
        <v>13575</v>
      </c>
      <c r="F44" s="25" t="s">
        <v>46</v>
      </c>
      <c r="G44" s="26">
        <v>11</v>
      </c>
      <c r="H44" s="27">
        <v>56775</v>
      </c>
      <c r="I44" s="28">
        <v>13575</v>
      </c>
    </row>
    <row r="45" spans="1:9" ht="15.75" x14ac:dyDescent="0.25">
      <c r="A45" s="25" t="s">
        <v>18</v>
      </c>
      <c r="B45" s="26">
        <v>25</v>
      </c>
      <c r="C45" s="27">
        <v>64910</v>
      </c>
      <c r="D45" s="28">
        <v>21610</v>
      </c>
      <c r="F45" s="25" t="s">
        <v>18</v>
      </c>
      <c r="G45" s="26">
        <v>25</v>
      </c>
      <c r="H45" s="27">
        <v>64910</v>
      </c>
      <c r="I45" s="28">
        <v>21610</v>
      </c>
    </row>
    <row r="46" spans="1:9" ht="15.75" x14ac:dyDescent="0.25">
      <c r="A46" s="25" t="s">
        <v>15</v>
      </c>
      <c r="B46" s="26">
        <v>26</v>
      </c>
      <c r="C46" s="27">
        <v>172090</v>
      </c>
      <c r="D46" s="28">
        <v>49790</v>
      </c>
      <c r="F46" s="25" t="s">
        <v>15</v>
      </c>
      <c r="G46" s="26">
        <v>26</v>
      </c>
      <c r="H46" s="27">
        <v>172090</v>
      </c>
      <c r="I46" s="28">
        <v>49790</v>
      </c>
    </row>
    <row r="47" spans="1:9" ht="15.75" x14ac:dyDescent="0.25">
      <c r="A47" s="25" t="s">
        <v>67</v>
      </c>
      <c r="B47" s="26">
        <v>24</v>
      </c>
      <c r="C47" s="27">
        <v>64560</v>
      </c>
      <c r="D47" s="28">
        <v>22060</v>
      </c>
      <c r="F47" s="25" t="s">
        <v>67</v>
      </c>
      <c r="G47" s="26">
        <v>24</v>
      </c>
      <c r="H47" s="27">
        <v>64560</v>
      </c>
      <c r="I47" s="28">
        <v>22060</v>
      </c>
    </row>
    <row r="48" spans="1:9" ht="15.75" x14ac:dyDescent="0.25">
      <c r="A48" s="25" t="s">
        <v>38</v>
      </c>
      <c r="B48" s="26">
        <v>33</v>
      </c>
      <c r="C48" s="27">
        <v>76305</v>
      </c>
      <c r="D48" s="28">
        <v>29705</v>
      </c>
      <c r="F48" s="25" t="s">
        <v>38</v>
      </c>
      <c r="G48" s="26">
        <v>33</v>
      </c>
      <c r="H48" s="27">
        <v>76305</v>
      </c>
      <c r="I48" s="28">
        <v>29705</v>
      </c>
    </row>
    <row r="49" spans="1:9" ht="15.75" x14ac:dyDescent="0.25">
      <c r="A49" s="25" t="s">
        <v>8</v>
      </c>
      <c r="B49" s="26">
        <v>32</v>
      </c>
      <c r="C49" s="27">
        <v>148480</v>
      </c>
      <c r="D49" s="28">
        <v>45380</v>
      </c>
      <c r="F49" s="25" t="s">
        <v>8</v>
      </c>
      <c r="G49" s="26">
        <v>32</v>
      </c>
      <c r="H49" s="27">
        <v>148480</v>
      </c>
      <c r="I49" s="28">
        <v>45380</v>
      </c>
    </row>
    <row r="50" spans="1:9" ht="15.75" x14ac:dyDescent="0.25">
      <c r="A50" s="25" t="s">
        <v>30</v>
      </c>
      <c r="B50" s="26">
        <v>31</v>
      </c>
      <c r="C50" s="27">
        <v>66040</v>
      </c>
      <c r="D50" s="28">
        <v>21040</v>
      </c>
      <c r="F50" s="25" t="s">
        <v>30</v>
      </c>
      <c r="G50" s="26">
        <v>31</v>
      </c>
      <c r="H50" s="27">
        <v>66040</v>
      </c>
      <c r="I50" s="28">
        <v>21040</v>
      </c>
    </row>
    <row r="51" spans="1:9" ht="15.75" x14ac:dyDescent="0.25">
      <c r="A51" s="25" t="s">
        <v>12</v>
      </c>
      <c r="B51" s="26">
        <v>34</v>
      </c>
      <c r="C51" s="27">
        <v>181010</v>
      </c>
      <c r="D51" s="28">
        <v>55010</v>
      </c>
      <c r="F51" s="25" t="s">
        <v>12</v>
      </c>
      <c r="G51" s="26">
        <v>34</v>
      </c>
      <c r="H51" s="27">
        <v>181010</v>
      </c>
      <c r="I51" s="28">
        <v>55010</v>
      </c>
    </row>
    <row r="52" spans="1:9" ht="15.75" x14ac:dyDescent="0.25">
      <c r="A52" s="25" t="s">
        <v>33</v>
      </c>
      <c r="B52" s="26">
        <v>14</v>
      </c>
      <c r="C52" s="27">
        <v>45810</v>
      </c>
      <c r="D52" s="28">
        <v>19010</v>
      </c>
      <c r="F52" s="25" t="s">
        <v>33</v>
      </c>
      <c r="G52" s="26">
        <v>14</v>
      </c>
      <c r="H52" s="27">
        <v>45810</v>
      </c>
      <c r="I52" s="28">
        <v>19010</v>
      </c>
    </row>
    <row r="53" spans="1:9" ht="16.5" thickBot="1" x14ac:dyDescent="0.3">
      <c r="A53" s="29" t="s">
        <v>48</v>
      </c>
      <c r="B53" s="26">
        <v>14</v>
      </c>
      <c r="C53" s="27">
        <v>49950</v>
      </c>
      <c r="D53" s="28">
        <v>12750</v>
      </c>
      <c r="F53" s="29" t="s">
        <v>48</v>
      </c>
      <c r="G53" s="26">
        <v>14</v>
      </c>
      <c r="H53" s="27">
        <v>49950</v>
      </c>
      <c r="I53" s="28">
        <v>12750</v>
      </c>
    </row>
    <row r="54" spans="1:9" ht="16.5" thickBot="1" x14ac:dyDescent="0.3">
      <c r="A54" s="30" t="s">
        <v>69</v>
      </c>
      <c r="B54" s="31">
        <v>304</v>
      </c>
      <c r="C54" s="32">
        <v>1274290</v>
      </c>
      <c r="D54" s="33">
        <v>407090</v>
      </c>
      <c r="F54" s="30" t="s">
        <v>69</v>
      </c>
      <c r="G54" s="31">
        <v>304</v>
      </c>
      <c r="H54" s="32">
        <v>1274290</v>
      </c>
      <c r="I54" s="33">
        <v>407090</v>
      </c>
    </row>
    <row r="55" spans="1:9" ht="15.75" thickBot="1" x14ac:dyDescent="0.3">
      <c r="A55" s="13"/>
      <c r="I55" s="14"/>
    </row>
    <row r="56" spans="1:9" ht="15.75" thickBot="1" x14ac:dyDescent="0.3">
      <c r="A56" s="17" t="s">
        <v>68</v>
      </c>
      <c r="B56" s="18" t="s">
        <v>79</v>
      </c>
      <c r="C56" s="19" t="s">
        <v>70</v>
      </c>
      <c r="D56" s="20" t="s">
        <v>72</v>
      </c>
      <c r="I56" s="14"/>
    </row>
    <row r="57" spans="1:9" ht="15.75" x14ac:dyDescent="0.25">
      <c r="A57" s="25" t="s">
        <v>9</v>
      </c>
      <c r="B57" s="22">
        <v>21</v>
      </c>
      <c r="C57" s="23">
        <v>126000</v>
      </c>
      <c r="D57" s="24">
        <v>42000</v>
      </c>
      <c r="I57" s="14"/>
    </row>
    <row r="58" spans="1:9" ht="15.75" x14ac:dyDescent="0.25">
      <c r="A58" s="25" t="s">
        <v>54</v>
      </c>
      <c r="B58" s="26">
        <v>2</v>
      </c>
      <c r="C58" s="27">
        <v>10600</v>
      </c>
      <c r="D58" s="28">
        <v>2600</v>
      </c>
      <c r="I58" s="14"/>
    </row>
    <row r="59" spans="1:9" ht="15.75" x14ac:dyDescent="0.25">
      <c r="A59" s="25" t="s">
        <v>37</v>
      </c>
      <c r="B59" s="26">
        <v>17</v>
      </c>
      <c r="C59" s="27">
        <v>180030</v>
      </c>
      <c r="D59" s="28">
        <v>78030</v>
      </c>
      <c r="I59" s="14"/>
    </row>
    <row r="60" spans="1:9" ht="15.75" x14ac:dyDescent="0.25">
      <c r="A60" s="25" t="s">
        <v>16</v>
      </c>
      <c r="B60" s="26">
        <v>6</v>
      </c>
      <c r="C60" s="27">
        <v>50700</v>
      </c>
      <c r="D60" s="28">
        <v>14700</v>
      </c>
      <c r="I60" s="14"/>
    </row>
    <row r="61" spans="1:9" ht="15.75" x14ac:dyDescent="0.25">
      <c r="A61" s="25" t="s">
        <v>53</v>
      </c>
      <c r="B61" s="26">
        <v>6</v>
      </c>
      <c r="C61" s="27">
        <v>45180</v>
      </c>
      <c r="D61" s="28">
        <v>9180</v>
      </c>
      <c r="I61" s="14"/>
    </row>
    <row r="62" spans="1:9" ht="15.75" x14ac:dyDescent="0.25">
      <c r="A62" s="25" t="s">
        <v>34</v>
      </c>
      <c r="B62" s="26">
        <v>15</v>
      </c>
      <c r="C62" s="27">
        <v>120000</v>
      </c>
      <c r="D62" s="28">
        <v>30000</v>
      </c>
      <c r="I62" s="14"/>
    </row>
    <row r="63" spans="1:9" ht="15.75" x14ac:dyDescent="0.25">
      <c r="A63" s="25" t="s">
        <v>23</v>
      </c>
      <c r="B63" s="26">
        <v>20</v>
      </c>
      <c r="C63" s="27">
        <v>152000</v>
      </c>
      <c r="D63" s="28">
        <v>32000</v>
      </c>
      <c r="I63" s="14"/>
    </row>
    <row r="64" spans="1:9" ht="15.75" x14ac:dyDescent="0.25">
      <c r="A64" s="25" t="s">
        <v>41</v>
      </c>
      <c r="B64" s="26">
        <v>19</v>
      </c>
      <c r="C64" s="27">
        <v>28310</v>
      </c>
      <c r="D64" s="28">
        <v>13110</v>
      </c>
      <c r="I64" s="14"/>
    </row>
    <row r="65" spans="1:9" ht="15.75" x14ac:dyDescent="0.25">
      <c r="A65" s="25" t="s">
        <v>55</v>
      </c>
      <c r="B65" s="26">
        <v>2</v>
      </c>
      <c r="C65" s="27">
        <v>3000</v>
      </c>
      <c r="D65" s="28">
        <v>1400</v>
      </c>
      <c r="I65" s="14"/>
    </row>
    <row r="66" spans="1:9" ht="15.75" x14ac:dyDescent="0.25">
      <c r="A66" s="25" t="s">
        <v>45</v>
      </c>
      <c r="B66" s="26">
        <v>8</v>
      </c>
      <c r="C66" s="27">
        <v>46200</v>
      </c>
      <c r="D66" s="28">
        <v>14200</v>
      </c>
      <c r="I66" s="14"/>
    </row>
    <row r="67" spans="1:9" ht="15.75" x14ac:dyDescent="0.25">
      <c r="A67" s="25" t="s">
        <v>25</v>
      </c>
      <c r="B67" s="26">
        <v>35</v>
      </c>
      <c r="C67" s="27">
        <v>253750</v>
      </c>
      <c r="D67" s="28">
        <v>78750</v>
      </c>
      <c r="I67" s="14"/>
    </row>
    <row r="68" spans="1:9" ht="15.75" x14ac:dyDescent="0.25">
      <c r="A68" s="25" t="s">
        <v>43</v>
      </c>
      <c r="B68" s="26">
        <v>13</v>
      </c>
      <c r="C68" s="27">
        <v>54600</v>
      </c>
      <c r="D68" s="28">
        <v>15600</v>
      </c>
      <c r="I68" s="14"/>
    </row>
    <row r="69" spans="1:9" ht="15.75" x14ac:dyDescent="0.25">
      <c r="A69" s="25" t="s">
        <v>49</v>
      </c>
      <c r="B69" s="26">
        <v>2</v>
      </c>
      <c r="C69" s="27">
        <v>5800</v>
      </c>
      <c r="D69" s="28">
        <v>1800</v>
      </c>
      <c r="I69" s="14"/>
    </row>
    <row r="70" spans="1:9" ht="15.75" x14ac:dyDescent="0.25">
      <c r="A70" s="25" t="s">
        <v>21</v>
      </c>
      <c r="B70" s="26">
        <v>20</v>
      </c>
      <c r="C70" s="27">
        <v>43600</v>
      </c>
      <c r="D70" s="28">
        <v>13600</v>
      </c>
      <c r="I70" s="14"/>
    </row>
    <row r="71" spans="1:9" ht="15.75" x14ac:dyDescent="0.25">
      <c r="A71" s="25" t="s">
        <v>13</v>
      </c>
      <c r="B71" s="26">
        <v>25</v>
      </c>
      <c r="C71" s="27">
        <v>35000</v>
      </c>
      <c r="D71" s="28">
        <v>15000</v>
      </c>
      <c r="I71" s="14"/>
    </row>
    <row r="72" spans="1:9" ht="15.75" x14ac:dyDescent="0.25">
      <c r="A72" s="25" t="s">
        <v>31</v>
      </c>
      <c r="B72" s="26">
        <v>15</v>
      </c>
      <c r="C72" s="27">
        <v>27000</v>
      </c>
      <c r="D72" s="28">
        <v>15000</v>
      </c>
      <c r="I72" s="14"/>
    </row>
    <row r="73" spans="1:9" ht="15.75" x14ac:dyDescent="0.25">
      <c r="A73" s="25" t="s">
        <v>26</v>
      </c>
      <c r="B73" s="26">
        <v>20</v>
      </c>
      <c r="C73" s="27">
        <v>22000</v>
      </c>
      <c r="D73" s="28">
        <v>6000</v>
      </c>
      <c r="I73" s="14"/>
    </row>
    <row r="74" spans="1:9" ht="15.75" x14ac:dyDescent="0.25">
      <c r="A74" s="25" t="s">
        <v>50</v>
      </c>
      <c r="B74" s="26">
        <v>2</v>
      </c>
      <c r="C74" s="27">
        <v>2500</v>
      </c>
      <c r="D74" s="28">
        <v>900</v>
      </c>
      <c r="I74" s="14"/>
    </row>
    <row r="75" spans="1:9" ht="15.75" x14ac:dyDescent="0.25">
      <c r="A75" s="25" t="s">
        <v>28</v>
      </c>
      <c r="B75" s="26">
        <v>22</v>
      </c>
      <c r="C75" s="27">
        <v>26400</v>
      </c>
      <c r="D75" s="28">
        <v>8800</v>
      </c>
      <c r="I75" s="14"/>
    </row>
    <row r="76" spans="1:9" ht="15.75" x14ac:dyDescent="0.25">
      <c r="A76" s="25" t="s">
        <v>32</v>
      </c>
      <c r="B76" s="26">
        <v>13</v>
      </c>
      <c r="C76" s="27">
        <v>14170</v>
      </c>
      <c r="D76" s="28">
        <v>3770</v>
      </c>
      <c r="I76" s="14"/>
    </row>
    <row r="77" spans="1:9" ht="15.75" x14ac:dyDescent="0.25">
      <c r="A77" s="25" t="s">
        <v>51</v>
      </c>
      <c r="B77" s="26">
        <v>6</v>
      </c>
      <c r="C77" s="27">
        <v>7200</v>
      </c>
      <c r="D77" s="28">
        <v>2400</v>
      </c>
      <c r="I77" s="14"/>
    </row>
    <row r="78" spans="1:9" ht="16.5" thickBot="1" x14ac:dyDescent="0.3">
      <c r="A78" s="29" t="s">
        <v>19</v>
      </c>
      <c r="B78" s="26">
        <v>15</v>
      </c>
      <c r="C78" s="27">
        <v>20250</v>
      </c>
      <c r="D78" s="28">
        <v>8250</v>
      </c>
      <c r="I78" s="14"/>
    </row>
    <row r="79" spans="1:9" ht="16.5" thickBot="1" x14ac:dyDescent="0.3">
      <c r="A79" s="30" t="s">
        <v>69</v>
      </c>
      <c r="B79" s="31">
        <v>304</v>
      </c>
      <c r="C79" s="32">
        <v>1274290</v>
      </c>
      <c r="D79" s="33">
        <v>407090</v>
      </c>
      <c r="I79" s="14"/>
    </row>
    <row r="80" spans="1:9" x14ac:dyDescent="0.25">
      <c r="I80" s="14"/>
    </row>
    <row r="81" spans="1:9" ht="15.75" thickBot="1" x14ac:dyDescent="0.3">
      <c r="A81" s="36"/>
      <c r="B81" s="15"/>
      <c r="C81" s="15"/>
      <c r="D81" s="15"/>
      <c r="E81" s="15"/>
      <c r="F81" s="15"/>
      <c r="G81" s="15"/>
      <c r="H81" s="15"/>
      <c r="I81" s="16"/>
    </row>
  </sheetData>
  <mergeCells count="2">
    <mergeCell ref="H1:I3"/>
    <mergeCell ref="H36:I40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3417-1F59-4AA6-B369-D45F9FC75443}">
  <dimension ref="A1:A35"/>
  <sheetViews>
    <sheetView tabSelected="1" zoomScale="55" zoomScaleNormal="55" workbookViewId="0">
      <selection activeCell="H36" sqref="A36:XFD36"/>
    </sheetView>
  </sheetViews>
  <sheetFormatPr defaultColWidth="0" defaultRowHeight="15" zeroHeight="1" x14ac:dyDescent="0.25"/>
  <cols>
    <col min="1" max="24" width="9.140625" customWidth="1"/>
    <col min="25" max="25" width="11" customWidth="1"/>
    <col min="26" max="26" width="0.42578125" customWidth="1"/>
    <col min="27" max="16384" width="9.140625" hidden="1"/>
  </cols>
  <sheetData>
    <row r="1" customFormat="1" x14ac:dyDescent="0.25"/>
    <row r="2" customFormat="1" x14ac:dyDescent="0.25"/>
    <row r="3" customFormat="1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5A89-44A3-440C-8BCB-FB390533A353}">
  <dimension ref="A1:A38"/>
  <sheetViews>
    <sheetView zoomScale="55" zoomScaleNormal="55" workbookViewId="0"/>
  </sheetViews>
  <sheetFormatPr defaultColWidth="0" defaultRowHeight="15" zeroHeight="1" x14ac:dyDescent="0.25"/>
  <cols>
    <col min="1" max="1" width="16.28515625" bestFit="1" customWidth="1"/>
    <col min="2" max="2" width="17.28515625" bestFit="1" customWidth="1"/>
    <col min="3" max="3" width="27.28515625" bestFit="1" customWidth="1"/>
    <col min="4" max="4" width="21.5703125" bestFit="1" customWidth="1"/>
    <col min="5" max="6" width="9.140625" customWidth="1"/>
    <col min="7" max="7" width="17.28515625" bestFit="1" customWidth="1"/>
    <col min="8" max="8" width="27.28515625" bestFit="1" customWidth="1"/>
    <col min="9" max="9" width="21.5703125" bestFit="1" customWidth="1"/>
    <col min="10" max="10" width="9.140625" customWidth="1"/>
    <col min="11" max="16384" width="9.1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F161-B3AF-457F-9C1E-A338E2463564}">
  <dimension ref="A1:N17"/>
  <sheetViews>
    <sheetView zoomScale="85" zoomScaleNormal="85" workbookViewId="0">
      <selection activeCell="I2" sqref="I2"/>
    </sheetView>
  </sheetViews>
  <sheetFormatPr defaultRowHeight="15" x14ac:dyDescent="0.25"/>
  <cols>
    <col min="1" max="1" width="16.28515625" bestFit="1" customWidth="1"/>
    <col min="2" max="2" width="17.28515625" bestFit="1" customWidth="1"/>
    <col min="3" max="3" width="27.28515625" bestFit="1" customWidth="1"/>
    <col min="4" max="4" width="21.5703125" bestFit="1" customWidth="1"/>
    <col min="5" max="5" width="2.28515625" customWidth="1"/>
    <col min="7" max="7" width="17.28515625" bestFit="1" customWidth="1"/>
    <col min="8" max="8" width="27.28515625" bestFit="1" customWidth="1"/>
    <col min="9" max="9" width="21.5703125" bestFit="1" customWidth="1"/>
    <col min="10" max="10" width="2.85546875" customWidth="1"/>
    <col min="11" max="11" width="24" bestFit="1" customWidth="1"/>
    <col min="12" max="12" width="17.28515625" bestFit="1" customWidth="1"/>
    <col min="13" max="13" width="27.28515625" bestFit="1" customWidth="1"/>
    <col min="14" max="14" width="21.5703125" bestFit="1" customWidth="1"/>
  </cols>
  <sheetData>
    <row r="1" spans="1:14" x14ac:dyDescent="0.25">
      <c r="B1" t="str">
        <f>INDEX($A$3:$B$1048576,MATCH($B$2,$B$3:$B$1048576,0),1)</f>
        <v>Diyarbakır</v>
      </c>
      <c r="C1" t="str">
        <f>INDEX($A$3:$C$1048576,MATCH($C$2,$C$3:$C$1048576,0),1)</f>
        <v>Diyarbakır</v>
      </c>
      <c r="D1" t="str">
        <f>INDEX($A$3:$D$1048576,MATCH($D$2,$D$3:$D$1048576,0),1)</f>
        <v>Diyarbakır</v>
      </c>
      <c r="G1" t="str">
        <f>INDEX($F$3:$G$1048576,MATCH($G$2,$G$3:$G$1048576,0),1)</f>
        <v>Ağustos</v>
      </c>
      <c r="I1" t="str">
        <f>INDEX($F$3:$I$1048576,MATCH($I$2,$I$3:$I$1048576,0),1)</f>
        <v>Ağustos</v>
      </c>
      <c r="L1" t="str">
        <f>INDEX($K$3:$L$1048576,MATCH($L$2,$L$3:$L$1048576,0),1)</f>
        <v>Kahve Makinesi Y Marka</v>
      </c>
      <c r="N1" t="str">
        <f>INDEX($K$3:$N$1048576,MATCH($N$2,$N$3:$N$1048576,0),1)</f>
        <v>Derin Dondurucu Gri</v>
      </c>
    </row>
    <row r="2" spans="1:14" x14ac:dyDescent="0.25">
      <c r="B2">
        <f>LARGE(B$3:B$1048576,2)</f>
        <v>71</v>
      </c>
      <c r="C2" s="58">
        <f>LARGE(C$3:C$1048576,2)</f>
        <v>289010</v>
      </c>
      <c r="D2" s="58">
        <f>LARGE(D$3:D$1048576,2)</f>
        <v>86010</v>
      </c>
      <c r="G2">
        <f>LARGE(G$3:G$1048576,2)</f>
        <v>97</v>
      </c>
      <c r="I2" s="58">
        <f>LARGE(I$3:I$1048576,2)</f>
        <v>111930</v>
      </c>
      <c r="L2">
        <f>LARGE(L$3:L$1048576,2)</f>
        <v>116</v>
      </c>
      <c r="N2" s="58">
        <f>LARGE(N$3:N$1048576,2)</f>
        <v>256500</v>
      </c>
    </row>
    <row r="3" spans="1:14" x14ac:dyDescent="0.25">
      <c r="A3" s="55" t="s">
        <v>68</v>
      </c>
      <c r="B3" t="s">
        <v>79</v>
      </c>
      <c r="C3" t="s">
        <v>70</v>
      </c>
      <c r="D3" t="s">
        <v>72</v>
      </c>
      <c r="F3" s="55" t="s">
        <v>68</v>
      </c>
      <c r="G3" t="s">
        <v>79</v>
      </c>
      <c r="H3" t="s">
        <v>70</v>
      </c>
      <c r="I3" t="s">
        <v>72</v>
      </c>
      <c r="K3" s="55" t="s">
        <v>68</v>
      </c>
      <c r="L3" t="s">
        <v>79</v>
      </c>
      <c r="M3" t="s">
        <v>70</v>
      </c>
      <c r="N3" t="s">
        <v>72</v>
      </c>
    </row>
    <row r="4" spans="1:14" x14ac:dyDescent="0.25">
      <c r="A4" s="56" t="s">
        <v>42</v>
      </c>
      <c r="B4" s="57">
        <v>71</v>
      </c>
      <c r="C4" s="58">
        <v>289010</v>
      </c>
      <c r="D4" s="58">
        <v>86010</v>
      </c>
      <c r="F4" s="56" t="s">
        <v>62</v>
      </c>
      <c r="G4" s="57">
        <v>97</v>
      </c>
      <c r="H4" s="58">
        <v>391730</v>
      </c>
      <c r="I4" s="58">
        <v>111930</v>
      </c>
      <c r="K4" s="56" t="s">
        <v>34</v>
      </c>
      <c r="L4" s="57">
        <v>53</v>
      </c>
      <c r="M4" s="58">
        <v>424000</v>
      </c>
      <c r="N4" s="58">
        <v>106000</v>
      </c>
    </row>
    <row r="5" spans="1:14" x14ac:dyDescent="0.25">
      <c r="A5" s="56" t="s">
        <v>39</v>
      </c>
      <c r="B5" s="57">
        <v>51</v>
      </c>
      <c r="C5" s="58">
        <v>216860</v>
      </c>
      <c r="D5" s="58">
        <v>61660</v>
      </c>
      <c r="F5" s="56" t="s">
        <v>59</v>
      </c>
      <c r="G5" s="57">
        <v>71</v>
      </c>
      <c r="H5" s="58">
        <v>296840</v>
      </c>
      <c r="I5" s="58">
        <v>84840</v>
      </c>
      <c r="K5" s="56" t="s">
        <v>23</v>
      </c>
      <c r="L5" s="57">
        <v>45</v>
      </c>
      <c r="M5" s="58">
        <v>342000</v>
      </c>
      <c r="N5" s="58">
        <v>72000</v>
      </c>
    </row>
    <row r="6" spans="1:14" x14ac:dyDescent="0.25">
      <c r="A6" s="56" t="s">
        <v>29</v>
      </c>
      <c r="B6" s="57">
        <v>48</v>
      </c>
      <c r="C6" s="58">
        <v>235680</v>
      </c>
      <c r="D6" s="58">
        <v>61480</v>
      </c>
      <c r="F6" s="56" t="s">
        <v>60</v>
      </c>
      <c r="G6" s="57">
        <v>63</v>
      </c>
      <c r="H6" s="58">
        <v>267750</v>
      </c>
      <c r="I6" s="58">
        <v>76550</v>
      </c>
      <c r="K6" s="56" t="s">
        <v>25</v>
      </c>
      <c r="L6" s="57">
        <v>114</v>
      </c>
      <c r="M6" s="58">
        <v>826500</v>
      </c>
      <c r="N6" s="58">
        <v>256500</v>
      </c>
    </row>
    <row r="7" spans="1:14" x14ac:dyDescent="0.25">
      <c r="A7" s="56" t="s">
        <v>35</v>
      </c>
      <c r="B7" s="57">
        <v>45</v>
      </c>
      <c r="C7" s="58">
        <v>208980</v>
      </c>
      <c r="D7" s="58">
        <v>60980</v>
      </c>
      <c r="F7" s="56" t="s">
        <v>65</v>
      </c>
      <c r="G7" s="57">
        <v>51</v>
      </c>
      <c r="H7" s="58">
        <v>201310</v>
      </c>
      <c r="I7" s="58">
        <v>59310</v>
      </c>
      <c r="K7" s="56" t="s">
        <v>43</v>
      </c>
      <c r="L7" s="57">
        <v>40</v>
      </c>
      <c r="M7" s="58">
        <v>168000</v>
      </c>
      <c r="N7" s="58">
        <v>48000</v>
      </c>
    </row>
    <row r="8" spans="1:14" x14ac:dyDescent="0.25">
      <c r="A8" s="56" t="s">
        <v>11</v>
      </c>
      <c r="B8" s="57">
        <v>36</v>
      </c>
      <c r="C8" s="58">
        <v>174900</v>
      </c>
      <c r="D8" s="58">
        <v>52700</v>
      </c>
      <c r="F8" s="56" t="s">
        <v>66</v>
      </c>
      <c r="G8" s="57">
        <v>43</v>
      </c>
      <c r="H8" s="58">
        <v>194780</v>
      </c>
      <c r="I8" s="58">
        <v>57380</v>
      </c>
      <c r="K8" s="56" t="s">
        <v>49</v>
      </c>
      <c r="L8" s="57">
        <v>2</v>
      </c>
      <c r="M8" s="58">
        <v>2400</v>
      </c>
      <c r="N8" s="58">
        <v>800</v>
      </c>
    </row>
    <row r="9" spans="1:14" x14ac:dyDescent="0.25">
      <c r="A9" s="56" t="s">
        <v>44</v>
      </c>
      <c r="B9" s="57">
        <v>42</v>
      </c>
      <c r="C9" s="58">
        <v>174620</v>
      </c>
      <c r="D9" s="58">
        <v>49520</v>
      </c>
      <c r="F9" s="56" t="s">
        <v>58</v>
      </c>
      <c r="G9" s="57">
        <v>47</v>
      </c>
      <c r="H9" s="58">
        <v>193950</v>
      </c>
      <c r="I9" s="58">
        <v>54250</v>
      </c>
      <c r="K9" s="56" t="s">
        <v>21</v>
      </c>
      <c r="L9" s="57">
        <v>116</v>
      </c>
      <c r="M9" s="58">
        <v>252880</v>
      </c>
      <c r="N9" s="58">
        <v>78880</v>
      </c>
    </row>
    <row r="10" spans="1:14" x14ac:dyDescent="0.25">
      <c r="A10" s="56" t="s">
        <v>52</v>
      </c>
      <c r="B10" s="57">
        <v>39</v>
      </c>
      <c r="C10" s="58">
        <v>162350</v>
      </c>
      <c r="D10" s="58">
        <v>48050</v>
      </c>
      <c r="F10" s="56" t="s">
        <v>64</v>
      </c>
      <c r="G10" s="57">
        <v>46</v>
      </c>
      <c r="H10" s="58">
        <v>193180</v>
      </c>
      <c r="I10" s="58">
        <v>53580</v>
      </c>
      <c r="K10" s="56" t="s">
        <v>13</v>
      </c>
      <c r="L10" s="57">
        <v>53</v>
      </c>
      <c r="M10" s="58">
        <v>74200</v>
      </c>
      <c r="N10" s="58">
        <v>31800</v>
      </c>
    </row>
    <row r="11" spans="1:14" x14ac:dyDescent="0.25">
      <c r="A11" s="56" t="s">
        <v>24</v>
      </c>
      <c r="B11" s="57">
        <v>44</v>
      </c>
      <c r="C11" s="58">
        <v>175570</v>
      </c>
      <c r="D11" s="58">
        <v>47170</v>
      </c>
      <c r="F11" s="56" t="s">
        <v>63</v>
      </c>
      <c r="G11" s="57">
        <v>44</v>
      </c>
      <c r="H11" s="58">
        <v>148300</v>
      </c>
      <c r="I11" s="58">
        <v>48000</v>
      </c>
      <c r="K11" s="56" t="s">
        <v>50</v>
      </c>
      <c r="L11" s="57">
        <v>39</v>
      </c>
      <c r="M11" s="58">
        <v>48750</v>
      </c>
      <c r="N11" s="58">
        <v>17550</v>
      </c>
    </row>
    <row r="12" spans="1:14" x14ac:dyDescent="0.25">
      <c r="A12" s="56" t="s">
        <v>17</v>
      </c>
      <c r="B12" s="57">
        <v>46</v>
      </c>
      <c r="C12" s="58">
        <v>160820</v>
      </c>
      <c r="D12" s="58">
        <v>45720</v>
      </c>
      <c r="F12" s="56" t="s">
        <v>10</v>
      </c>
      <c r="G12" s="57">
        <v>27</v>
      </c>
      <c r="H12" s="58">
        <v>146500</v>
      </c>
      <c r="I12" s="58">
        <v>37700</v>
      </c>
      <c r="K12" s="56" t="s">
        <v>28</v>
      </c>
      <c r="L12" s="57">
        <v>43</v>
      </c>
      <c r="M12" s="58">
        <v>51600</v>
      </c>
      <c r="N12" s="58">
        <v>17200</v>
      </c>
    </row>
    <row r="13" spans="1:14" x14ac:dyDescent="0.25">
      <c r="A13" s="56" t="s">
        <v>14</v>
      </c>
      <c r="B13" s="57">
        <v>39</v>
      </c>
      <c r="C13" s="58">
        <v>124690</v>
      </c>
      <c r="D13" s="58">
        <v>38690</v>
      </c>
      <c r="F13" s="56" t="s">
        <v>61</v>
      </c>
      <c r="G13" s="57">
        <v>33</v>
      </c>
      <c r="H13" s="58">
        <v>111870</v>
      </c>
      <c r="I13" s="58">
        <v>36470</v>
      </c>
      <c r="K13" s="56" t="s">
        <v>19</v>
      </c>
      <c r="L13" s="57">
        <v>48</v>
      </c>
      <c r="M13" s="58">
        <v>64800</v>
      </c>
      <c r="N13" s="58">
        <v>26400</v>
      </c>
    </row>
    <row r="14" spans="1:14" x14ac:dyDescent="0.25">
      <c r="A14" s="56" t="s">
        <v>40</v>
      </c>
      <c r="B14" s="57">
        <v>45</v>
      </c>
      <c r="C14" s="58">
        <v>114320</v>
      </c>
      <c r="D14" s="58">
        <v>36820</v>
      </c>
      <c r="F14" s="56" t="s">
        <v>47</v>
      </c>
      <c r="G14" s="57">
        <v>21</v>
      </c>
      <c r="H14" s="58">
        <v>56700</v>
      </c>
      <c r="I14" s="58">
        <v>18900</v>
      </c>
      <c r="K14" s="56" t="s">
        <v>69</v>
      </c>
      <c r="L14" s="57">
        <v>553</v>
      </c>
      <c r="M14" s="58">
        <v>2255130</v>
      </c>
      <c r="N14" s="58">
        <v>655130</v>
      </c>
    </row>
    <row r="15" spans="1:14" x14ac:dyDescent="0.25">
      <c r="A15" s="56" t="s">
        <v>27</v>
      </c>
      <c r="B15" s="57">
        <v>22</v>
      </c>
      <c r="C15" s="58">
        <v>119030</v>
      </c>
      <c r="D15" s="58">
        <v>35730</v>
      </c>
      <c r="F15" s="56" t="s">
        <v>57</v>
      </c>
      <c r="G15" s="57">
        <v>10</v>
      </c>
      <c r="H15" s="58">
        <v>52220</v>
      </c>
      <c r="I15" s="58">
        <v>16220</v>
      </c>
    </row>
    <row r="16" spans="1:14" x14ac:dyDescent="0.25">
      <c r="A16" s="56" t="s">
        <v>20</v>
      </c>
      <c r="B16" s="57">
        <v>25</v>
      </c>
      <c r="C16" s="58">
        <v>98300</v>
      </c>
      <c r="D16" s="58">
        <v>30600</v>
      </c>
      <c r="F16" s="56" t="s">
        <v>69</v>
      </c>
      <c r="G16" s="57">
        <v>553</v>
      </c>
      <c r="H16" s="58">
        <v>2255130</v>
      </c>
      <c r="I16" s="58">
        <v>655130</v>
      </c>
    </row>
    <row r="17" spans="1:4" x14ac:dyDescent="0.25">
      <c r="A17" s="56" t="s">
        <v>69</v>
      </c>
      <c r="B17" s="57">
        <v>553</v>
      </c>
      <c r="C17" s="58">
        <v>2255130</v>
      </c>
      <c r="D17" s="58">
        <v>655130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B7B1-6F76-4444-88F3-B1172FF4F826}">
  <dimension ref="A1:P3190"/>
  <sheetViews>
    <sheetView topLeftCell="D1" workbookViewId="0">
      <selection activeCell="O4" sqref="O4:P15"/>
    </sheetView>
  </sheetViews>
  <sheetFormatPr defaultRowHeight="15" x14ac:dyDescent="0.25"/>
  <cols>
    <col min="1" max="1" width="29.42578125" bestFit="1" customWidth="1"/>
    <col min="2" max="2" width="13.140625" bestFit="1" customWidth="1"/>
    <col min="3" max="3" width="14.5703125" bestFit="1" customWidth="1"/>
    <col min="4" max="4" width="12" bestFit="1" customWidth="1"/>
    <col min="5" max="5" width="12.42578125" customWidth="1"/>
    <col min="6" max="6" width="10.42578125" bestFit="1" customWidth="1"/>
    <col min="7" max="7" width="10.140625" bestFit="1" customWidth="1"/>
    <col min="8" max="8" width="10.42578125" bestFit="1" customWidth="1"/>
    <col min="9" max="9" width="34.28515625" bestFit="1" customWidth="1"/>
    <col min="10" max="10" width="12" bestFit="1" customWidth="1"/>
    <col min="11" max="11" width="25.5703125" bestFit="1" customWidth="1"/>
    <col min="12" max="12" width="12" bestFit="1" customWidth="1"/>
    <col min="14" max="14" width="12" bestFit="1" customWidth="1"/>
    <col min="16" max="16" width="12" bestFit="1" customWidth="1"/>
  </cols>
  <sheetData>
    <row r="1" spans="1:16" x14ac:dyDescent="0.25">
      <c r="A1" s="10" t="s">
        <v>82</v>
      </c>
      <c r="B1" s="11"/>
      <c r="C1" s="11"/>
      <c r="D1" s="12"/>
      <c r="E1" s="10" t="s">
        <v>83</v>
      </c>
      <c r="H1" s="14"/>
      <c r="I1" s="10" t="s">
        <v>84</v>
      </c>
      <c r="L1" s="14"/>
      <c r="M1" s="10" t="s">
        <v>85</v>
      </c>
    </row>
    <row r="2" spans="1:16" x14ac:dyDescent="0.25">
      <c r="A2" s="13" t="str" cm="1">
        <f t="array" ref="A2:A13">_xlfn.UNIQUE(_xlfn._TRO_TRAILING('Veri Seti'!A2:A1048576))</f>
        <v>Özgür Ertekin</v>
      </c>
      <c r="B2" s="9" cm="1">
        <f t="array" ref="B2">SUMPRODUCT((Tablo3[Personel Ad]=A2)*(Tablo3[Ürün Kar Tutarı]))</f>
        <v>833410</v>
      </c>
      <c r="C2" s="39" t="str">
        <f>INDEX($A:$B,MATCH($D2,$B:$B,0),1)</f>
        <v>Bedriye Vural</v>
      </c>
      <c r="D2" s="37">
        <f>MAX($B:$B)</f>
        <v>1098330</v>
      </c>
      <c r="E2" s="13" t="str" cm="1">
        <f t="array" ref="E2:E14">_xlfn.UNIQUE(_xlfn._TRO_TRAILING('Veri Seti'!H2:H1048576))</f>
        <v>Kocaeli</v>
      </c>
      <c r="F2" s="9" cm="1">
        <f t="array" ref="F2">SUMPRODUCT((Tablo3[Şehirler]=E2)*(Tablo3[Ürün Kar Tutarı]))</f>
        <v>683740</v>
      </c>
      <c r="G2" t="str">
        <f>INDEX($E:$F,MATCH($H2,$F:$F,0),1)</f>
        <v>Adana</v>
      </c>
      <c r="H2" s="37">
        <f>MAX($F:$F)</f>
        <v>808240</v>
      </c>
      <c r="I2" s="13" t="str" cm="1">
        <f t="array" ref="I2:I24">_xlfn.UNIQUE(_xlfn._TRO_TRAILING('Veri Seti'!B2:B1048576))</f>
        <v>Bulaşık Makinesi Beyaz</v>
      </c>
      <c r="J2" s="9" cm="1">
        <f t="array" ref="J2">SUMPRODUCT((Tablo3[Urun Ad]=I2)*(Tablo3[Ürün Kar Tutarı]))</f>
        <v>800000</v>
      </c>
      <c r="K2" t="str">
        <f>INDEX($I:$J,MATCH($L2,$J:$J,0),1)</f>
        <v>Derin Dondurucu Gri</v>
      </c>
      <c r="L2" s="37">
        <f>MAX($J:$J)</f>
        <v>1374750</v>
      </c>
      <c r="M2" t="s">
        <v>10</v>
      </c>
      <c r="N2" s="9" cm="1">
        <f t="array" ref="N2">SUMPRODUCT((Tablo3[Ay]=M2)*(Tablo3[Ürün Kar Tutarı]))</f>
        <v>407090</v>
      </c>
      <c r="O2" t="str">
        <f>INDEX($M2:$N13,MATCH($P2,$N2:$N13,0),1)</f>
        <v>Ağustos</v>
      </c>
      <c r="P2" s="9">
        <f>MAX($N2:$N13)</f>
        <v>1471900</v>
      </c>
    </row>
    <row r="3" spans="1:16" x14ac:dyDescent="0.25">
      <c r="A3" s="13" t="str">
        <v>Serdal Yücel</v>
      </c>
      <c r="B3" s="9" cm="1">
        <f t="array" ref="B3">SUMPRODUCT((Tablo3[Personel Ad]=A3)*(Tablo3[Ürün Kar Tutarı]))</f>
        <v>1012925</v>
      </c>
      <c r="C3" s="39"/>
      <c r="D3" s="37"/>
      <c r="E3" t="str">
        <v>Gaziantep</v>
      </c>
      <c r="F3" s="9" cm="1">
        <f t="array" ref="F3">SUMPRODUCT((Tablo3[Şehirler]=E3)*(Tablo3[Ürün Kar Tutarı]))</f>
        <v>679185</v>
      </c>
      <c r="H3" s="14"/>
      <c r="I3" t="str">
        <v>Mikrodalga Fırın Beyaz</v>
      </c>
      <c r="J3" s="9" cm="1">
        <f t="array" ref="J3">SUMPRODUCT((Tablo3[Urun Ad]=I3)*(Tablo3[Ürün Kar Tutarı]))</f>
        <v>206400</v>
      </c>
      <c r="L3" s="14"/>
      <c r="M3" t="s">
        <v>47</v>
      </c>
      <c r="N3" s="9" cm="1">
        <f t="array" ref="N3">SUMPRODUCT((Tablo3[Ay]=M3)*(Tablo3[Ürün Kar Tutarı]))</f>
        <v>490410</v>
      </c>
    </row>
    <row r="4" spans="1:16" x14ac:dyDescent="0.25">
      <c r="A4" s="13" t="str">
        <v>Gülşah Akbulut</v>
      </c>
      <c r="B4" s="9" cm="1">
        <f t="array" ref="B4">SUMPRODUCT((Tablo3[Personel Ad]=A4)*(Tablo3[Ürün Kar Tutarı]))</f>
        <v>972270</v>
      </c>
      <c r="C4" s="39" t="str" cm="1">
        <f t="array" aca="1" ref="C4:D15" ca="1">_xlfn._xlws.SORT(INDIRECT("A2:B"&amp;COUNTA($A:$A)),2,1,FALSE)</f>
        <v>Gamze Erkuran</v>
      </c>
      <c r="D4" s="37">
        <f ca="1"/>
        <v>332410</v>
      </c>
      <c r="E4" t="str">
        <v>Ankara</v>
      </c>
      <c r="F4" s="9" cm="1">
        <f t="array" ref="F4">SUMPRODUCT((Tablo3[Şehirler]=E4)*(Tablo3[Ürün Kar Tutarı]))</f>
        <v>686145</v>
      </c>
      <c r="G4" t="str" cm="1">
        <f t="array" aca="1" ref="G4:H16" ca="1">_xlfn._xlws.SORT(INDIRECT("E2:F"&amp;COUNTA($E:$E)),2,1,FALSE)</f>
        <v>Konya</v>
      </c>
      <c r="H4" s="37">
        <f ca="1"/>
        <v>601310</v>
      </c>
      <c r="I4" t="str">
        <v>Buzdolabı İki Kapaklı Beyaz</v>
      </c>
      <c r="J4" s="9" cm="1">
        <f t="array" ref="J4">SUMPRODUCT((Tablo3[Urun Ad]=I4)*(Tablo3[Ürün Kar Tutarı]))</f>
        <v>570850</v>
      </c>
      <c r="K4" t="str" cm="1">
        <f t="array" aca="1" ref="K4:L26" ca="1">_xlfn._xlws.SORT(INDIRECT("I2:J"&amp;COUNTA($I:$I)),2,1,FALSE)</f>
        <v>Kahve Makinesi X Marka</v>
      </c>
      <c r="L4" s="37">
        <f ca="1"/>
        <v>65850</v>
      </c>
      <c r="M4" t="s">
        <v>57</v>
      </c>
      <c r="N4" s="9" cm="1">
        <f t="array" ref="N4">SUMPRODUCT((Tablo3[Ay]=M4)*(Tablo3[Ürün Kar Tutarı]))</f>
        <v>190510</v>
      </c>
      <c r="O4" t="str" cm="1">
        <f t="array" ref="O4:P15">_xlfn._xlws.SORT($M$2:$N$13,2,1,FALSE)</f>
        <v>Mart</v>
      </c>
      <c r="P4" s="9">
        <v>190510</v>
      </c>
    </row>
    <row r="5" spans="1:16" x14ac:dyDescent="0.25">
      <c r="A5" s="13" t="str">
        <v>Gamze Erkuran</v>
      </c>
      <c r="B5" s="9" cm="1">
        <f t="array" ref="B5">SUMPRODUCT((Tablo3[Personel Ad]=A5)*(Tablo3[Ürün Kar Tutarı]))</f>
        <v>332410</v>
      </c>
      <c r="C5" s="39" t="str">
        <f ca="1"/>
        <v>Ferdi Dede</v>
      </c>
      <c r="D5" s="37">
        <f ca="1"/>
        <v>541115</v>
      </c>
      <c r="E5" t="str">
        <v>Konya</v>
      </c>
      <c r="F5" s="9" cm="1">
        <f t="array" ref="F5">SUMPRODUCT((Tablo3[Şehirler]=E5)*(Tablo3[Ürün Kar Tutarı]))</f>
        <v>601310</v>
      </c>
      <c r="G5" t="str">
        <f ca="1"/>
        <v>Şanlıurfa</v>
      </c>
      <c r="H5" s="37">
        <f ca="1"/>
        <v>669965</v>
      </c>
      <c r="I5" t="str">
        <v>Ütü Siyah</v>
      </c>
      <c r="J5" s="9" cm="1">
        <f t="array" ref="J5">SUMPRODUCT((Tablo3[Urun Ad]=I5)*(Tablo3[Ürün Kar Tutarı]))</f>
        <v>226050</v>
      </c>
      <c r="K5" t="str">
        <f ca="1"/>
        <v>Ocak Siyah</v>
      </c>
      <c r="L5" s="37">
        <f ca="1"/>
        <v>96750</v>
      </c>
      <c r="M5" t="s">
        <v>58</v>
      </c>
      <c r="N5" s="9" cm="1">
        <f t="array" ref="N5">SUMPRODUCT((Tablo3[Ay]=M5)*(Tablo3[Ürün Kar Tutarı]))</f>
        <v>742775</v>
      </c>
      <c r="O5" t="str">
        <v>Ocak</v>
      </c>
      <c r="P5" s="9">
        <v>407090</v>
      </c>
    </row>
    <row r="6" spans="1:16" x14ac:dyDescent="0.25">
      <c r="A6" s="13" t="str">
        <v>Ali Kandemir</v>
      </c>
      <c r="B6" s="9" cm="1">
        <f t="array" ref="B6">SUMPRODUCT((Tablo3[Personel Ad]=A6)*(Tablo3[Ürün Kar Tutarı]))</f>
        <v>655130</v>
      </c>
      <c r="C6" s="39" t="str">
        <f ca="1"/>
        <v>Yücel Öztürk</v>
      </c>
      <c r="D6" s="37">
        <f ca="1"/>
        <v>550340</v>
      </c>
      <c r="E6" t="str">
        <v>Hatay</v>
      </c>
      <c r="F6" s="9" cm="1">
        <f t="array" ref="F6">SUMPRODUCT((Tablo3[Şehirler]=E6)*(Tablo3[Ürün Kar Tutarı]))</f>
        <v>700610</v>
      </c>
      <c r="G6" t="str">
        <f ca="1"/>
        <v>Gaziantep</v>
      </c>
      <c r="H6" s="37">
        <f ca="1"/>
        <v>679185</v>
      </c>
      <c r="I6" t="str">
        <v>Kahve Makinesi Y Marka</v>
      </c>
      <c r="J6" s="9" cm="1">
        <f t="array" ref="J6">SUMPRODUCT((Tablo3[Urun Ad]=I6)*(Tablo3[Ürün Kar Tutarı]))</f>
        <v>306000</v>
      </c>
      <c r="K6" t="str">
        <f ca="1"/>
        <v>Ocak Beyaz</v>
      </c>
      <c r="L6" s="37">
        <f ca="1"/>
        <v>115800</v>
      </c>
      <c r="M6" t="s">
        <v>59</v>
      </c>
      <c r="N6" s="9" cm="1">
        <f t="array" ref="N6">SUMPRODUCT((Tablo3[Ay]=M6)*(Tablo3[Ürün Kar Tutarı]))</f>
        <v>1135070</v>
      </c>
      <c r="O6" t="str">
        <v>Şubat</v>
      </c>
      <c r="P6" s="9">
        <v>490410</v>
      </c>
    </row>
    <row r="7" spans="1:16" x14ac:dyDescent="0.25">
      <c r="A7" s="13" t="str">
        <v>Mertcan Ülker</v>
      </c>
      <c r="B7" s="9" cm="1">
        <f t="array" ref="B7">SUMPRODUCT((Tablo3[Personel Ad]=A7)*(Tablo3[Ürün Kar Tutarı]))</f>
        <v>750940</v>
      </c>
      <c r="C7" s="39" t="str">
        <f ca="1"/>
        <v>Zeynep Şen</v>
      </c>
      <c r="D7" s="37">
        <f ca="1"/>
        <v>629970</v>
      </c>
      <c r="E7" t="str">
        <v>Antalya</v>
      </c>
      <c r="F7" s="9" cm="1">
        <f t="array" ref="F7">SUMPRODUCT((Tablo3[Şehirler]=E7)*(Tablo3[Ürün Kar Tutarı]))</f>
        <v>760790</v>
      </c>
      <c r="G7" t="str">
        <f ca="1"/>
        <v>Kocaeli</v>
      </c>
      <c r="H7" s="37">
        <f ca="1"/>
        <v>683740</v>
      </c>
      <c r="I7" t="str">
        <v>Çamaşır Makinesi Gri</v>
      </c>
      <c r="J7" s="9" cm="1">
        <f t="array" ref="J7">SUMPRODUCT((Tablo3[Urun Ad]=I7)*(Tablo3[Ürün Kar Tutarı]))</f>
        <v>1054400</v>
      </c>
      <c r="K7" t="str">
        <f ca="1"/>
        <v>Tost Makinesi Gri X Marka</v>
      </c>
      <c r="L7" s="37">
        <f ca="1"/>
        <v>137380</v>
      </c>
      <c r="M7" t="s">
        <v>60</v>
      </c>
      <c r="N7" s="9" cm="1">
        <f t="array" ref="N7">SUMPRODUCT((Tablo3[Ay]=M7)*(Tablo3[Ürün Kar Tutarı]))</f>
        <v>1153720</v>
      </c>
      <c r="O7" t="str">
        <v>Kasım</v>
      </c>
      <c r="P7" s="9">
        <v>590990</v>
      </c>
    </row>
    <row r="8" spans="1:16" x14ac:dyDescent="0.25">
      <c r="A8" s="13" t="str">
        <v>Reyhan Uyanık</v>
      </c>
      <c r="B8" s="9" cm="1">
        <f t="array" ref="B8">SUMPRODUCT((Tablo3[Personel Ad]=A8)*(Tablo3[Ürün Kar Tutarı]))</f>
        <v>916070</v>
      </c>
      <c r="C8" s="39" t="str">
        <f ca="1"/>
        <v>Ali Kandemir</v>
      </c>
      <c r="D8" s="37">
        <f ca="1"/>
        <v>655130</v>
      </c>
      <c r="E8" t="str">
        <v>Adana</v>
      </c>
      <c r="F8" s="9" cm="1">
        <f t="array" ref="F8">SUMPRODUCT((Tablo3[Şehirler]=E8)*(Tablo3[Ürün Kar Tutarı]))</f>
        <v>808240</v>
      </c>
      <c r="G8" t="str">
        <f ca="1"/>
        <v>Ankara</v>
      </c>
      <c r="H8" s="37">
        <f ca="1"/>
        <v>686145</v>
      </c>
      <c r="I8" t="str">
        <v>Derin Dondurucu Gri</v>
      </c>
      <c r="J8" s="9" cm="1">
        <f t="array" ref="J8">SUMPRODUCT((Tablo3[Urun Ad]=I8)*(Tablo3[Ürün Kar Tutarı]))</f>
        <v>1374750</v>
      </c>
      <c r="K8" t="str">
        <f ca="1"/>
        <v>Tost Makinesi Gri Y Marka</v>
      </c>
      <c r="L8" s="37">
        <f ca="1"/>
        <v>142680</v>
      </c>
      <c r="M8" t="s">
        <v>61</v>
      </c>
      <c r="N8" s="9" cm="1">
        <f t="array" ref="N8">SUMPRODUCT((Tablo3[Ay]=M8)*(Tablo3[Ürün Kar Tutarı]))</f>
        <v>607410</v>
      </c>
      <c r="O8" t="str">
        <v>Temmuz</v>
      </c>
      <c r="P8" s="9">
        <v>607410</v>
      </c>
    </row>
    <row r="9" spans="1:16" x14ac:dyDescent="0.25">
      <c r="A9" s="13" t="str">
        <v>Yücel Öztürk</v>
      </c>
      <c r="B9" s="9" cm="1">
        <f t="array" ref="B9">SUMPRODUCT((Tablo3[Personel Ad]=A9)*(Tablo3[Ürün Kar Tutarı]))</f>
        <v>550340</v>
      </c>
      <c r="C9" s="39" t="str">
        <f ca="1"/>
        <v>Mertcan Ülker</v>
      </c>
      <c r="D9" s="37">
        <f ca="1"/>
        <v>750940</v>
      </c>
      <c r="E9" t="str">
        <v>Şanlıurfa</v>
      </c>
      <c r="F9" s="9" cm="1">
        <f t="array" ref="F9">SUMPRODUCT((Tablo3[Şehirler]=E9)*(Tablo3[Ürün Kar Tutarı]))</f>
        <v>669965</v>
      </c>
      <c r="G9" t="str">
        <f ca="1"/>
        <v>Mersin</v>
      </c>
      <c r="H9" s="37">
        <f ca="1"/>
        <v>690730</v>
      </c>
      <c r="I9" t="str">
        <v>Ocak Beyaz</v>
      </c>
      <c r="J9" s="9" cm="1">
        <f t="array" ref="J9">SUMPRODUCT((Tablo3[Urun Ad]=I9)*(Tablo3[Ürün Kar Tutarı]))</f>
        <v>115800</v>
      </c>
      <c r="K9" t="str">
        <f ca="1"/>
        <v>Ütü Mor</v>
      </c>
      <c r="L9" s="37">
        <f ca="1"/>
        <v>148800</v>
      </c>
      <c r="M9" t="s">
        <v>62</v>
      </c>
      <c r="N9" s="9" cm="1">
        <f t="array" ref="N9">SUMPRODUCT((Tablo3[Ay]=M9)*(Tablo3[Ürün Kar Tutarı]))</f>
        <v>1471900</v>
      </c>
      <c r="O9" t="str">
        <v>Nisan</v>
      </c>
      <c r="P9" s="9">
        <v>742775</v>
      </c>
    </row>
    <row r="10" spans="1:16" x14ac:dyDescent="0.25">
      <c r="A10" s="13" t="str">
        <v>Bedriye Vural</v>
      </c>
      <c r="B10" s="9" cm="1">
        <f t="array" ref="B10">SUMPRODUCT((Tablo3[Personel Ad]=A10)*(Tablo3[Ürün Kar Tutarı]))</f>
        <v>1098330</v>
      </c>
      <c r="C10" s="39" t="str">
        <f ca="1"/>
        <v>Özgür Ertekin</v>
      </c>
      <c r="D10" s="37">
        <f ca="1"/>
        <v>833410</v>
      </c>
      <c r="E10" t="str">
        <v>Bursa</v>
      </c>
      <c r="F10" s="9" cm="1">
        <f t="array" ref="F10">SUMPRODUCT((Tablo3[Şehirler]=E10)*(Tablo3[Ürün Kar Tutarı]))</f>
        <v>756385</v>
      </c>
      <c r="G10" t="str">
        <f ca="1"/>
        <v>İzmir</v>
      </c>
      <c r="H10" s="37">
        <f ca="1"/>
        <v>694370</v>
      </c>
      <c r="I10" t="str">
        <v>Tost Makinesi Gri X Marka</v>
      </c>
      <c r="J10" s="9" cm="1">
        <f t="array" ref="J10">SUMPRODUCT((Tablo3[Urun Ad]=I10)*(Tablo3[Ürün Kar Tutarı]))</f>
        <v>137380</v>
      </c>
      <c r="K10" t="str">
        <f ca="1"/>
        <v>Davlumbaz Gri Y Marka</v>
      </c>
      <c r="L10" s="37">
        <f ca="1"/>
        <v>187600</v>
      </c>
      <c r="M10" t="s">
        <v>63</v>
      </c>
      <c r="N10" s="9" cm="1">
        <f t="array" ref="N10">SUMPRODUCT((Tablo3[Ay]=M10)*(Tablo3[Ürün Kar Tutarı]))</f>
        <v>756740</v>
      </c>
      <c r="O10" t="str">
        <v>Eylül</v>
      </c>
      <c r="P10" s="9">
        <v>756740</v>
      </c>
    </row>
    <row r="11" spans="1:16" x14ac:dyDescent="0.25">
      <c r="A11" s="13" t="str">
        <v>Miraç Tüten</v>
      </c>
      <c r="B11" s="9" cm="1">
        <f t="array" ref="B11">SUMPRODUCT((Tablo3[Personel Ad]=A11)*(Tablo3[Ürün Kar Tutarı]))</f>
        <v>929005</v>
      </c>
      <c r="C11" s="39" t="str">
        <f ca="1"/>
        <v>Reyhan Uyanık</v>
      </c>
      <c r="D11" s="37">
        <f ca="1"/>
        <v>916070</v>
      </c>
      <c r="E11" t="str">
        <v>İzmir</v>
      </c>
      <c r="F11" s="9" cm="1">
        <f t="array" ref="F11">SUMPRODUCT((Tablo3[Şehirler]=E11)*(Tablo3[Ürün Kar Tutarı]))</f>
        <v>694370</v>
      </c>
      <c r="G11" t="str">
        <f ca="1"/>
        <v>İstanbul</v>
      </c>
      <c r="H11" s="37">
        <f ca="1"/>
        <v>696705</v>
      </c>
      <c r="I11" t="str">
        <v>Mikrodalga Fırın Gri</v>
      </c>
      <c r="J11" s="9" cm="1">
        <f t="array" ref="J11">SUMPRODUCT((Tablo3[Urun Ad]=I11)*(Tablo3[Ürün Kar Tutarı]))</f>
        <v>395000</v>
      </c>
      <c r="K11" t="str">
        <f ca="1"/>
        <v>Fırın Siyah</v>
      </c>
      <c r="L11" s="37">
        <f ca="1"/>
        <v>191300</v>
      </c>
      <c r="M11" t="s">
        <v>64</v>
      </c>
      <c r="N11" s="9" cm="1">
        <f t="array" ref="N11">SUMPRODUCT((Tablo3[Ay]=M11)*(Tablo3[Ürün Kar Tutarı]))</f>
        <v>802535</v>
      </c>
      <c r="O11" t="str">
        <v>Ekim</v>
      </c>
      <c r="P11" s="9">
        <v>802535</v>
      </c>
    </row>
    <row r="12" spans="1:16" x14ac:dyDescent="0.25">
      <c r="A12" s="13" t="str">
        <v>Ferdi Dede</v>
      </c>
      <c r="B12" s="9" cm="1">
        <f t="array" ref="B12">SUMPRODUCT((Tablo3[Personel Ad]=A12)*(Tablo3[Ürün Kar Tutarı]))</f>
        <v>541115</v>
      </c>
      <c r="C12" s="39" t="str">
        <f ca="1"/>
        <v>Miraç Tüten</v>
      </c>
      <c r="D12" s="37">
        <f ca="1"/>
        <v>929005</v>
      </c>
      <c r="E12" t="str">
        <v>Diyarbakır</v>
      </c>
      <c r="F12" s="9" cm="1">
        <f t="array" ref="F12">SUMPRODUCT((Tablo3[Şehirler]=E12)*(Tablo3[Ürün Kar Tutarı]))</f>
        <v>793740</v>
      </c>
      <c r="G12" t="str">
        <f ca="1"/>
        <v>Hatay</v>
      </c>
      <c r="H12" s="37">
        <f ca="1"/>
        <v>700610</v>
      </c>
      <c r="I12" t="str">
        <v>Tost Makinesi Gri Y Marka</v>
      </c>
      <c r="J12" s="9" cm="1">
        <f t="array" ref="J12">SUMPRODUCT((Tablo3[Urun Ad]=I12)*(Tablo3[Ürün Kar Tutarı]))</f>
        <v>142680</v>
      </c>
      <c r="K12" t="str">
        <f ca="1"/>
        <v>Mikrodalga Fırın Beyaz</v>
      </c>
      <c r="L12" s="37">
        <f ca="1"/>
        <v>206400</v>
      </c>
      <c r="M12" t="s">
        <v>65</v>
      </c>
      <c r="N12" s="9" cm="1">
        <f t="array" ref="N12">SUMPRODUCT((Tablo3[Ay]=M12)*(Tablo3[Ürün Kar Tutarı]))</f>
        <v>590990</v>
      </c>
      <c r="O12" t="str">
        <v>Aralık</v>
      </c>
      <c r="P12" s="9">
        <v>872765</v>
      </c>
    </row>
    <row r="13" spans="1:16" x14ac:dyDescent="0.25">
      <c r="A13" s="13" t="str">
        <v>Zeynep Şen</v>
      </c>
      <c r="B13" s="9" cm="1">
        <f t="array" ref="B13">SUMPRODUCT((Tablo3[Personel Ad]=A13)*(Tablo3[Ürün Kar Tutarı]))</f>
        <v>629970</v>
      </c>
      <c r="C13" s="39" t="str">
        <f ca="1"/>
        <v>Gülşah Akbulut</v>
      </c>
      <c r="D13" s="37">
        <f ca="1"/>
        <v>972270</v>
      </c>
      <c r="E13" t="str">
        <v>Mersin</v>
      </c>
      <c r="F13" s="9" cm="1">
        <f t="array" ref="F13">SUMPRODUCT((Tablo3[Şehirler]=E13)*(Tablo3[Ürün Kar Tutarı]))</f>
        <v>690730</v>
      </c>
      <c r="G13" t="str">
        <f ca="1"/>
        <v>Bursa</v>
      </c>
      <c r="H13" s="37">
        <f ca="1"/>
        <v>756385</v>
      </c>
      <c r="I13" t="str">
        <v>Çamaşır Makinesi Beyaz</v>
      </c>
      <c r="J13" s="9" cm="1">
        <f t="array" ref="J13">SUMPRODUCT((Tablo3[Urun Ad]=I13)*(Tablo3[Ürün Kar Tutarı]))</f>
        <v>293000</v>
      </c>
      <c r="K13" t="str">
        <f ca="1"/>
        <v>Ütü Siyah</v>
      </c>
      <c r="L13" s="37">
        <f ca="1"/>
        <v>226050</v>
      </c>
      <c r="M13" t="s">
        <v>66</v>
      </c>
      <c r="N13" s="9" cm="1">
        <f t="array" ref="N13">SUMPRODUCT((Tablo3[Ay]=M13)*(Tablo3[Ürün Kar Tutarı]))</f>
        <v>872765</v>
      </c>
      <c r="O13" t="str">
        <v>Mayıs</v>
      </c>
      <c r="P13" s="9">
        <v>1135070</v>
      </c>
    </row>
    <row r="14" spans="1:16" x14ac:dyDescent="0.25">
      <c r="A14" s="13"/>
      <c r="B14" s="9" cm="1">
        <f t="array" ref="B14">SUMPRODUCT((Tablo3[Personel Ad]=A14)*(Tablo3[Ürün Kar Tutarı]))</f>
        <v>0</v>
      </c>
      <c r="C14" t="str">
        <f ca="1"/>
        <v>Serdal Yücel</v>
      </c>
      <c r="D14" s="37">
        <f ca="1"/>
        <v>1012925</v>
      </c>
      <c r="E14" t="str">
        <v>İstanbul</v>
      </c>
      <c r="F14" s="9" cm="1">
        <f t="array" ref="F14">SUMPRODUCT((Tablo3[Şehirler]=E14)*(Tablo3[Ürün Kar Tutarı]))</f>
        <v>696705</v>
      </c>
      <c r="G14" t="str">
        <f ca="1"/>
        <v>Antalya</v>
      </c>
      <c r="H14" s="37">
        <f ca="1"/>
        <v>760790</v>
      </c>
      <c r="I14" t="str">
        <v>Buzdolabı Dört Kapılı Gri</v>
      </c>
      <c r="J14" s="9" cm="1">
        <f t="array" ref="J14">SUMPRODUCT((Tablo3[Urun Ad]=I14)*(Tablo3[Ürün Kar Tutarı]))</f>
        <v>1230800</v>
      </c>
      <c r="K14" t="str">
        <f ca="1"/>
        <v>Derin Dondurucu Beyaz</v>
      </c>
      <c r="L14" s="37">
        <f ca="1"/>
        <v>237025</v>
      </c>
      <c r="O14" t="str">
        <v>Haziran</v>
      </c>
      <c r="P14" s="9">
        <v>1153720</v>
      </c>
    </row>
    <row r="15" spans="1:16" x14ac:dyDescent="0.25">
      <c r="A15" s="13"/>
      <c r="B15" s="9" cm="1">
        <f t="array" ref="B15">SUMPRODUCT((Tablo3[Personel Ad]=A15)*(Tablo3[Ürün Kar Tutarı]))</f>
        <v>0</v>
      </c>
      <c r="C15" s="39" t="str">
        <f ca="1"/>
        <v>Bedriye Vural</v>
      </c>
      <c r="D15" s="37">
        <f ca="1"/>
        <v>1098330</v>
      </c>
      <c r="F15" s="9" cm="1">
        <f t="array" ref="F15">SUMPRODUCT((Tablo3[Şehirler]=E15)*(Tablo3[Ürün Kar Tutarı]))</f>
        <v>0</v>
      </c>
      <c r="G15" t="str">
        <f ca="1"/>
        <v>Diyarbakır</v>
      </c>
      <c r="H15" s="37">
        <f ca="1"/>
        <v>793740</v>
      </c>
      <c r="I15" t="str">
        <v>Davlumbaz Gri X Marka</v>
      </c>
      <c r="J15" s="9" cm="1">
        <f t="array" ref="J15">SUMPRODUCT((Tablo3[Urun Ad]=I15)*(Tablo3[Ürün Kar Tutarı]))</f>
        <v>293250</v>
      </c>
      <c r="K15" t="str">
        <f ca="1"/>
        <v>Çamaşır Makinesi Beyaz</v>
      </c>
      <c r="L15" s="37">
        <f ca="1"/>
        <v>293000</v>
      </c>
      <c r="O15" t="str">
        <v>Ağustos</v>
      </c>
      <c r="P15" s="9">
        <v>1471900</v>
      </c>
    </row>
    <row r="16" spans="1:16" x14ac:dyDescent="0.25">
      <c r="A16" s="13"/>
      <c r="B16" s="9" cm="1">
        <f t="array" ref="B16">SUMPRODUCT((Tablo3[Personel Ad]=A16)*(Tablo3[Ürün Kar Tutarı]))</f>
        <v>0</v>
      </c>
      <c r="C16" s="39"/>
      <c r="D16" s="37"/>
      <c r="F16" s="9" cm="1">
        <f t="array" ref="F16">SUMPRODUCT((Tablo3[Şehirler]=E16)*(Tablo3[Ürün Kar Tutarı]))</f>
        <v>0</v>
      </c>
      <c r="G16" t="str">
        <f ca="1"/>
        <v>Adana</v>
      </c>
      <c r="H16" s="37">
        <f ca="1"/>
        <v>808240</v>
      </c>
      <c r="I16" t="str">
        <v>Fırın Beyaz</v>
      </c>
      <c r="J16" s="9" cm="1">
        <f t="array" ref="J16">SUMPRODUCT((Tablo3[Urun Ad]=I16)*(Tablo3[Ürün Kar Tutarı]))</f>
        <v>432000</v>
      </c>
      <c r="K16" t="str">
        <f ca="1"/>
        <v>Davlumbaz Gri X Marka</v>
      </c>
      <c r="L16" s="37">
        <f ca="1"/>
        <v>293250</v>
      </c>
    </row>
    <row r="17" spans="1:12" x14ac:dyDescent="0.25">
      <c r="A17" s="13"/>
      <c r="B17" s="9" cm="1">
        <f t="array" ref="B17">SUMPRODUCT((Tablo3[Personel Ad]=A17)*(Tablo3[Ürün Kar Tutarı]))</f>
        <v>0</v>
      </c>
      <c r="C17" s="39"/>
      <c r="D17" s="37"/>
      <c r="F17" s="9" cm="1">
        <f t="array" ref="F17">SUMPRODUCT((Tablo3[Şehirler]=E17)*(Tablo3[Ürün Kar Tutarı]))</f>
        <v>0</v>
      </c>
      <c r="H17" s="14"/>
      <c r="I17" t="str">
        <v>Derin Dondurucu Beyaz</v>
      </c>
      <c r="J17" s="9" cm="1">
        <f t="array" ref="J17">SUMPRODUCT((Tablo3[Urun Ad]=I17)*(Tablo3[Ürün Kar Tutarı]))</f>
        <v>237025</v>
      </c>
      <c r="K17" t="str">
        <f ca="1"/>
        <v>Bulaşık Makinesi Gri</v>
      </c>
      <c r="L17" s="37">
        <f ca="1"/>
        <v>301600</v>
      </c>
    </row>
    <row r="18" spans="1:12" x14ac:dyDescent="0.25">
      <c r="A18" s="13"/>
      <c r="B18" s="9" cm="1">
        <f t="array" ref="B18">SUMPRODUCT((Tablo3[Personel Ad]=A18)*(Tablo3[Ürün Kar Tutarı]))</f>
        <v>0</v>
      </c>
      <c r="C18" s="39"/>
      <c r="D18" s="37"/>
      <c r="F18" s="9" cm="1">
        <f t="array" ref="F18">SUMPRODUCT((Tablo3[Şehirler]=E18)*(Tablo3[Ürün Kar Tutarı]))</f>
        <v>0</v>
      </c>
      <c r="H18" s="14"/>
      <c r="I18" t="str">
        <v>Kahve Makinesi X Marka</v>
      </c>
      <c r="J18" s="9" cm="1">
        <f t="array" ref="J18">SUMPRODUCT((Tablo3[Urun Ad]=I18)*(Tablo3[Ürün Kar Tutarı]))</f>
        <v>65850</v>
      </c>
      <c r="K18" t="str">
        <f ca="1"/>
        <v>Kahve Makinesi Y Marka</v>
      </c>
      <c r="L18" s="37">
        <f ca="1"/>
        <v>306000</v>
      </c>
    </row>
    <row r="19" spans="1:12" x14ac:dyDescent="0.25">
      <c r="A19" s="13"/>
      <c r="B19" s="9" cm="1">
        <f t="array" ref="B19">SUMPRODUCT((Tablo3[Personel Ad]=A19)*(Tablo3[Ürün Kar Tutarı]))</f>
        <v>0</v>
      </c>
      <c r="C19" s="39"/>
      <c r="D19" s="37"/>
      <c r="F19" s="9" cm="1">
        <f t="array" ref="F19">SUMPRODUCT((Tablo3[Şehirler]=E19)*(Tablo3[Ürün Kar Tutarı]))</f>
        <v>0</v>
      </c>
      <c r="H19" s="14"/>
      <c r="I19" t="str">
        <v>Ocak Siyah</v>
      </c>
      <c r="J19" s="9" cm="1">
        <f t="array" ref="J19">SUMPRODUCT((Tablo3[Urun Ad]=I19)*(Tablo3[Ürün Kar Tutarı]))</f>
        <v>96750</v>
      </c>
      <c r="K19" t="str">
        <f ca="1"/>
        <v>Mikrodalga Fırın Gri</v>
      </c>
      <c r="L19" s="37">
        <f ca="1"/>
        <v>395000</v>
      </c>
    </row>
    <row r="20" spans="1:12" x14ac:dyDescent="0.25">
      <c r="A20" s="13"/>
      <c r="B20" s="9" cm="1">
        <f t="array" ref="B20">SUMPRODUCT((Tablo3[Personel Ad]=A20)*(Tablo3[Ürün Kar Tutarı]))</f>
        <v>0</v>
      </c>
      <c r="C20" s="39"/>
      <c r="D20" s="37"/>
      <c r="F20" s="9" cm="1">
        <f t="array" ref="F20">SUMPRODUCT((Tablo3[Şehirler]=E20)*(Tablo3[Ürün Kar Tutarı]))</f>
        <v>0</v>
      </c>
      <c r="H20" s="14"/>
      <c r="I20" t="str">
        <v>Ütü Mor</v>
      </c>
      <c r="J20" s="9" cm="1">
        <f t="array" ref="J20">SUMPRODUCT((Tablo3[Urun Ad]=I20)*(Tablo3[Ürün Kar Tutarı]))</f>
        <v>148800</v>
      </c>
      <c r="K20" t="str">
        <f ca="1"/>
        <v>Buzdolabı İki Kapılı Gri</v>
      </c>
      <c r="L20" s="37">
        <f ca="1"/>
        <v>414630</v>
      </c>
    </row>
    <row r="21" spans="1:12" x14ac:dyDescent="0.25">
      <c r="A21" s="13"/>
      <c r="B21" s="9" cm="1">
        <f t="array" ref="B21">SUMPRODUCT((Tablo3[Personel Ad]=A21)*(Tablo3[Ürün Kar Tutarı]))</f>
        <v>0</v>
      </c>
      <c r="C21" s="39"/>
      <c r="D21" s="37"/>
      <c r="F21" s="9" cm="1">
        <f t="array" ref="F21">SUMPRODUCT((Tablo3[Şehirler]=E21)*(Tablo3[Ürün Kar Tutarı]))</f>
        <v>0</v>
      </c>
      <c r="H21" s="14"/>
      <c r="I21" t="str">
        <v>Buzdolabı İki Kapılı Gri</v>
      </c>
      <c r="J21" s="9" cm="1">
        <f t="array" ref="J21">SUMPRODUCT((Tablo3[Urun Ad]=I21)*(Tablo3[Ürün Kar Tutarı]))</f>
        <v>414630</v>
      </c>
      <c r="K21" t="str">
        <f ca="1"/>
        <v>Fırın Beyaz</v>
      </c>
      <c r="L21" s="37">
        <f ca="1"/>
        <v>432000</v>
      </c>
    </row>
    <row r="22" spans="1:12" x14ac:dyDescent="0.25">
      <c r="A22" s="13"/>
      <c r="B22" s="9" cm="1">
        <f t="array" ref="B22">SUMPRODUCT((Tablo3[Personel Ad]=A22)*(Tablo3[Ürün Kar Tutarı]))</f>
        <v>0</v>
      </c>
      <c r="C22" s="39"/>
      <c r="D22" s="37"/>
      <c r="F22" s="9" cm="1">
        <f t="array" ref="F22">SUMPRODUCT((Tablo3[Şehirler]=E22)*(Tablo3[Ürün Kar Tutarı]))</f>
        <v>0</v>
      </c>
      <c r="H22" s="14"/>
      <c r="I22" t="str">
        <v>Bulaşık Makinesi Gri</v>
      </c>
      <c r="J22" s="9" cm="1">
        <f t="array" ref="J22">SUMPRODUCT((Tablo3[Urun Ad]=I22)*(Tablo3[Ürün Kar Tutarı]))</f>
        <v>301600</v>
      </c>
      <c r="K22" t="str">
        <f ca="1"/>
        <v>Buzdolabı İki Kapaklı Beyaz</v>
      </c>
      <c r="L22" s="37">
        <f ca="1"/>
        <v>570850</v>
      </c>
    </row>
    <row r="23" spans="1:12" x14ac:dyDescent="0.25">
      <c r="A23" s="13"/>
      <c r="B23" s="9" cm="1">
        <f t="array" ref="B23">SUMPRODUCT((Tablo3[Personel Ad]=A23)*(Tablo3[Ürün Kar Tutarı]))</f>
        <v>0</v>
      </c>
      <c r="C23" s="39"/>
      <c r="D23" s="37"/>
      <c r="F23" s="9" cm="1">
        <f t="array" ref="F23">SUMPRODUCT((Tablo3[Şehirler]=E23)*(Tablo3[Ürün Kar Tutarı]))</f>
        <v>0</v>
      </c>
      <c r="H23" s="14"/>
      <c r="I23" t="str">
        <v>Davlumbaz Gri Y Marka</v>
      </c>
      <c r="J23" s="9" cm="1">
        <f t="array" ref="J23">SUMPRODUCT((Tablo3[Urun Ad]=I23)*(Tablo3[Ürün Kar Tutarı]))</f>
        <v>187600</v>
      </c>
      <c r="K23" t="str">
        <f ca="1"/>
        <v>Bulaşık Makinesi Beyaz</v>
      </c>
      <c r="L23" s="37">
        <f ca="1"/>
        <v>800000</v>
      </c>
    </row>
    <row r="24" spans="1:12" x14ac:dyDescent="0.25">
      <c r="A24" s="13"/>
      <c r="B24" s="9" cm="1">
        <f t="array" ref="B24">SUMPRODUCT((Tablo3[Personel Ad]=A24)*(Tablo3[Ürün Kar Tutarı]))</f>
        <v>0</v>
      </c>
      <c r="C24" s="39"/>
      <c r="D24" s="37"/>
      <c r="F24" s="9" cm="1">
        <f t="array" ref="F24">SUMPRODUCT((Tablo3[Şehirler]=E24)*(Tablo3[Ürün Kar Tutarı]))</f>
        <v>0</v>
      </c>
      <c r="H24" s="14"/>
      <c r="I24" t="str">
        <v>Fırın Siyah</v>
      </c>
      <c r="J24" s="9" cm="1">
        <f t="array" ref="J24">SUMPRODUCT((Tablo3[Urun Ad]=I24)*(Tablo3[Ürün Kar Tutarı]))</f>
        <v>191300</v>
      </c>
      <c r="K24" t="str">
        <f ca="1"/>
        <v>Çamaşır Makinesi Gri</v>
      </c>
      <c r="L24" s="37">
        <f ca="1"/>
        <v>1054400</v>
      </c>
    </row>
    <row r="25" spans="1:12" x14ac:dyDescent="0.25">
      <c r="A25" s="13"/>
      <c r="B25" s="9" cm="1">
        <f t="array" ref="B25">SUMPRODUCT((Tablo3[Personel Ad]=A25)*(Tablo3[Ürün Kar Tutarı]))</f>
        <v>0</v>
      </c>
      <c r="C25" s="39"/>
      <c r="D25" s="37"/>
      <c r="F25" s="9" cm="1">
        <f t="array" ref="F25">SUMPRODUCT((Tablo3[Şehirler]=E25)*(Tablo3[Ürün Kar Tutarı]))</f>
        <v>0</v>
      </c>
      <c r="H25" s="14"/>
      <c r="J25" s="9" cm="1">
        <f t="array" ref="J25">SUMPRODUCT((Tablo3[Urun Ad]=I25)*(Tablo3[Ürün Kar Tutarı]))</f>
        <v>0</v>
      </c>
      <c r="K25" t="str">
        <f ca="1"/>
        <v>Buzdolabı Dört Kapılı Gri</v>
      </c>
      <c r="L25" s="37">
        <f ca="1"/>
        <v>1230800</v>
      </c>
    </row>
    <row r="26" spans="1:12" x14ac:dyDescent="0.25">
      <c r="A26" s="13"/>
      <c r="B26" s="9" cm="1">
        <f t="array" ref="B26">SUMPRODUCT((Tablo3[Personel Ad]=A26)*(Tablo3[Ürün Kar Tutarı]))</f>
        <v>0</v>
      </c>
      <c r="C26" s="39"/>
      <c r="D26" s="37"/>
      <c r="F26" s="9" cm="1">
        <f t="array" ref="F26">SUMPRODUCT((Tablo3[Şehirler]=E26)*(Tablo3[Ürün Kar Tutarı]))</f>
        <v>0</v>
      </c>
      <c r="H26" s="14"/>
      <c r="J26" s="9" cm="1">
        <f t="array" ref="J26">SUMPRODUCT((Tablo3[Urun Ad]=I26)*(Tablo3[Ürün Kar Tutarı]))</f>
        <v>0</v>
      </c>
      <c r="K26" t="str">
        <f ca="1"/>
        <v>Derin Dondurucu Gri</v>
      </c>
      <c r="L26" s="37">
        <f ca="1"/>
        <v>1374750</v>
      </c>
    </row>
    <row r="27" spans="1:12" x14ac:dyDescent="0.25">
      <c r="A27" s="13"/>
      <c r="B27" s="9" cm="1">
        <f t="array" ref="B27">SUMPRODUCT((Tablo3[Personel Ad]=A27)*(Tablo3[Ürün Kar Tutarı]))</f>
        <v>0</v>
      </c>
      <c r="D27" s="14"/>
      <c r="F27" s="9" cm="1">
        <f t="array" ref="F27">SUMPRODUCT((Tablo3[Şehirler]=E27)*(Tablo3[Ürün Kar Tutarı]))</f>
        <v>0</v>
      </c>
      <c r="H27" s="14"/>
      <c r="J27" s="9" cm="1">
        <f t="array" ref="J27">SUMPRODUCT((Tablo3[Urun Ad]=I27)*(Tablo3[Ürün Kar Tutarı]))</f>
        <v>0</v>
      </c>
      <c r="L27" s="37"/>
    </row>
    <row r="28" spans="1:12" x14ac:dyDescent="0.25">
      <c r="A28" s="13"/>
      <c r="B28" s="9" cm="1">
        <f t="array" ref="B28">SUMPRODUCT((Tablo3[Personel Ad]=A28)*(Tablo3[Ürün Kar Tutarı]))</f>
        <v>0</v>
      </c>
      <c r="D28" s="14"/>
      <c r="F28" s="9" cm="1">
        <f t="array" ref="F28">SUMPRODUCT((Tablo3[Şehirler]=E28)*(Tablo3[Ürün Kar Tutarı]))</f>
        <v>0</v>
      </c>
      <c r="H28" s="14"/>
      <c r="J28" s="9" cm="1">
        <f t="array" ref="J28">SUMPRODUCT((Tablo3[Urun Ad]=I28)*(Tablo3[Ürün Kar Tutarı]))</f>
        <v>0</v>
      </c>
      <c r="L28" s="37"/>
    </row>
    <row r="29" spans="1:12" x14ac:dyDescent="0.25">
      <c r="A29" s="13"/>
      <c r="B29" s="9" cm="1">
        <f t="array" ref="B29">SUMPRODUCT((Tablo3[Personel Ad]=A29)*(Tablo3[Ürün Kar Tutarı]))</f>
        <v>0</v>
      </c>
      <c r="D29" s="14"/>
      <c r="F29" s="9" cm="1">
        <f t="array" ref="F29">SUMPRODUCT((Tablo3[Şehirler]=E29)*(Tablo3[Ürün Kar Tutarı]))</f>
        <v>0</v>
      </c>
      <c r="H29" s="14"/>
      <c r="J29" s="9" cm="1">
        <f t="array" ref="J29">SUMPRODUCT((Tablo3[Urun Ad]=I29)*(Tablo3[Ürün Kar Tutarı]))</f>
        <v>0</v>
      </c>
      <c r="L29" s="37"/>
    </row>
    <row r="30" spans="1:12" x14ac:dyDescent="0.25">
      <c r="A30" s="13"/>
      <c r="B30" s="9" cm="1">
        <f t="array" ref="B30">SUMPRODUCT((Tablo3[Personel Ad]=A30)*(Tablo3[Ürün Kar Tutarı]))</f>
        <v>0</v>
      </c>
      <c r="D30" s="14"/>
      <c r="F30" s="9" cm="1">
        <f t="array" ref="F30">SUMPRODUCT((Tablo3[Şehirler]=E30)*(Tablo3[Ürün Kar Tutarı]))</f>
        <v>0</v>
      </c>
      <c r="H30" s="14"/>
      <c r="J30" s="9" cm="1">
        <f t="array" ref="J30">SUMPRODUCT((Tablo3[Urun Ad]=I30)*(Tablo3[Ürün Kar Tutarı]))</f>
        <v>0</v>
      </c>
      <c r="L30" s="37"/>
    </row>
    <row r="31" spans="1:12" x14ac:dyDescent="0.25">
      <c r="A31" s="13"/>
      <c r="B31" s="9" cm="1">
        <f t="array" ref="B31">SUMPRODUCT((Tablo3[Personel Ad]=A31)*(Tablo3[Ürün Kar Tutarı]))</f>
        <v>0</v>
      </c>
      <c r="D31" s="14"/>
      <c r="F31" s="9" cm="1">
        <f t="array" ref="F31">SUMPRODUCT((Tablo3[Şehirler]=E31)*(Tablo3[Ürün Kar Tutarı]))</f>
        <v>0</v>
      </c>
      <c r="H31" s="14"/>
      <c r="J31" s="9" cm="1">
        <f t="array" ref="J31">SUMPRODUCT((Tablo3[Urun Ad]=I31)*(Tablo3[Ürün Kar Tutarı]))</f>
        <v>0</v>
      </c>
      <c r="L31" s="37"/>
    </row>
    <row r="32" spans="1:12" x14ac:dyDescent="0.25">
      <c r="A32" s="13"/>
      <c r="B32" s="9" cm="1">
        <f t="array" ref="B32">SUMPRODUCT((Tablo3[Personel Ad]=A32)*(Tablo3[Ürün Kar Tutarı]))</f>
        <v>0</v>
      </c>
      <c r="D32" s="14"/>
      <c r="F32" s="9" cm="1">
        <f t="array" ref="F32">SUMPRODUCT((Tablo3[Şehirler]=E32)*(Tablo3[Ürün Kar Tutarı]))</f>
        <v>0</v>
      </c>
      <c r="H32" s="14"/>
      <c r="J32" s="9" cm="1">
        <f t="array" ref="J32">SUMPRODUCT((Tablo3[Urun Ad]=I32)*(Tablo3[Ürün Kar Tutarı]))</f>
        <v>0</v>
      </c>
      <c r="L32" s="37"/>
    </row>
    <row r="33" spans="1:12" x14ac:dyDescent="0.25">
      <c r="A33" s="13"/>
      <c r="B33" s="9" cm="1">
        <f t="array" ref="B33">SUMPRODUCT((Tablo3[Personel Ad]=A33)*(Tablo3[Ürün Kar Tutarı]))</f>
        <v>0</v>
      </c>
      <c r="D33" s="14"/>
      <c r="F33" s="9" cm="1">
        <f t="array" ref="F33">SUMPRODUCT((Tablo3[Şehirler]=E33)*(Tablo3[Ürün Kar Tutarı]))</f>
        <v>0</v>
      </c>
      <c r="H33" s="14"/>
      <c r="J33" s="9" cm="1">
        <f t="array" ref="J33">SUMPRODUCT((Tablo3[Urun Ad]=I33)*(Tablo3[Ürün Kar Tutarı]))</f>
        <v>0</v>
      </c>
      <c r="L33" s="37"/>
    </row>
    <row r="34" spans="1:12" x14ac:dyDescent="0.25">
      <c r="A34" s="13"/>
      <c r="B34" s="9" cm="1">
        <f t="array" ref="B34">SUMPRODUCT((Tablo3[Personel Ad]=A34)*(Tablo3[Ürün Kar Tutarı]))</f>
        <v>0</v>
      </c>
      <c r="D34" s="14"/>
      <c r="F34" s="9" cm="1">
        <f t="array" ref="F34">SUMPRODUCT((Tablo3[Şehirler]=E34)*(Tablo3[Ürün Kar Tutarı]))</f>
        <v>0</v>
      </c>
      <c r="H34" s="14"/>
      <c r="J34" s="9" cm="1">
        <f t="array" ref="J34">SUMPRODUCT((Tablo3[Urun Ad]=I34)*(Tablo3[Ürün Kar Tutarı]))</f>
        <v>0</v>
      </c>
      <c r="L34" s="37"/>
    </row>
    <row r="35" spans="1:12" x14ac:dyDescent="0.25">
      <c r="A35" s="13"/>
      <c r="B35" s="9" cm="1">
        <f t="array" ref="B35">SUMPRODUCT((Tablo3[Personel Ad]=A35)*(Tablo3[Ürün Kar Tutarı]))</f>
        <v>0</v>
      </c>
      <c r="D35" s="14"/>
      <c r="F35" s="9" cm="1">
        <f t="array" ref="F35">SUMPRODUCT((Tablo3[Şehirler]=E35)*(Tablo3[Ürün Kar Tutarı]))</f>
        <v>0</v>
      </c>
      <c r="H35" s="14"/>
      <c r="J35" s="9" cm="1">
        <f t="array" ref="J35">SUMPRODUCT((Tablo3[Urun Ad]=I35)*(Tablo3[Ürün Kar Tutarı]))</f>
        <v>0</v>
      </c>
      <c r="L35" s="37"/>
    </row>
    <row r="36" spans="1:12" x14ac:dyDescent="0.25">
      <c r="A36" s="13"/>
      <c r="B36" s="9" cm="1">
        <f t="array" ref="B36">SUMPRODUCT((Tablo3[Personel Ad]=A36)*(Tablo3[Ürün Kar Tutarı]))</f>
        <v>0</v>
      </c>
      <c r="D36" s="14"/>
      <c r="F36" s="9" cm="1">
        <f t="array" ref="F36">SUMPRODUCT((Tablo3[Şehirler]=E36)*(Tablo3[Ürün Kar Tutarı]))</f>
        <v>0</v>
      </c>
      <c r="H36" s="14"/>
      <c r="J36" s="9" cm="1">
        <f t="array" ref="J36">SUMPRODUCT((Tablo3[Urun Ad]=I36)*(Tablo3[Ürün Kar Tutarı]))</f>
        <v>0</v>
      </c>
      <c r="L36" s="37"/>
    </row>
    <row r="37" spans="1:12" x14ac:dyDescent="0.25">
      <c r="A37" s="13"/>
      <c r="B37" s="9" cm="1">
        <f t="array" ref="B37">SUMPRODUCT((Tablo3[Personel Ad]=A37)*(Tablo3[Ürün Kar Tutarı]))</f>
        <v>0</v>
      </c>
      <c r="D37" s="14"/>
      <c r="F37" s="9" cm="1">
        <f t="array" ref="F37">SUMPRODUCT((Tablo3[Şehirler]=E37)*(Tablo3[Ürün Kar Tutarı]))</f>
        <v>0</v>
      </c>
      <c r="H37" s="14"/>
      <c r="J37" s="9" cm="1">
        <f t="array" ref="J37">SUMPRODUCT((Tablo3[Urun Ad]=I37)*(Tablo3[Ürün Kar Tutarı]))</f>
        <v>0</v>
      </c>
      <c r="L37" s="37"/>
    </row>
    <row r="38" spans="1:12" x14ac:dyDescent="0.25">
      <c r="A38" s="13"/>
      <c r="B38" s="9" cm="1">
        <f t="array" ref="B38">SUMPRODUCT((Tablo3[Personel Ad]=A38)*(Tablo3[Ürün Kar Tutarı]))</f>
        <v>0</v>
      </c>
      <c r="D38" s="14"/>
      <c r="F38" s="9" cm="1">
        <f t="array" ref="F38">SUMPRODUCT((Tablo3[Şehirler]=E38)*(Tablo3[Ürün Kar Tutarı]))</f>
        <v>0</v>
      </c>
      <c r="H38" s="14"/>
      <c r="J38" s="9" cm="1">
        <f t="array" ref="J38">SUMPRODUCT((Tablo3[Urun Ad]=I38)*(Tablo3[Ürün Kar Tutarı]))</f>
        <v>0</v>
      </c>
      <c r="L38" s="37"/>
    </row>
    <row r="39" spans="1:12" x14ac:dyDescent="0.25">
      <c r="A39" s="13"/>
      <c r="B39" s="9" cm="1">
        <f t="array" ref="B39">SUMPRODUCT((Tablo3[Personel Ad]=A39)*(Tablo3[Ürün Kar Tutarı]))</f>
        <v>0</v>
      </c>
      <c r="D39" s="14"/>
      <c r="F39" s="9" cm="1">
        <f t="array" ref="F39">SUMPRODUCT((Tablo3[Şehirler]=E39)*(Tablo3[Ürün Kar Tutarı]))</f>
        <v>0</v>
      </c>
      <c r="H39" s="14"/>
      <c r="J39" s="9" cm="1">
        <f t="array" ref="J39">SUMPRODUCT((Tablo3[Urun Ad]=I39)*(Tablo3[Ürün Kar Tutarı]))</f>
        <v>0</v>
      </c>
      <c r="L39" s="37"/>
    </row>
    <row r="40" spans="1:12" x14ac:dyDescent="0.25">
      <c r="A40" s="13"/>
      <c r="B40" s="9" cm="1">
        <f t="array" ref="B40">SUMPRODUCT((Tablo3[Personel Ad]=A40)*(Tablo3[Ürün Kar Tutarı]))</f>
        <v>0</v>
      </c>
      <c r="D40" s="14"/>
      <c r="F40" s="9" cm="1">
        <f t="array" ref="F40">SUMPRODUCT((Tablo3[Şehirler]=E40)*(Tablo3[Ürün Kar Tutarı]))</f>
        <v>0</v>
      </c>
      <c r="H40" s="14"/>
      <c r="J40" s="9" cm="1">
        <f t="array" ref="J40">SUMPRODUCT((Tablo3[Urun Ad]=I40)*(Tablo3[Ürün Kar Tutarı]))</f>
        <v>0</v>
      </c>
      <c r="L40" s="37"/>
    </row>
    <row r="41" spans="1:12" x14ac:dyDescent="0.25">
      <c r="A41" s="13"/>
      <c r="B41" s="9" cm="1">
        <f t="array" ref="B41">SUMPRODUCT((Tablo3[Personel Ad]=A41)*(Tablo3[Ürün Kar Tutarı]))</f>
        <v>0</v>
      </c>
      <c r="D41" s="14"/>
      <c r="F41" s="9" cm="1">
        <f t="array" ref="F41">SUMPRODUCT((Tablo3[Şehirler]=E41)*(Tablo3[Ürün Kar Tutarı]))</f>
        <v>0</v>
      </c>
      <c r="H41" s="14"/>
      <c r="J41" s="9" cm="1">
        <f t="array" ref="J41">SUMPRODUCT((Tablo3[Urun Ad]=I41)*(Tablo3[Ürün Kar Tutarı]))</f>
        <v>0</v>
      </c>
      <c r="L41" s="37"/>
    </row>
    <row r="42" spans="1:12" x14ac:dyDescent="0.25">
      <c r="A42" s="13"/>
      <c r="B42" s="9" cm="1">
        <f t="array" ref="B42">SUMPRODUCT((Tablo3[Personel Ad]=A42)*(Tablo3[Ürün Kar Tutarı]))</f>
        <v>0</v>
      </c>
      <c r="D42" s="14"/>
      <c r="F42" s="9" cm="1">
        <f t="array" ref="F42">SUMPRODUCT((Tablo3[Şehirler]=E42)*(Tablo3[Ürün Kar Tutarı]))</f>
        <v>0</v>
      </c>
      <c r="H42" s="14"/>
      <c r="J42" s="9" cm="1">
        <f t="array" ref="J42">SUMPRODUCT((Tablo3[Urun Ad]=I42)*(Tablo3[Ürün Kar Tutarı]))</f>
        <v>0</v>
      </c>
      <c r="L42" s="37"/>
    </row>
    <row r="43" spans="1:12" x14ac:dyDescent="0.25">
      <c r="A43" s="13"/>
      <c r="B43" s="9" cm="1">
        <f t="array" ref="B43">SUMPRODUCT((Tablo3[Personel Ad]=A43)*(Tablo3[Ürün Kar Tutarı]))</f>
        <v>0</v>
      </c>
      <c r="D43" s="14"/>
      <c r="F43" s="9" cm="1">
        <f t="array" ref="F43">SUMPRODUCT((Tablo3[Şehirler]=E43)*(Tablo3[Ürün Kar Tutarı]))</f>
        <v>0</v>
      </c>
      <c r="H43" s="14"/>
      <c r="J43" s="9" cm="1">
        <f t="array" ref="J43">SUMPRODUCT((Tablo3[Urun Ad]=I43)*(Tablo3[Ürün Kar Tutarı]))</f>
        <v>0</v>
      </c>
      <c r="L43" s="37"/>
    </row>
    <row r="44" spans="1:12" x14ac:dyDescent="0.25">
      <c r="A44" s="13"/>
      <c r="B44" s="9" cm="1">
        <f t="array" ref="B44">SUMPRODUCT((Tablo3[Personel Ad]=A44)*(Tablo3[Ürün Kar Tutarı]))</f>
        <v>0</v>
      </c>
      <c r="D44" s="14"/>
      <c r="F44" s="9" cm="1">
        <f t="array" ref="F44">SUMPRODUCT((Tablo3[Şehirler]=E44)*(Tablo3[Ürün Kar Tutarı]))</f>
        <v>0</v>
      </c>
      <c r="H44" s="14"/>
      <c r="J44" s="9" cm="1">
        <f t="array" ref="J44">SUMPRODUCT((Tablo3[Urun Ad]=I44)*(Tablo3[Ürün Kar Tutarı]))</f>
        <v>0</v>
      </c>
      <c r="L44" s="37"/>
    </row>
    <row r="45" spans="1:12" x14ac:dyDescent="0.25">
      <c r="A45" s="13"/>
      <c r="B45" s="9" cm="1">
        <f t="array" ref="B45">SUMPRODUCT((Tablo3[Personel Ad]=A45)*(Tablo3[Ürün Kar Tutarı]))</f>
        <v>0</v>
      </c>
      <c r="D45" s="14"/>
      <c r="F45" s="9" cm="1">
        <f t="array" ref="F45">SUMPRODUCT((Tablo3[Şehirler]=E45)*(Tablo3[Ürün Kar Tutarı]))</f>
        <v>0</v>
      </c>
      <c r="H45" s="14"/>
      <c r="J45" s="9" cm="1">
        <f t="array" ref="J45">SUMPRODUCT((Tablo3[Urun Ad]=I45)*(Tablo3[Ürün Kar Tutarı]))</f>
        <v>0</v>
      </c>
      <c r="L45" s="37"/>
    </row>
    <row r="46" spans="1:12" x14ac:dyDescent="0.25">
      <c r="A46" s="13"/>
      <c r="B46" s="9" cm="1">
        <f t="array" ref="B46">SUMPRODUCT((Tablo3[Personel Ad]=A46)*(Tablo3[Ürün Kar Tutarı]))</f>
        <v>0</v>
      </c>
      <c r="D46" s="14"/>
      <c r="F46" s="9" cm="1">
        <f t="array" ref="F46">SUMPRODUCT((Tablo3[Şehirler]=E46)*(Tablo3[Ürün Kar Tutarı]))</f>
        <v>0</v>
      </c>
      <c r="H46" s="14"/>
      <c r="J46" s="9" cm="1">
        <f t="array" ref="J46">SUMPRODUCT((Tablo3[Urun Ad]=I46)*(Tablo3[Ürün Kar Tutarı]))</f>
        <v>0</v>
      </c>
      <c r="L46" s="37"/>
    </row>
    <row r="47" spans="1:12" x14ac:dyDescent="0.25">
      <c r="A47" s="13"/>
      <c r="B47" s="9" cm="1">
        <f t="array" ref="B47">SUMPRODUCT((Tablo3[Personel Ad]=A47)*(Tablo3[Ürün Kar Tutarı]))</f>
        <v>0</v>
      </c>
      <c r="D47" s="14"/>
      <c r="F47" s="9" cm="1">
        <f t="array" ref="F47">SUMPRODUCT((Tablo3[Şehirler]=E47)*(Tablo3[Ürün Kar Tutarı]))</f>
        <v>0</v>
      </c>
      <c r="H47" s="14"/>
      <c r="J47" s="9" cm="1">
        <f t="array" ref="J47">SUMPRODUCT((Tablo3[Urun Ad]=I47)*(Tablo3[Ürün Kar Tutarı]))</f>
        <v>0</v>
      </c>
      <c r="L47" s="37"/>
    </row>
    <row r="48" spans="1:12" x14ac:dyDescent="0.25">
      <c r="A48" s="13"/>
      <c r="B48" s="9" cm="1">
        <f t="array" ref="B48">SUMPRODUCT((Tablo3[Personel Ad]=A48)*(Tablo3[Ürün Kar Tutarı]))</f>
        <v>0</v>
      </c>
      <c r="D48" s="14"/>
      <c r="F48" s="9" cm="1">
        <f t="array" ref="F48">SUMPRODUCT((Tablo3[Şehirler]=E48)*(Tablo3[Ürün Kar Tutarı]))</f>
        <v>0</v>
      </c>
      <c r="H48" s="14"/>
      <c r="J48" s="9" cm="1">
        <f t="array" ref="J48">SUMPRODUCT((Tablo3[Urun Ad]=I48)*(Tablo3[Ürün Kar Tutarı]))</f>
        <v>0</v>
      </c>
      <c r="L48" s="37"/>
    </row>
    <row r="49" spans="1:12" x14ac:dyDescent="0.25">
      <c r="A49" s="13"/>
      <c r="B49" s="9" cm="1">
        <f t="array" ref="B49">SUMPRODUCT((Tablo3[Personel Ad]=A49)*(Tablo3[Ürün Kar Tutarı]))</f>
        <v>0</v>
      </c>
      <c r="D49" s="14"/>
      <c r="F49" s="9" cm="1">
        <f t="array" ref="F49">SUMPRODUCT((Tablo3[Şehirler]=E49)*(Tablo3[Ürün Kar Tutarı]))</f>
        <v>0</v>
      </c>
      <c r="H49" s="14"/>
      <c r="J49" s="9" cm="1">
        <f t="array" ref="J49">SUMPRODUCT((Tablo3[Urun Ad]=I49)*(Tablo3[Ürün Kar Tutarı]))</f>
        <v>0</v>
      </c>
      <c r="L49" s="37"/>
    </row>
    <row r="50" spans="1:12" x14ac:dyDescent="0.25">
      <c r="A50" s="13"/>
      <c r="B50" s="9" cm="1">
        <f t="array" ref="B50">SUMPRODUCT((Tablo3[Personel Ad]=A50)*(Tablo3[Ürün Kar Tutarı]))</f>
        <v>0</v>
      </c>
      <c r="D50" s="14"/>
      <c r="F50" s="9" cm="1">
        <f t="array" ref="F50">SUMPRODUCT((Tablo3[Şehirler]=E50)*(Tablo3[Ürün Kar Tutarı]))</f>
        <v>0</v>
      </c>
      <c r="H50" s="14"/>
      <c r="J50" s="9" cm="1">
        <f t="array" ref="J50">SUMPRODUCT((Tablo3[Urun Ad]=I50)*(Tablo3[Ürün Kar Tutarı]))</f>
        <v>0</v>
      </c>
      <c r="L50" s="37"/>
    </row>
    <row r="51" spans="1:12" x14ac:dyDescent="0.25">
      <c r="A51" s="13"/>
      <c r="B51" s="9" cm="1">
        <f t="array" ref="B51">SUMPRODUCT((Tablo3[Personel Ad]=A51)*(Tablo3[Ürün Kar Tutarı]))</f>
        <v>0</v>
      </c>
      <c r="D51" s="14"/>
      <c r="F51" s="9" cm="1">
        <f t="array" ref="F51">SUMPRODUCT((Tablo3[Şehirler]=E51)*(Tablo3[Ürün Kar Tutarı]))</f>
        <v>0</v>
      </c>
      <c r="H51" s="14"/>
      <c r="J51" s="9" cm="1">
        <f t="array" ref="J51">SUMPRODUCT((Tablo3[Urun Ad]=I51)*(Tablo3[Ürün Kar Tutarı]))</f>
        <v>0</v>
      </c>
      <c r="L51" s="37"/>
    </row>
    <row r="52" spans="1:12" x14ac:dyDescent="0.25">
      <c r="A52" s="13"/>
      <c r="B52" s="9" cm="1">
        <f t="array" ref="B52">SUMPRODUCT((Tablo3[Personel Ad]=A52)*(Tablo3[Ürün Kar Tutarı]))</f>
        <v>0</v>
      </c>
      <c r="D52" s="14"/>
      <c r="F52" s="9" cm="1">
        <f t="array" ref="F52">SUMPRODUCT((Tablo3[Şehirler]=E52)*(Tablo3[Ürün Kar Tutarı]))</f>
        <v>0</v>
      </c>
      <c r="H52" s="14"/>
      <c r="J52" s="9" cm="1">
        <f t="array" ref="J52">SUMPRODUCT((Tablo3[Urun Ad]=I52)*(Tablo3[Ürün Kar Tutarı]))</f>
        <v>0</v>
      </c>
      <c r="L52" s="37"/>
    </row>
    <row r="53" spans="1:12" x14ac:dyDescent="0.25">
      <c r="A53" s="13"/>
      <c r="B53" s="9" cm="1">
        <f t="array" ref="B53">SUMPRODUCT((Tablo3[Personel Ad]=A53)*(Tablo3[Ürün Kar Tutarı]))</f>
        <v>0</v>
      </c>
      <c r="D53" s="14"/>
      <c r="F53" s="9" cm="1">
        <f t="array" ref="F53">SUMPRODUCT((Tablo3[Şehirler]=E53)*(Tablo3[Ürün Kar Tutarı]))</f>
        <v>0</v>
      </c>
      <c r="H53" s="14"/>
      <c r="J53" s="9" cm="1">
        <f t="array" ref="J53">SUMPRODUCT((Tablo3[Urun Ad]=I53)*(Tablo3[Ürün Kar Tutarı]))</f>
        <v>0</v>
      </c>
      <c r="L53" s="37"/>
    </row>
    <row r="54" spans="1:12" x14ac:dyDescent="0.25">
      <c r="A54" s="13"/>
      <c r="B54" s="9" cm="1">
        <f t="array" ref="B54">SUMPRODUCT((Tablo3[Personel Ad]=A54)*(Tablo3[Ürün Kar Tutarı]))</f>
        <v>0</v>
      </c>
      <c r="D54" s="14"/>
      <c r="F54" s="9" cm="1">
        <f t="array" ref="F54">SUMPRODUCT((Tablo3[Şehirler]=E54)*(Tablo3[Ürün Kar Tutarı]))</f>
        <v>0</v>
      </c>
      <c r="H54" s="14"/>
      <c r="J54" s="9" cm="1">
        <f t="array" ref="J54">SUMPRODUCT((Tablo3[Urun Ad]=I54)*(Tablo3[Ürün Kar Tutarı]))</f>
        <v>0</v>
      </c>
      <c r="L54" s="37"/>
    </row>
    <row r="55" spans="1:12" x14ac:dyDescent="0.25">
      <c r="A55" s="13"/>
      <c r="B55" s="9" cm="1">
        <f t="array" ref="B55">SUMPRODUCT((Tablo3[Personel Ad]=A55)*(Tablo3[Ürün Kar Tutarı]))</f>
        <v>0</v>
      </c>
      <c r="D55" s="14"/>
      <c r="F55" s="9" cm="1">
        <f t="array" ref="F55">SUMPRODUCT((Tablo3[Şehirler]=E55)*(Tablo3[Ürün Kar Tutarı]))</f>
        <v>0</v>
      </c>
      <c r="H55" s="14"/>
      <c r="J55" s="9" cm="1">
        <f t="array" ref="J55">SUMPRODUCT((Tablo3[Urun Ad]=I55)*(Tablo3[Ürün Kar Tutarı]))</f>
        <v>0</v>
      </c>
      <c r="L55" s="37"/>
    </row>
    <row r="56" spans="1:12" x14ac:dyDescent="0.25">
      <c r="A56" s="13"/>
      <c r="B56" s="9" cm="1">
        <f t="array" ref="B56">SUMPRODUCT((Tablo3[Personel Ad]=A56)*(Tablo3[Ürün Kar Tutarı]))</f>
        <v>0</v>
      </c>
      <c r="D56" s="14"/>
      <c r="F56" s="9" cm="1">
        <f t="array" ref="F56">SUMPRODUCT((Tablo3[Şehirler]=E56)*(Tablo3[Ürün Kar Tutarı]))</f>
        <v>0</v>
      </c>
      <c r="H56" s="14"/>
      <c r="J56" s="9" cm="1">
        <f t="array" ref="J56">SUMPRODUCT((Tablo3[Urun Ad]=I56)*(Tablo3[Ürün Kar Tutarı]))</f>
        <v>0</v>
      </c>
      <c r="L56" s="37"/>
    </row>
    <row r="57" spans="1:12" x14ac:dyDescent="0.25">
      <c r="A57" s="13"/>
      <c r="B57" s="9" cm="1">
        <f t="array" ref="B57">SUMPRODUCT((Tablo3[Personel Ad]=A57)*(Tablo3[Ürün Kar Tutarı]))</f>
        <v>0</v>
      </c>
      <c r="D57" s="14"/>
      <c r="F57" s="9" cm="1">
        <f t="array" ref="F57">SUMPRODUCT((Tablo3[Şehirler]=E57)*(Tablo3[Ürün Kar Tutarı]))</f>
        <v>0</v>
      </c>
      <c r="H57" s="14"/>
      <c r="J57" s="9" cm="1">
        <f t="array" ref="J57">SUMPRODUCT((Tablo3[Urun Ad]=I57)*(Tablo3[Ürün Kar Tutarı]))</f>
        <v>0</v>
      </c>
      <c r="L57" s="37"/>
    </row>
    <row r="58" spans="1:12" x14ac:dyDescent="0.25">
      <c r="A58" s="13"/>
      <c r="B58" s="9" cm="1">
        <f t="array" ref="B58">SUMPRODUCT((Tablo3[Personel Ad]=A58)*(Tablo3[Ürün Kar Tutarı]))</f>
        <v>0</v>
      </c>
      <c r="D58" s="14"/>
      <c r="F58" s="9" cm="1">
        <f t="array" ref="F58">SUMPRODUCT((Tablo3[Şehirler]=E58)*(Tablo3[Ürün Kar Tutarı]))</f>
        <v>0</v>
      </c>
      <c r="H58" s="14"/>
      <c r="J58" s="9" cm="1">
        <f t="array" ref="J58">SUMPRODUCT((Tablo3[Urun Ad]=I58)*(Tablo3[Ürün Kar Tutarı]))</f>
        <v>0</v>
      </c>
      <c r="L58" s="37"/>
    </row>
    <row r="59" spans="1:12" x14ac:dyDescent="0.25">
      <c r="A59" s="13"/>
      <c r="B59" s="9" cm="1">
        <f t="array" ref="B59">SUMPRODUCT((Tablo3[Personel Ad]=A59)*(Tablo3[Ürün Kar Tutarı]))</f>
        <v>0</v>
      </c>
      <c r="D59" s="14"/>
      <c r="F59" s="9" cm="1">
        <f t="array" ref="F59">SUMPRODUCT((Tablo3[Şehirler]=E59)*(Tablo3[Ürün Kar Tutarı]))</f>
        <v>0</v>
      </c>
      <c r="H59" s="14"/>
      <c r="J59" s="9" cm="1">
        <f t="array" ref="J59">SUMPRODUCT((Tablo3[Urun Ad]=I59)*(Tablo3[Ürün Kar Tutarı]))</f>
        <v>0</v>
      </c>
      <c r="L59" s="37"/>
    </row>
    <row r="60" spans="1:12" x14ac:dyDescent="0.25">
      <c r="A60" s="13"/>
      <c r="B60" s="9" cm="1">
        <f t="array" ref="B60">SUMPRODUCT((Tablo3[Personel Ad]=A60)*(Tablo3[Ürün Kar Tutarı]))</f>
        <v>0</v>
      </c>
      <c r="D60" s="14"/>
      <c r="F60" s="9" cm="1">
        <f t="array" ref="F60">SUMPRODUCT((Tablo3[Şehirler]=E60)*(Tablo3[Ürün Kar Tutarı]))</f>
        <v>0</v>
      </c>
      <c r="H60" s="14"/>
      <c r="J60" s="9" cm="1">
        <f t="array" ref="J60">SUMPRODUCT((Tablo3[Urun Ad]=I60)*(Tablo3[Ürün Kar Tutarı]))</f>
        <v>0</v>
      </c>
      <c r="L60" s="37"/>
    </row>
    <row r="61" spans="1:12" x14ac:dyDescent="0.25">
      <c r="A61" s="13"/>
      <c r="B61" s="9" cm="1">
        <f t="array" ref="B61">SUMPRODUCT((Tablo3[Personel Ad]=A61)*(Tablo3[Ürün Kar Tutarı]))</f>
        <v>0</v>
      </c>
      <c r="D61" s="14"/>
      <c r="F61" s="9" cm="1">
        <f t="array" ref="F61">SUMPRODUCT((Tablo3[Şehirler]=E61)*(Tablo3[Ürün Kar Tutarı]))</f>
        <v>0</v>
      </c>
      <c r="H61" s="14"/>
      <c r="J61" s="9" cm="1">
        <f t="array" ref="J61">SUMPRODUCT((Tablo3[Urun Ad]=I61)*(Tablo3[Ürün Kar Tutarı]))</f>
        <v>0</v>
      </c>
      <c r="L61" s="37"/>
    </row>
    <row r="62" spans="1:12" x14ac:dyDescent="0.25">
      <c r="A62" s="13"/>
      <c r="B62" s="9" cm="1">
        <f t="array" ref="B62">SUMPRODUCT((Tablo3[Personel Ad]=A62)*(Tablo3[Ürün Kar Tutarı]))</f>
        <v>0</v>
      </c>
      <c r="D62" s="14"/>
      <c r="F62" s="9" cm="1">
        <f t="array" ref="F62">SUMPRODUCT((Tablo3[Şehirler]=E62)*(Tablo3[Ürün Kar Tutarı]))</f>
        <v>0</v>
      </c>
      <c r="H62" s="14"/>
      <c r="J62" s="9" cm="1">
        <f t="array" ref="J62">SUMPRODUCT((Tablo3[Urun Ad]=I62)*(Tablo3[Ürün Kar Tutarı]))</f>
        <v>0</v>
      </c>
      <c r="L62" s="37"/>
    </row>
    <row r="63" spans="1:12" x14ac:dyDescent="0.25">
      <c r="A63" s="13"/>
      <c r="B63" s="9" cm="1">
        <f t="array" ref="B63">SUMPRODUCT((Tablo3[Personel Ad]=A63)*(Tablo3[Ürün Kar Tutarı]))</f>
        <v>0</v>
      </c>
      <c r="D63" s="14"/>
      <c r="F63" s="9" cm="1">
        <f t="array" ref="F63">SUMPRODUCT((Tablo3[Şehirler]=E63)*(Tablo3[Ürün Kar Tutarı]))</f>
        <v>0</v>
      </c>
      <c r="H63" s="14"/>
      <c r="J63" s="9" cm="1">
        <f t="array" ref="J63">SUMPRODUCT((Tablo3[Urun Ad]=I63)*(Tablo3[Ürün Kar Tutarı]))</f>
        <v>0</v>
      </c>
      <c r="L63" s="37"/>
    </row>
    <row r="64" spans="1:12" x14ac:dyDescent="0.25">
      <c r="A64" s="13"/>
      <c r="B64" s="9" cm="1">
        <f t="array" ref="B64">SUMPRODUCT((Tablo3[Personel Ad]=A64)*(Tablo3[Ürün Kar Tutarı]))</f>
        <v>0</v>
      </c>
      <c r="D64" s="14"/>
      <c r="F64" s="9" cm="1">
        <f t="array" ref="F64">SUMPRODUCT((Tablo3[Şehirler]=E64)*(Tablo3[Ürün Kar Tutarı]))</f>
        <v>0</v>
      </c>
      <c r="H64" s="14"/>
      <c r="J64" s="9" cm="1">
        <f t="array" ref="J64">SUMPRODUCT((Tablo3[Urun Ad]=I64)*(Tablo3[Ürün Kar Tutarı]))</f>
        <v>0</v>
      </c>
      <c r="L64" s="37"/>
    </row>
    <row r="65" spans="1:12" x14ac:dyDescent="0.25">
      <c r="A65" s="13"/>
      <c r="B65" s="9" cm="1">
        <f t="array" ref="B65">SUMPRODUCT((Tablo3[Personel Ad]=A65)*(Tablo3[Ürün Kar Tutarı]))</f>
        <v>0</v>
      </c>
      <c r="D65" s="14"/>
      <c r="F65" s="9" cm="1">
        <f t="array" ref="F65">SUMPRODUCT((Tablo3[Şehirler]=E65)*(Tablo3[Ürün Kar Tutarı]))</f>
        <v>0</v>
      </c>
      <c r="H65" s="14"/>
      <c r="J65" s="9" cm="1">
        <f t="array" ref="J65">SUMPRODUCT((Tablo3[Urun Ad]=I65)*(Tablo3[Ürün Kar Tutarı]))</f>
        <v>0</v>
      </c>
      <c r="L65" s="37"/>
    </row>
    <row r="66" spans="1:12" x14ac:dyDescent="0.25">
      <c r="A66" s="13"/>
      <c r="B66" s="9" cm="1">
        <f t="array" ref="B66">SUMPRODUCT((Tablo3[Personel Ad]=A66)*(Tablo3[Ürün Kar Tutarı]))</f>
        <v>0</v>
      </c>
      <c r="D66" s="14"/>
      <c r="F66" s="9" cm="1">
        <f t="array" ref="F66">SUMPRODUCT((Tablo3[Şehirler]=E66)*(Tablo3[Ürün Kar Tutarı]))</f>
        <v>0</v>
      </c>
      <c r="H66" s="14"/>
      <c r="J66" s="9" cm="1">
        <f t="array" ref="J66">SUMPRODUCT((Tablo3[Urun Ad]=I66)*(Tablo3[Ürün Kar Tutarı]))</f>
        <v>0</v>
      </c>
      <c r="L66" s="37"/>
    </row>
    <row r="67" spans="1:12" x14ac:dyDescent="0.25">
      <c r="A67" s="13"/>
      <c r="B67" s="9" cm="1">
        <f t="array" ref="B67">SUMPRODUCT((Tablo3[Personel Ad]=A67)*(Tablo3[Ürün Kar Tutarı]))</f>
        <v>0</v>
      </c>
      <c r="D67" s="14"/>
      <c r="F67" s="9" cm="1">
        <f t="array" ref="F67">SUMPRODUCT((Tablo3[Şehirler]=E67)*(Tablo3[Ürün Kar Tutarı]))</f>
        <v>0</v>
      </c>
      <c r="H67" s="14"/>
      <c r="J67" s="9" cm="1">
        <f t="array" ref="J67">SUMPRODUCT((Tablo3[Urun Ad]=I67)*(Tablo3[Ürün Kar Tutarı]))</f>
        <v>0</v>
      </c>
      <c r="L67" s="37"/>
    </row>
    <row r="68" spans="1:12" x14ac:dyDescent="0.25">
      <c r="A68" s="13"/>
      <c r="B68" s="9" cm="1">
        <f t="array" ref="B68">SUMPRODUCT((Tablo3[Personel Ad]=A68)*(Tablo3[Ürün Kar Tutarı]))</f>
        <v>0</v>
      </c>
      <c r="D68" s="14"/>
      <c r="F68" s="9" cm="1">
        <f t="array" ref="F68">SUMPRODUCT((Tablo3[Şehirler]=E68)*(Tablo3[Ürün Kar Tutarı]))</f>
        <v>0</v>
      </c>
      <c r="H68" s="14"/>
      <c r="J68" s="9" cm="1">
        <f t="array" ref="J68">SUMPRODUCT((Tablo3[Urun Ad]=I68)*(Tablo3[Ürün Kar Tutarı]))</f>
        <v>0</v>
      </c>
      <c r="L68" s="37"/>
    </row>
    <row r="69" spans="1:12" x14ac:dyDescent="0.25">
      <c r="A69" s="13"/>
      <c r="B69" s="9" cm="1">
        <f t="array" ref="B69">SUMPRODUCT((Tablo3[Personel Ad]=A69)*(Tablo3[Ürün Kar Tutarı]))</f>
        <v>0</v>
      </c>
      <c r="D69" s="14"/>
      <c r="F69" s="9" cm="1">
        <f t="array" ref="F69">SUMPRODUCT((Tablo3[Şehirler]=E69)*(Tablo3[Ürün Kar Tutarı]))</f>
        <v>0</v>
      </c>
      <c r="H69" s="14"/>
      <c r="J69" s="9" cm="1">
        <f t="array" ref="J69">SUMPRODUCT((Tablo3[Urun Ad]=I69)*(Tablo3[Ürün Kar Tutarı]))</f>
        <v>0</v>
      </c>
      <c r="L69" s="37"/>
    </row>
    <row r="70" spans="1:12" x14ac:dyDescent="0.25">
      <c r="A70" s="13"/>
      <c r="B70" s="9" cm="1">
        <f t="array" ref="B70">SUMPRODUCT((Tablo3[Personel Ad]=A70)*(Tablo3[Ürün Kar Tutarı]))</f>
        <v>0</v>
      </c>
      <c r="D70" s="14"/>
      <c r="F70" s="9" cm="1">
        <f t="array" ref="F70">SUMPRODUCT((Tablo3[Şehirler]=E70)*(Tablo3[Ürün Kar Tutarı]))</f>
        <v>0</v>
      </c>
      <c r="H70" s="14"/>
      <c r="J70" s="9" cm="1">
        <f t="array" ref="J70">SUMPRODUCT((Tablo3[Urun Ad]=I70)*(Tablo3[Ürün Kar Tutarı]))</f>
        <v>0</v>
      </c>
      <c r="L70" s="37"/>
    </row>
    <row r="71" spans="1:12" x14ac:dyDescent="0.25">
      <c r="A71" s="13"/>
      <c r="B71" s="9" cm="1">
        <f t="array" ref="B71">SUMPRODUCT((Tablo3[Personel Ad]=A71)*(Tablo3[Ürün Kar Tutarı]))</f>
        <v>0</v>
      </c>
      <c r="D71" s="14"/>
      <c r="F71" s="9" cm="1">
        <f t="array" ref="F71">SUMPRODUCT((Tablo3[Şehirler]=E71)*(Tablo3[Ürün Kar Tutarı]))</f>
        <v>0</v>
      </c>
      <c r="H71" s="14"/>
      <c r="J71" s="9" cm="1">
        <f t="array" ref="J71">SUMPRODUCT((Tablo3[Urun Ad]=I71)*(Tablo3[Ürün Kar Tutarı]))</f>
        <v>0</v>
      </c>
      <c r="L71" s="37"/>
    </row>
    <row r="72" spans="1:12" x14ac:dyDescent="0.25">
      <c r="A72" s="13"/>
      <c r="B72" s="9" cm="1">
        <f t="array" ref="B72">SUMPRODUCT((Tablo3[Personel Ad]=A72)*(Tablo3[Ürün Kar Tutarı]))</f>
        <v>0</v>
      </c>
      <c r="D72" s="14"/>
      <c r="F72" s="9" cm="1">
        <f t="array" ref="F72">SUMPRODUCT((Tablo3[Şehirler]=E72)*(Tablo3[Ürün Kar Tutarı]))</f>
        <v>0</v>
      </c>
      <c r="H72" s="14"/>
      <c r="J72" s="9" cm="1">
        <f t="array" ref="J72">SUMPRODUCT((Tablo3[Urun Ad]=I72)*(Tablo3[Ürün Kar Tutarı]))</f>
        <v>0</v>
      </c>
      <c r="L72" s="37"/>
    </row>
    <row r="73" spans="1:12" x14ac:dyDescent="0.25">
      <c r="A73" s="13"/>
      <c r="B73" s="9" cm="1">
        <f t="array" ref="B73">SUMPRODUCT((Tablo3[Personel Ad]=A73)*(Tablo3[Ürün Kar Tutarı]))</f>
        <v>0</v>
      </c>
      <c r="D73" s="14"/>
      <c r="F73" s="9" cm="1">
        <f t="array" ref="F73">SUMPRODUCT((Tablo3[Şehirler]=E73)*(Tablo3[Ürün Kar Tutarı]))</f>
        <v>0</v>
      </c>
      <c r="H73" s="14"/>
      <c r="J73" s="9" cm="1">
        <f t="array" ref="J73">SUMPRODUCT((Tablo3[Urun Ad]=I73)*(Tablo3[Ürün Kar Tutarı]))</f>
        <v>0</v>
      </c>
      <c r="L73" s="37"/>
    </row>
    <row r="74" spans="1:12" x14ac:dyDescent="0.25">
      <c r="A74" s="13"/>
      <c r="B74" s="9" cm="1">
        <f t="array" ref="B74">SUMPRODUCT((Tablo3[Personel Ad]=A74)*(Tablo3[Ürün Kar Tutarı]))</f>
        <v>0</v>
      </c>
      <c r="D74" s="14"/>
      <c r="F74" s="9" cm="1">
        <f t="array" ref="F74">SUMPRODUCT((Tablo3[Şehirler]=E74)*(Tablo3[Ürün Kar Tutarı]))</f>
        <v>0</v>
      </c>
      <c r="H74" s="14"/>
      <c r="J74" s="9" cm="1">
        <f t="array" ref="J74">SUMPRODUCT((Tablo3[Urun Ad]=I74)*(Tablo3[Ürün Kar Tutarı]))</f>
        <v>0</v>
      </c>
      <c r="L74" s="37"/>
    </row>
    <row r="75" spans="1:12" x14ac:dyDescent="0.25">
      <c r="A75" s="13"/>
      <c r="B75" s="9" cm="1">
        <f t="array" ref="B75">SUMPRODUCT((Tablo3[Personel Ad]=A75)*(Tablo3[Ürün Kar Tutarı]))</f>
        <v>0</v>
      </c>
      <c r="D75" s="14"/>
      <c r="F75" s="9" cm="1">
        <f t="array" ref="F75">SUMPRODUCT((Tablo3[Şehirler]=E75)*(Tablo3[Ürün Kar Tutarı]))</f>
        <v>0</v>
      </c>
      <c r="H75" s="14"/>
      <c r="J75" s="9" cm="1">
        <f t="array" ref="J75">SUMPRODUCT((Tablo3[Urun Ad]=I75)*(Tablo3[Ürün Kar Tutarı]))</f>
        <v>0</v>
      </c>
      <c r="L75" s="37"/>
    </row>
    <row r="76" spans="1:12" x14ac:dyDescent="0.25">
      <c r="A76" s="13"/>
      <c r="B76" s="9" cm="1">
        <f t="array" ref="B76">SUMPRODUCT((Tablo3[Personel Ad]=A76)*(Tablo3[Ürün Kar Tutarı]))</f>
        <v>0</v>
      </c>
      <c r="D76" s="14"/>
      <c r="F76" s="9" cm="1">
        <f t="array" ref="F76">SUMPRODUCT((Tablo3[Şehirler]=E76)*(Tablo3[Ürün Kar Tutarı]))</f>
        <v>0</v>
      </c>
      <c r="H76" s="14"/>
      <c r="J76" s="9" cm="1">
        <f t="array" ref="J76">SUMPRODUCT((Tablo3[Urun Ad]=I76)*(Tablo3[Ürün Kar Tutarı]))</f>
        <v>0</v>
      </c>
      <c r="L76" s="37"/>
    </row>
    <row r="77" spans="1:12" x14ac:dyDescent="0.25">
      <c r="A77" s="13"/>
      <c r="B77" s="9" cm="1">
        <f t="array" ref="B77">SUMPRODUCT((Tablo3[Personel Ad]=A77)*(Tablo3[Ürün Kar Tutarı]))</f>
        <v>0</v>
      </c>
      <c r="D77" s="14"/>
      <c r="F77" s="9" cm="1">
        <f t="array" ref="F77">SUMPRODUCT((Tablo3[Şehirler]=E77)*(Tablo3[Ürün Kar Tutarı]))</f>
        <v>0</v>
      </c>
      <c r="H77" s="14"/>
      <c r="J77" s="9" cm="1">
        <f t="array" ref="J77">SUMPRODUCT((Tablo3[Urun Ad]=I77)*(Tablo3[Ürün Kar Tutarı]))</f>
        <v>0</v>
      </c>
      <c r="L77" s="37"/>
    </row>
    <row r="78" spans="1:12" x14ac:dyDescent="0.25">
      <c r="A78" s="13"/>
      <c r="B78" s="9" cm="1">
        <f t="array" ref="B78">SUMPRODUCT((Tablo3[Personel Ad]=A78)*(Tablo3[Ürün Kar Tutarı]))</f>
        <v>0</v>
      </c>
      <c r="D78" s="14"/>
      <c r="F78" s="9" cm="1">
        <f t="array" ref="F78">SUMPRODUCT((Tablo3[Şehirler]=E78)*(Tablo3[Ürün Kar Tutarı]))</f>
        <v>0</v>
      </c>
      <c r="H78" s="14"/>
      <c r="J78" s="9" cm="1">
        <f t="array" ref="J78">SUMPRODUCT((Tablo3[Urun Ad]=I78)*(Tablo3[Ürün Kar Tutarı]))</f>
        <v>0</v>
      </c>
      <c r="L78" s="37"/>
    </row>
    <row r="79" spans="1:12" x14ac:dyDescent="0.25">
      <c r="A79" s="13"/>
      <c r="B79" s="9" cm="1">
        <f t="array" ref="B79">SUMPRODUCT((Tablo3[Personel Ad]=A79)*(Tablo3[Ürün Kar Tutarı]))</f>
        <v>0</v>
      </c>
      <c r="D79" s="14"/>
      <c r="F79" s="9" cm="1">
        <f t="array" ref="F79">SUMPRODUCT((Tablo3[Şehirler]=E79)*(Tablo3[Ürün Kar Tutarı]))</f>
        <v>0</v>
      </c>
      <c r="H79" s="14"/>
      <c r="J79" s="9" cm="1">
        <f t="array" ref="J79">SUMPRODUCT((Tablo3[Urun Ad]=I79)*(Tablo3[Ürün Kar Tutarı]))</f>
        <v>0</v>
      </c>
      <c r="L79" s="37"/>
    </row>
    <row r="80" spans="1:12" x14ac:dyDescent="0.25">
      <c r="A80" s="13"/>
      <c r="B80" s="9" cm="1">
        <f t="array" ref="B80">SUMPRODUCT((Tablo3[Personel Ad]=A80)*(Tablo3[Ürün Kar Tutarı]))</f>
        <v>0</v>
      </c>
      <c r="D80" s="14"/>
      <c r="F80" s="9" cm="1">
        <f t="array" ref="F80">SUMPRODUCT((Tablo3[Şehirler]=E80)*(Tablo3[Ürün Kar Tutarı]))</f>
        <v>0</v>
      </c>
      <c r="H80" s="14"/>
      <c r="J80" s="9" cm="1">
        <f t="array" ref="J80">SUMPRODUCT((Tablo3[Urun Ad]=I80)*(Tablo3[Ürün Kar Tutarı]))</f>
        <v>0</v>
      </c>
      <c r="L80" s="37"/>
    </row>
    <row r="81" spans="1:12" x14ac:dyDescent="0.25">
      <c r="A81" s="13"/>
      <c r="B81" s="9" cm="1">
        <f t="array" ref="B81">SUMPRODUCT((Tablo3[Personel Ad]=A81)*(Tablo3[Ürün Kar Tutarı]))</f>
        <v>0</v>
      </c>
      <c r="D81" s="14"/>
      <c r="F81" s="9" cm="1">
        <f t="array" ref="F81">SUMPRODUCT((Tablo3[Şehirler]=E81)*(Tablo3[Ürün Kar Tutarı]))</f>
        <v>0</v>
      </c>
      <c r="H81" s="14"/>
      <c r="J81" s="9" cm="1">
        <f t="array" ref="J81">SUMPRODUCT((Tablo3[Urun Ad]=I81)*(Tablo3[Ürün Kar Tutarı]))</f>
        <v>0</v>
      </c>
      <c r="L81" s="37"/>
    </row>
    <row r="82" spans="1:12" x14ac:dyDescent="0.25">
      <c r="A82" s="13"/>
      <c r="B82" s="9" cm="1">
        <f t="array" ref="B82">SUMPRODUCT((Tablo3[Personel Ad]=A82)*(Tablo3[Ürün Kar Tutarı]))</f>
        <v>0</v>
      </c>
      <c r="D82" s="14"/>
      <c r="F82" s="9" cm="1">
        <f t="array" ref="F82">SUMPRODUCT((Tablo3[Şehirler]=E82)*(Tablo3[Ürün Kar Tutarı]))</f>
        <v>0</v>
      </c>
      <c r="H82" s="14"/>
      <c r="J82" s="9" cm="1">
        <f t="array" ref="J82">SUMPRODUCT((Tablo3[Urun Ad]=I82)*(Tablo3[Ürün Kar Tutarı]))</f>
        <v>0</v>
      </c>
      <c r="L82" s="37"/>
    </row>
    <row r="83" spans="1:12" x14ac:dyDescent="0.25">
      <c r="A83" s="13"/>
      <c r="B83" s="9" cm="1">
        <f t="array" ref="B83">SUMPRODUCT((Tablo3[Personel Ad]=A83)*(Tablo3[Ürün Kar Tutarı]))</f>
        <v>0</v>
      </c>
      <c r="D83" s="14"/>
      <c r="F83" s="9" cm="1">
        <f t="array" ref="F83">SUMPRODUCT((Tablo3[Şehirler]=E83)*(Tablo3[Ürün Kar Tutarı]))</f>
        <v>0</v>
      </c>
      <c r="H83" s="14"/>
      <c r="J83" s="9" cm="1">
        <f t="array" ref="J83">SUMPRODUCT((Tablo3[Urun Ad]=I83)*(Tablo3[Ürün Kar Tutarı]))</f>
        <v>0</v>
      </c>
      <c r="L83" s="37"/>
    </row>
    <row r="84" spans="1:12" x14ac:dyDescent="0.25">
      <c r="A84" s="13"/>
      <c r="B84" s="9" cm="1">
        <f t="array" ref="B84">SUMPRODUCT((Tablo3[Personel Ad]=A84)*(Tablo3[Ürün Kar Tutarı]))</f>
        <v>0</v>
      </c>
      <c r="D84" s="14"/>
      <c r="F84" s="9" cm="1">
        <f t="array" ref="F84">SUMPRODUCT((Tablo3[Şehirler]=E84)*(Tablo3[Ürün Kar Tutarı]))</f>
        <v>0</v>
      </c>
      <c r="H84" s="14"/>
      <c r="J84" s="9" cm="1">
        <f t="array" ref="J84">SUMPRODUCT((Tablo3[Urun Ad]=I84)*(Tablo3[Ürün Kar Tutarı]))</f>
        <v>0</v>
      </c>
      <c r="L84" s="37"/>
    </row>
    <row r="85" spans="1:12" x14ac:dyDescent="0.25">
      <c r="A85" s="13"/>
      <c r="B85" s="9" cm="1">
        <f t="array" ref="B85">SUMPRODUCT((Tablo3[Personel Ad]=A85)*(Tablo3[Ürün Kar Tutarı]))</f>
        <v>0</v>
      </c>
      <c r="D85" s="14"/>
      <c r="F85" s="9" cm="1">
        <f t="array" ref="F85">SUMPRODUCT((Tablo3[Şehirler]=E85)*(Tablo3[Ürün Kar Tutarı]))</f>
        <v>0</v>
      </c>
      <c r="H85" s="14"/>
      <c r="J85" s="9" cm="1">
        <f t="array" ref="J85">SUMPRODUCT((Tablo3[Urun Ad]=I85)*(Tablo3[Ürün Kar Tutarı]))</f>
        <v>0</v>
      </c>
      <c r="L85" s="37"/>
    </row>
    <row r="86" spans="1:12" x14ac:dyDescent="0.25">
      <c r="A86" s="13"/>
      <c r="B86" s="9" cm="1">
        <f t="array" ref="B86">SUMPRODUCT((Tablo3[Personel Ad]=A86)*(Tablo3[Ürün Kar Tutarı]))</f>
        <v>0</v>
      </c>
      <c r="D86" s="14"/>
      <c r="F86" s="9" cm="1">
        <f t="array" ref="F86">SUMPRODUCT((Tablo3[Şehirler]=E86)*(Tablo3[Ürün Kar Tutarı]))</f>
        <v>0</v>
      </c>
      <c r="H86" s="14"/>
      <c r="J86" s="9" cm="1">
        <f t="array" ref="J86">SUMPRODUCT((Tablo3[Urun Ad]=I86)*(Tablo3[Ürün Kar Tutarı]))</f>
        <v>0</v>
      </c>
      <c r="L86" s="37"/>
    </row>
    <row r="87" spans="1:12" x14ac:dyDescent="0.25">
      <c r="A87" s="13"/>
      <c r="B87" s="9" cm="1">
        <f t="array" ref="B87">SUMPRODUCT((Tablo3[Personel Ad]=A87)*(Tablo3[Ürün Kar Tutarı]))</f>
        <v>0</v>
      </c>
      <c r="D87" s="14"/>
      <c r="F87" s="9" cm="1">
        <f t="array" ref="F87">SUMPRODUCT((Tablo3[Şehirler]=E87)*(Tablo3[Ürün Kar Tutarı]))</f>
        <v>0</v>
      </c>
      <c r="H87" s="14"/>
      <c r="J87" s="9" cm="1">
        <f t="array" ref="J87">SUMPRODUCT((Tablo3[Urun Ad]=I87)*(Tablo3[Ürün Kar Tutarı]))</f>
        <v>0</v>
      </c>
      <c r="L87" s="37"/>
    </row>
    <row r="88" spans="1:12" x14ac:dyDescent="0.25">
      <c r="A88" s="13"/>
      <c r="B88" s="9" cm="1">
        <f t="array" ref="B88">SUMPRODUCT((Tablo3[Personel Ad]=A88)*(Tablo3[Ürün Kar Tutarı]))</f>
        <v>0</v>
      </c>
      <c r="D88" s="14"/>
      <c r="F88" s="9" cm="1">
        <f t="array" ref="F88">SUMPRODUCT((Tablo3[Şehirler]=E88)*(Tablo3[Ürün Kar Tutarı]))</f>
        <v>0</v>
      </c>
      <c r="H88" s="14"/>
      <c r="J88" s="9" cm="1">
        <f t="array" ref="J88">SUMPRODUCT((Tablo3[Urun Ad]=I88)*(Tablo3[Ürün Kar Tutarı]))</f>
        <v>0</v>
      </c>
      <c r="L88" s="37"/>
    </row>
    <row r="89" spans="1:12" x14ac:dyDescent="0.25">
      <c r="A89" s="13"/>
      <c r="B89" s="9" cm="1">
        <f t="array" ref="B89">SUMPRODUCT((Tablo3[Personel Ad]=A89)*(Tablo3[Ürün Kar Tutarı]))</f>
        <v>0</v>
      </c>
      <c r="D89" s="14"/>
      <c r="F89" s="9" cm="1">
        <f t="array" ref="F89">SUMPRODUCT((Tablo3[Şehirler]=E89)*(Tablo3[Ürün Kar Tutarı]))</f>
        <v>0</v>
      </c>
      <c r="H89" s="14"/>
      <c r="J89" s="9" cm="1">
        <f t="array" ref="J89">SUMPRODUCT((Tablo3[Urun Ad]=I89)*(Tablo3[Ürün Kar Tutarı]))</f>
        <v>0</v>
      </c>
      <c r="L89" s="37"/>
    </row>
    <row r="90" spans="1:12" x14ac:dyDescent="0.25">
      <c r="A90" s="13"/>
      <c r="B90" s="9" cm="1">
        <f t="array" ref="B90">SUMPRODUCT((Tablo3[Personel Ad]=A90)*(Tablo3[Ürün Kar Tutarı]))</f>
        <v>0</v>
      </c>
      <c r="D90" s="14"/>
      <c r="F90" s="9" cm="1">
        <f t="array" ref="F90">SUMPRODUCT((Tablo3[Şehirler]=E90)*(Tablo3[Ürün Kar Tutarı]))</f>
        <v>0</v>
      </c>
      <c r="H90" s="14"/>
      <c r="J90" s="9" cm="1">
        <f t="array" ref="J90">SUMPRODUCT((Tablo3[Urun Ad]=I90)*(Tablo3[Ürün Kar Tutarı]))</f>
        <v>0</v>
      </c>
      <c r="L90" s="37"/>
    </row>
    <row r="91" spans="1:12" x14ac:dyDescent="0.25">
      <c r="A91" s="13"/>
      <c r="B91" s="9" cm="1">
        <f t="array" ref="B91">SUMPRODUCT((Tablo3[Personel Ad]=A91)*(Tablo3[Ürün Kar Tutarı]))</f>
        <v>0</v>
      </c>
      <c r="D91" s="14"/>
      <c r="F91" s="9" cm="1">
        <f t="array" ref="F91">SUMPRODUCT((Tablo3[Şehirler]=E91)*(Tablo3[Ürün Kar Tutarı]))</f>
        <v>0</v>
      </c>
      <c r="H91" s="14"/>
      <c r="J91" s="9" cm="1">
        <f t="array" ref="J91">SUMPRODUCT((Tablo3[Urun Ad]=I91)*(Tablo3[Ürün Kar Tutarı]))</f>
        <v>0</v>
      </c>
      <c r="L91" s="37"/>
    </row>
    <row r="92" spans="1:12" x14ac:dyDescent="0.25">
      <c r="A92" s="13"/>
      <c r="B92" s="9" cm="1">
        <f t="array" ref="B92">SUMPRODUCT((Tablo3[Personel Ad]=A92)*(Tablo3[Ürün Kar Tutarı]))</f>
        <v>0</v>
      </c>
      <c r="D92" s="14"/>
      <c r="F92" s="9" cm="1">
        <f t="array" ref="F92">SUMPRODUCT((Tablo3[Şehirler]=E92)*(Tablo3[Ürün Kar Tutarı]))</f>
        <v>0</v>
      </c>
      <c r="H92" s="14"/>
      <c r="J92" s="9" cm="1">
        <f t="array" ref="J92">SUMPRODUCT((Tablo3[Urun Ad]=I92)*(Tablo3[Ürün Kar Tutarı]))</f>
        <v>0</v>
      </c>
      <c r="L92" s="37"/>
    </row>
    <row r="93" spans="1:12" x14ac:dyDescent="0.25">
      <c r="A93" s="13"/>
      <c r="B93" s="9" cm="1">
        <f t="array" ref="B93">SUMPRODUCT((Tablo3[Personel Ad]=A93)*(Tablo3[Ürün Kar Tutarı]))</f>
        <v>0</v>
      </c>
      <c r="D93" s="14"/>
      <c r="F93" s="9" cm="1">
        <f t="array" ref="F93">SUMPRODUCT((Tablo3[Şehirler]=E93)*(Tablo3[Ürün Kar Tutarı]))</f>
        <v>0</v>
      </c>
      <c r="H93" s="14"/>
      <c r="J93" s="9" cm="1">
        <f t="array" ref="J93">SUMPRODUCT((Tablo3[Urun Ad]=I93)*(Tablo3[Ürün Kar Tutarı]))</f>
        <v>0</v>
      </c>
      <c r="L93" s="37"/>
    </row>
    <row r="94" spans="1:12" x14ac:dyDescent="0.25">
      <c r="A94" s="13"/>
      <c r="B94" s="9" cm="1">
        <f t="array" ref="B94">SUMPRODUCT((Tablo3[Personel Ad]=A94)*(Tablo3[Ürün Kar Tutarı]))</f>
        <v>0</v>
      </c>
      <c r="D94" s="14"/>
      <c r="F94" s="9" cm="1">
        <f t="array" ref="F94">SUMPRODUCT((Tablo3[Şehirler]=E94)*(Tablo3[Ürün Kar Tutarı]))</f>
        <v>0</v>
      </c>
      <c r="H94" s="14"/>
      <c r="J94" s="9" cm="1">
        <f t="array" ref="J94">SUMPRODUCT((Tablo3[Urun Ad]=I94)*(Tablo3[Ürün Kar Tutarı]))</f>
        <v>0</v>
      </c>
      <c r="L94" s="37"/>
    </row>
    <row r="95" spans="1:12" x14ac:dyDescent="0.25">
      <c r="A95" s="13"/>
      <c r="B95" s="9" cm="1">
        <f t="array" ref="B95">SUMPRODUCT((Tablo3[Personel Ad]=A95)*(Tablo3[Ürün Kar Tutarı]))</f>
        <v>0</v>
      </c>
      <c r="D95" s="14"/>
      <c r="F95" s="9" cm="1">
        <f t="array" ref="F95">SUMPRODUCT((Tablo3[Şehirler]=E95)*(Tablo3[Ürün Kar Tutarı]))</f>
        <v>0</v>
      </c>
      <c r="H95" s="14"/>
      <c r="J95" s="9" cm="1">
        <f t="array" ref="J95">SUMPRODUCT((Tablo3[Urun Ad]=I95)*(Tablo3[Ürün Kar Tutarı]))</f>
        <v>0</v>
      </c>
      <c r="L95" s="37"/>
    </row>
    <row r="96" spans="1:12" x14ac:dyDescent="0.25">
      <c r="A96" s="13"/>
      <c r="B96" s="9" cm="1">
        <f t="array" ref="B96">SUMPRODUCT((Tablo3[Personel Ad]=A96)*(Tablo3[Ürün Kar Tutarı]))</f>
        <v>0</v>
      </c>
      <c r="D96" s="14"/>
      <c r="F96" s="9" cm="1">
        <f t="array" ref="F96">SUMPRODUCT((Tablo3[Şehirler]=E96)*(Tablo3[Ürün Kar Tutarı]))</f>
        <v>0</v>
      </c>
      <c r="H96" s="14"/>
      <c r="J96" s="9" cm="1">
        <f t="array" ref="J96">SUMPRODUCT((Tablo3[Urun Ad]=I96)*(Tablo3[Ürün Kar Tutarı]))</f>
        <v>0</v>
      </c>
      <c r="L96" s="37"/>
    </row>
    <row r="97" spans="1:12" x14ac:dyDescent="0.25">
      <c r="A97" s="13"/>
      <c r="B97" s="9" cm="1">
        <f t="array" ref="B97">SUMPRODUCT((Tablo3[Personel Ad]=A97)*(Tablo3[Ürün Kar Tutarı]))</f>
        <v>0</v>
      </c>
      <c r="D97" s="14"/>
      <c r="F97" s="9" cm="1">
        <f t="array" ref="F97">SUMPRODUCT((Tablo3[Şehirler]=E97)*(Tablo3[Ürün Kar Tutarı]))</f>
        <v>0</v>
      </c>
      <c r="H97" s="14"/>
      <c r="J97" s="9" cm="1">
        <f t="array" ref="J97">SUMPRODUCT((Tablo3[Urun Ad]=I97)*(Tablo3[Ürün Kar Tutarı]))</f>
        <v>0</v>
      </c>
      <c r="L97" s="37"/>
    </row>
    <row r="98" spans="1:12" x14ac:dyDescent="0.25">
      <c r="A98" s="13"/>
      <c r="B98" s="9" cm="1">
        <f t="array" ref="B98">SUMPRODUCT((Tablo3[Personel Ad]=A98)*(Tablo3[Ürün Kar Tutarı]))</f>
        <v>0</v>
      </c>
      <c r="D98" s="14"/>
      <c r="F98" s="9" cm="1">
        <f t="array" ref="F98">SUMPRODUCT((Tablo3[Şehirler]=E98)*(Tablo3[Ürün Kar Tutarı]))</f>
        <v>0</v>
      </c>
      <c r="H98" s="14"/>
      <c r="J98" s="9" cm="1">
        <f t="array" ref="J98">SUMPRODUCT((Tablo3[Urun Ad]=I98)*(Tablo3[Ürün Kar Tutarı]))</f>
        <v>0</v>
      </c>
      <c r="L98" s="37"/>
    </row>
    <row r="99" spans="1:12" x14ac:dyDescent="0.25">
      <c r="A99" s="13"/>
      <c r="B99" s="9" cm="1">
        <f t="array" ref="B99">SUMPRODUCT((Tablo3[Personel Ad]=A99)*(Tablo3[Ürün Kar Tutarı]))</f>
        <v>0</v>
      </c>
      <c r="D99" s="14"/>
      <c r="F99" s="9" cm="1">
        <f t="array" ref="F99">SUMPRODUCT((Tablo3[Şehirler]=E99)*(Tablo3[Ürün Kar Tutarı]))</f>
        <v>0</v>
      </c>
      <c r="H99" s="14"/>
      <c r="J99" s="9" cm="1">
        <f t="array" ref="J99">SUMPRODUCT((Tablo3[Urun Ad]=I99)*(Tablo3[Ürün Kar Tutarı]))</f>
        <v>0</v>
      </c>
      <c r="L99" s="37"/>
    </row>
    <row r="100" spans="1:12" x14ac:dyDescent="0.25">
      <c r="A100" s="13"/>
      <c r="B100" s="9" cm="1">
        <f t="array" ref="B100">SUMPRODUCT((Tablo3[Personel Ad]=A100)*(Tablo3[Ürün Kar Tutarı]))</f>
        <v>0</v>
      </c>
      <c r="D100" s="14"/>
      <c r="F100" s="9" cm="1">
        <f t="array" ref="F100">SUMPRODUCT((Tablo3[Şehirler]=E100)*(Tablo3[Ürün Kar Tutarı]))</f>
        <v>0</v>
      </c>
      <c r="H100" s="14"/>
      <c r="J100" s="9" cm="1">
        <f t="array" ref="J100">SUMPRODUCT((Tablo3[Urun Ad]=I100)*(Tablo3[Ürün Kar Tutarı]))</f>
        <v>0</v>
      </c>
      <c r="L100" s="37"/>
    </row>
    <row r="101" spans="1:12" x14ac:dyDescent="0.25">
      <c r="A101" s="13"/>
      <c r="B101" s="9" cm="1">
        <f t="array" ref="B101">SUMPRODUCT((Tablo3[Personel Ad]=A101)*(Tablo3[Ürün Kar Tutarı]))</f>
        <v>0</v>
      </c>
      <c r="D101" s="14"/>
      <c r="F101" s="9" cm="1">
        <f t="array" ref="F101">SUMPRODUCT((Tablo3[Şehirler]=E101)*(Tablo3[Ürün Kar Tutarı]))</f>
        <v>0</v>
      </c>
      <c r="H101" s="14"/>
      <c r="J101" s="9" cm="1">
        <f t="array" ref="J101">SUMPRODUCT((Tablo3[Urun Ad]=I101)*(Tablo3[Ürün Kar Tutarı]))</f>
        <v>0</v>
      </c>
      <c r="L101" s="37"/>
    </row>
    <row r="102" spans="1:12" x14ac:dyDescent="0.25">
      <c r="A102" s="13"/>
      <c r="B102" s="9" cm="1">
        <f t="array" ref="B102">SUMPRODUCT((Tablo3[Personel Ad]=A102)*(Tablo3[Ürün Kar Tutarı]))</f>
        <v>0</v>
      </c>
      <c r="D102" s="14"/>
      <c r="F102" s="9" cm="1">
        <f t="array" ref="F102">SUMPRODUCT((Tablo3[Şehirler]=E102)*(Tablo3[Ürün Kar Tutarı]))</f>
        <v>0</v>
      </c>
      <c r="H102" s="14"/>
      <c r="J102" s="9" cm="1">
        <f t="array" ref="J102">SUMPRODUCT((Tablo3[Urun Ad]=I102)*(Tablo3[Ürün Kar Tutarı]))</f>
        <v>0</v>
      </c>
      <c r="L102" s="37"/>
    </row>
    <row r="103" spans="1:12" x14ac:dyDescent="0.25">
      <c r="A103" s="13"/>
      <c r="B103" s="9" cm="1">
        <f t="array" ref="B103">SUMPRODUCT((Tablo3[Personel Ad]=A103)*(Tablo3[Ürün Kar Tutarı]))</f>
        <v>0</v>
      </c>
      <c r="D103" s="14"/>
      <c r="F103" s="9" cm="1">
        <f t="array" ref="F103">SUMPRODUCT((Tablo3[Şehirler]=E103)*(Tablo3[Ürün Kar Tutarı]))</f>
        <v>0</v>
      </c>
      <c r="H103" s="14"/>
      <c r="J103" s="9" cm="1">
        <f t="array" ref="J103">SUMPRODUCT((Tablo3[Urun Ad]=I103)*(Tablo3[Ürün Kar Tutarı]))</f>
        <v>0</v>
      </c>
      <c r="L103" s="37"/>
    </row>
    <row r="104" spans="1:12" x14ac:dyDescent="0.25">
      <c r="A104" s="13"/>
      <c r="B104" s="9" cm="1">
        <f t="array" ref="B104">SUMPRODUCT((Tablo3[Personel Ad]=A104)*(Tablo3[Ürün Kar Tutarı]))</f>
        <v>0</v>
      </c>
      <c r="D104" s="14"/>
      <c r="F104" s="9" cm="1">
        <f t="array" ref="F104">SUMPRODUCT((Tablo3[Şehirler]=E104)*(Tablo3[Ürün Kar Tutarı]))</f>
        <v>0</v>
      </c>
      <c r="H104" s="14"/>
      <c r="J104" s="9" cm="1">
        <f t="array" ref="J104">SUMPRODUCT((Tablo3[Urun Ad]=I104)*(Tablo3[Ürün Kar Tutarı]))</f>
        <v>0</v>
      </c>
      <c r="L104" s="37"/>
    </row>
    <row r="105" spans="1:12" x14ac:dyDescent="0.25">
      <c r="A105" s="13"/>
      <c r="B105" s="9" cm="1">
        <f t="array" ref="B105">SUMPRODUCT((Tablo3[Personel Ad]=A105)*(Tablo3[Ürün Kar Tutarı]))</f>
        <v>0</v>
      </c>
      <c r="D105" s="14"/>
      <c r="F105" s="9" cm="1">
        <f t="array" ref="F105">SUMPRODUCT((Tablo3[Şehirler]=E105)*(Tablo3[Ürün Kar Tutarı]))</f>
        <v>0</v>
      </c>
      <c r="H105" s="14"/>
      <c r="J105" s="9" cm="1">
        <f t="array" ref="J105">SUMPRODUCT((Tablo3[Urun Ad]=I105)*(Tablo3[Ürün Kar Tutarı]))</f>
        <v>0</v>
      </c>
      <c r="L105" s="37"/>
    </row>
    <row r="106" spans="1:12" x14ac:dyDescent="0.25">
      <c r="A106" s="13"/>
      <c r="B106" s="9" cm="1">
        <f t="array" ref="B106">SUMPRODUCT((Tablo3[Personel Ad]=A106)*(Tablo3[Ürün Kar Tutarı]))</f>
        <v>0</v>
      </c>
      <c r="D106" s="14"/>
      <c r="F106" s="9" cm="1">
        <f t="array" ref="F106">SUMPRODUCT((Tablo3[Şehirler]=E106)*(Tablo3[Ürün Kar Tutarı]))</f>
        <v>0</v>
      </c>
      <c r="H106" s="14"/>
      <c r="J106" s="9" cm="1">
        <f t="array" ref="J106">SUMPRODUCT((Tablo3[Urun Ad]=I106)*(Tablo3[Ürün Kar Tutarı]))</f>
        <v>0</v>
      </c>
      <c r="L106" s="37"/>
    </row>
    <row r="107" spans="1:12" x14ac:dyDescent="0.25">
      <c r="A107" s="13"/>
      <c r="B107" s="9" cm="1">
        <f t="array" ref="B107">SUMPRODUCT((Tablo3[Personel Ad]=A107)*(Tablo3[Ürün Kar Tutarı]))</f>
        <v>0</v>
      </c>
      <c r="D107" s="14"/>
      <c r="F107" s="9" cm="1">
        <f t="array" ref="F107">SUMPRODUCT((Tablo3[Şehirler]=E107)*(Tablo3[Ürün Kar Tutarı]))</f>
        <v>0</v>
      </c>
      <c r="H107" s="14"/>
      <c r="J107" s="9" cm="1">
        <f t="array" ref="J107">SUMPRODUCT((Tablo3[Urun Ad]=I107)*(Tablo3[Ürün Kar Tutarı]))</f>
        <v>0</v>
      </c>
      <c r="L107" s="37"/>
    </row>
    <row r="108" spans="1:12" x14ac:dyDescent="0.25">
      <c r="A108" s="13"/>
      <c r="B108" s="9" cm="1">
        <f t="array" ref="B108">SUMPRODUCT((Tablo3[Personel Ad]=A108)*(Tablo3[Ürün Kar Tutarı]))</f>
        <v>0</v>
      </c>
      <c r="D108" s="14"/>
      <c r="F108" s="9" cm="1">
        <f t="array" ref="F108">SUMPRODUCT((Tablo3[Şehirler]=E108)*(Tablo3[Ürün Kar Tutarı]))</f>
        <v>0</v>
      </c>
      <c r="H108" s="14"/>
      <c r="J108" s="9" cm="1">
        <f t="array" ref="J108">SUMPRODUCT((Tablo3[Urun Ad]=I108)*(Tablo3[Ürün Kar Tutarı]))</f>
        <v>0</v>
      </c>
      <c r="L108" s="37"/>
    </row>
    <row r="109" spans="1:12" x14ac:dyDescent="0.25">
      <c r="A109" s="13"/>
      <c r="B109" s="9" cm="1">
        <f t="array" ref="B109">SUMPRODUCT((Tablo3[Personel Ad]=A109)*(Tablo3[Ürün Kar Tutarı]))</f>
        <v>0</v>
      </c>
      <c r="D109" s="14"/>
      <c r="F109" s="9" cm="1">
        <f t="array" ref="F109">SUMPRODUCT((Tablo3[Şehirler]=E109)*(Tablo3[Ürün Kar Tutarı]))</f>
        <v>0</v>
      </c>
      <c r="H109" s="14"/>
      <c r="J109" s="9" cm="1">
        <f t="array" ref="J109">SUMPRODUCT((Tablo3[Urun Ad]=I109)*(Tablo3[Ürün Kar Tutarı]))</f>
        <v>0</v>
      </c>
      <c r="L109" s="37"/>
    </row>
    <row r="110" spans="1:12" x14ac:dyDescent="0.25">
      <c r="A110" s="13"/>
      <c r="B110" s="9" cm="1">
        <f t="array" ref="B110">SUMPRODUCT((Tablo3[Personel Ad]=A110)*(Tablo3[Ürün Kar Tutarı]))</f>
        <v>0</v>
      </c>
      <c r="D110" s="14"/>
      <c r="F110" s="9" cm="1">
        <f t="array" ref="F110">SUMPRODUCT((Tablo3[Şehirler]=E110)*(Tablo3[Ürün Kar Tutarı]))</f>
        <v>0</v>
      </c>
      <c r="H110" s="14"/>
      <c r="J110" s="9" cm="1">
        <f t="array" ref="J110">SUMPRODUCT((Tablo3[Urun Ad]=I110)*(Tablo3[Ürün Kar Tutarı]))</f>
        <v>0</v>
      </c>
      <c r="L110" s="37"/>
    </row>
    <row r="111" spans="1:12" x14ac:dyDescent="0.25">
      <c r="A111" s="13"/>
      <c r="B111" s="9" cm="1">
        <f t="array" ref="B111">SUMPRODUCT((Tablo3[Personel Ad]=A111)*(Tablo3[Ürün Kar Tutarı]))</f>
        <v>0</v>
      </c>
      <c r="D111" s="14"/>
      <c r="F111" s="9" cm="1">
        <f t="array" ref="F111">SUMPRODUCT((Tablo3[Şehirler]=E111)*(Tablo3[Ürün Kar Tutarı]))</f>
        <v>0</v>
      </c>
      <c r="H111" s="14"/>
      <c r="J111" s="9" cm="1">
        <f t="array" ref="J111">SUMPRODUCT((Tablo3[Urun Ad]=I111)*(Tablo3[Ürün Kar Tutarı]))</f>
        <v>0</v>
      </c>
      <c r="L111" s="37"/>
    </row>
    <row r="112" spans="1:12" x14ac:dyDescent="0.25">
      <c r="A112" s="13"/>
      <c r="B112" s="9" cm="1">
        <f t="array" ref="B112">SUMPRODUCT((Tablo3[Personel Ad]=A112)*(Tablo3[Ürün Kar Tutarı]))</f>
        <v>0</v>
      </c>
      <c r="D112" s="14"/>
      <c r="F112" s="9" cm="1">
        <f t="array" ref="F112">SUMPRODUCT((Tablo3[Şehirler]=E112)*(Tablo3[Ürün Kar Tutarı]))</f>
        <v>0</v>
      </c>
      <c r="H112" s="14"/>
      <c r="J112" s="9" cm="1">
        <f t="array" ref="J112">SUMPRODUCT((Tablo3[Urun Ad]=I112)*(Tablo3[Ürün Kar Tutarı]))</f>
        <v>0</v>
      </c>
      <c r="L112" s="37"/>
    </row>
    <row r="113" spans="1:12" x14ac:dyDescent="0.25">
      <c r="A113" s="13"/>
      <c r="B113" s="9" cm="1">
        <f t="array" ref="B113">SUMPRODUCT((Tablo3[Personel Ad]=A113)*(Tablo3[Ürün Kar Tutarı]))</f>
        <v>0</v>
      </c>
      <c r="D113" s="14"/>
      <c r="F113" s="9" cm="1">
        <f t="array" ref="F113">SUMPRODUCT((Tablo3[Şehirler]=E113)*(Tablo3[Ürün Kar Tutarı]))</f>
        <v>0</v>
      </c>
      <c r="H113" s="14"/>
      <c r="J113" s="9" cm="1">
        <f t="array" ref="J113">SUMPRODUCT((Tablo3[Urun Ad]=I113)*(Tablo3[Ürün Kar Tutarı]))</f>
        <v>0</v>
      </c>
      <c r="L113" s="37"/>
    </row>
    <row r="114" spans="1:12" x14ac:dyDescent="0.25">
      <c r="A114" s="13"/>
      <c r="B114" s="9" cm="1">
        <f t="array" ref="B114">SUMPRODUCT((Tablo3[Personel Ad]=A114)*(Tablo3[Ürün Kar Tutarı]))</f>
        <v>0</v>
      </c>
      <c r="D114" s="14"/>
      <c r="F114" s="9" cm="1">
        <f t="array" ref="F114">SUMPRODUCT((Tablo3[Şehirler]=E114)*(Tablo3[Ürün Kar Tutarı]))</f>
        <v>0</v>
      </c>
      <c r="H114" s="14"/>
      <c r="J114" s="9" cm="1">
        <f t="array" ref="J114">SUMPRODUCT((Tablo3[Urun Ad]=I114)*(Tablo3[Ürün Kar Tutarı]))</f>
        <v>0</v>
      </c>
      <c r="L114" s="37"/>
    </row>
    <row r="115" spans="1:12" x14ac:dyDescent="0.25">
      <c r="A115" s="13"/>
      <c r="B115" s="9" cm="1">
        <f t="array" ref="B115">SUMPRODUCT((Tablo3[Personel Ad]=A115)*(Tablo3[Ürün Kar Tutarı]))</f>
        <v>0</v>
      </c>
      <c r="D115" s="14"/>
      <c r="F115" s="9" cm="1">
        <f t="array" ref="F115">SUMPRODUCT((Tablo3[Şehirler]=E115)*(Tablo3[Ürün Kar Tutarı]))</f>
        <v>0</v>
      </c>
      <c r="H115" s="14"/>
      <c r="J115" s="9" cm="1">
        <f t="array" ref="J115">SUMPRODUCT((Tablo3[Urun Ad]=I115)*(Tablo3[Ürün Kar Tutarı]))</f>
        <v>0</v>
      </c>
      <c r="L115" s="37"/>
    </row>
    <row r="116" spans="1:12" x14ac:dyDescent="0.25">
      <c r="A116" s="13"/>
      <c r="B116" s="9" cm="1">
        <f t="array" ref="B116">SUMPRODUCT((Tablo3[Personel Ad]=A116)*(Tablo3[Ürün Kar Tutarı]))</f>
        <v>0</v>
      </c>
      <c r="D116" s="14"/>
      <c r="F116" s="9" cm="1">
        <f t="array" ref="F116">SUMPRODUCT((Tablo3[Şehirler]=E116)*(Tablo3[Ürün Kar Tutarı]))</f>
        <v>0</v>
      </c>
      <c r="H116" s="14"/>
      <c r="J116" s="9" cm="1">
        <f t="array" ref="J116">SUMPRODUCT((Tablo3[Urun Ad]=I116)*(Tablo3[Ürün Kar Tutarı]))</f>
        <v>0</v>
      </c>
      <c r="L116" s="37"/>
    </row>
    <row r="117" spans="1:12" x14ac:dyDescent="0.25">
      <c r="A117" s="13"/>
      <c r="B117" s="9" cm="1">
        <f t="array" ref="B117">SUMPRODUCT((Tablo3[Personel Ad]=A117)*(Tablo3[Ürün Kar Tutarı]))</f>
        <v>0</v>
      </c>
      <c r="D117" s="14"/>
      <c r="F117" s="9" cm="1">
        <f t="array" ref="F117">SUMPRODUCT((Tablo3[Şehirler]=E117)*(Tablo3[Ürün Kar Tutarı]))</f>
        <v>0</v>
      </c>
      <c r="H117" s="14"/>
      <c r="J117" s="9" cm="1">
        <f t="array" ref="J117">SUMPRODUCT((Tablo3[Urun Ad]=I117)*(Tablo3[Ürün Kar Tutarı]))</f>
        <v>0</v>
      </c>
      <c r="L117" s="37"/>
    </row>
    <row r="118" spans="1:12" x14ac:dyDescent="0.25">
      <c r="A118" s="13"/>
      <c r="B118" s="9" cm="1">
        <f t="array" ref="B118">SUMPRODUCT((Tablo3[Personel Ad]=A118)*(Tablo3[Ürün Kar Tutarı]))</f>
        <v>0</v>
      </c>
      <c r="D118" s="14"/>
      <c r="F118" s="9" cm="1">
        <f t="array" ref="F118">SUMPRODUCT((Tablo3[Şehirler]=E118)*(Tablo3[Ürün Kar Tutarı]))</f>
        <v>0</v>
      </c>
      <c r="H118" s="14"/>
      <c r="J118" s="9" cm="1">
        <f t="array" ref="J118">SUMPRODUCT((Tablo3[Urun Ad]=I118)*(Tablo3[Ürün Kar Tutarı]))</f>
        <v>0</v>
      </c>
      <c r="L118" s="37"/>
    </row>
    <row r="119" spans="1:12" x14ac:dyDescent="0.25">
      <c r="A119" s="13"/>
      <c r="B119" s="9" cm="1">
        <f t="array" ref="B119">SUMPRODUCT((Tablo3[Personel Ad]=A119)*(Tablo3[Ürün Kar Tutarı]))</f>
        <v>0</v>
      </c>
      <c r="D119" s="14"/>
      <c r="F119" s="9" cm="1">
        <f t="array" ref="F119">SUMPRODUCT((Tablo3[Şehirler]=E119)*(Tablo3[Ürün Kar Tutarı]))</f>
        <v>0</v>
      </c>
      <c r="H119" s="14"/>
      <c r="J119" s="9" cm="1">
        <f t="array" ref="J119">SUMPRODUCT((Tablo3[Urun Ad]=I119)*(Tablo3[Ürün Kar Tutarı]))</f>
        <v>0</v>
      </c>
      <c r="L119" s="37"/>
    </row>
    <row r="120" spans="1:12" x14ac:dyDescent="0.25">
      <c r="A120" s="13"/>
      <c r="B120" s="9" cm="1">
        <f t="array" ref="B120">SUMPRODUCT((Tablo3[Personel Ad]=A120)*(Tablo3[Ürün Kar Tutarı]))</f>
        <v>0</v>
      </c>
      <c r="D120" s="14"/>
      <c r="F120" s="9" cm="1">
        <f t="array" ref="F120">SUMPRODUCT((Tablo3[Şehirler]=E120)*(Tablo3[Ürün Kar Tutarı]))</f>
        <v>0</v>
      </c>
      <c r="H120" s="14"/>
      <c r="J120" s="9" cm="1">
        <f t="array" ref="J120">SUMPRODUCT((Tablo3[Urun Ad]=I120)*(Tablo3[Ürün Kar Tutarı]))</f>
        <v>0</v>
      </c>
      <c r="L120" s="37"/>
    </row>
    <row r="121" spans="1:12" x14ac:dyDescent="0.25">
      <c r="A121" s="13"/>
      <c r="B121" s="9" cm="1">
        <f t="array" ref="B121">SUMPRODUCT((Tablo3[Personel Ad]=A121)*(Tablo3[Ürün Kar Tutarı]))</f>
        <v>0</v>
      </c>
      <c r="D121" s="14"/>
      <c r="F121" s="9" cm="1">
        <f t="array" ref="F121">SUMPRODUCT((Tablo3[Şehirler]=E121)*(Tablo3[Ürün Kar Tutarı]))</f>
        <v>0</v>
      </c>
      <c r="H121" s="14"/>
      <c r="J121" s="9" cm="1">
        <f t="array" ref="J121">SUMPRODUCT((Tablo3[Urun Ad]=I121)*(Tablo3[Ürün Kar Tutarı]))</f>
        <v>0</v>
      </c>
      <c r="L121" s="37"/>
    </row>
    <row r="122" spans="1:12" x14ac:dyDescent="0.25">
      <c r="A122" s="13"/>
      <c r="B122" s="9" cm="1">
        <f t="array" ref="B122">SUMPRODUCT((Tablo3[Personel Ad]=A122)*(Tablo3[Ürün Kar Tutarı]))</f>
        <v>0</v>
      </c>
      <c r="D122" s="14"/>
      <c r="F122" s="9" cm="1">
        <f t="array" ref="F122">SUMPRODUCT((Tablo3[Şehirler]=E122)*(Tablo3[Ürün Kar Tutarı]))</f>
        <v>0</v>
      </c>
      <c r="H122" s="14"/>
      <c r="J122" s="9" cm="1">
        <f t="array" ref="J122">SUMPRODUCT((Tablo3[Urun Ad]=I122)*(Tablo3[Ürün Kar Tutarı]))</f>
        <v>0</v>
      </c>
      <c r="L122" s="37"/>
    </row>
    <row r="123" spans="1:12" x14ac:dyDescent="0.25">
      <c r="A123" s="13"/>
      <c r="B123" s="9" cm="1">
        <f t="array" ref="B123">SUMPRODUCT((Tablo3[Personel Ad]=A123)*(Tablo3[Ürün Kar Tutarı]))</f>
        <v>0</v>
      </c>
      <c r="D123" s="14"/>
      <c r="F123" s="9" cm="1">
        <f t="array" ref="F123">SUMPRODUCT((Tablo3[Şehirler]=E123)*(Tablo3[Ürün Kar Tutarı]))</f>
        <v>0</v>
      </c>
      <c r="H123" s="14"/>
      <c r="J123" s="9" cm="1">
        <f t="array" ref="J123">SUMPRODUCT((Tablo3[Urun Ad]=I123)*(Tablo3[Ürün Kar Tutarı]))</f>
        <v>0</v>
      </c>
      <c r="L123" s="37"/>
    </row>
    <row r="124" spans="1:12" x14ac:dyDescent="0.25">
      <c r="A124" s="13"/>
      <c r="B124" s="9" cm="1">
        <f t="array" ref="B124">SUMPRODUCT((Tablo3[Personel Ad]=A124)*(Tablo3[Ürün Kar Tutarı]))</f>
        <v>0</v>
      </c>
      <c r="D124" s="14"/>
      <c r="F124" s="9" cm="1">
        <f t="array" ref="F124">SUMPRODUCT((Tablo3[Şehirler]=E124)*(Tablo3[Ürün Kar Tutarı]))</f>
        <v>0</v>
      </c>
      <c r="H124" s="14"/>
      <c r="J124" s="9" cm="1">
        <f t="array" ref="J124">SUMPRODUCT((Tablo3[Urun Ad]=I124)*(Tablo3[Ürün Kar Tutarı]))</f>
        <v>0</v>
      </c>
      <c r="L124" s="37"/>
    </row>
    <row r="125" spans="1:12" x14ac:dyDescent="0.25">
      <c r="A125" s="13"/>
      <c r="B125" s="9" cm="1">
        <f t="array" ref="B125">SUMPRODUCT((Tablo3[Personel Ad]=A125)*(Tablo3[Ürün Kar Tutarı]))</f>
        <v>0</v>
      </c>
      <c r="D125" s="14"/>
      <c r="F125" s="9" cm="1">
        <f t="array" ref="F125">SUMPRODUCT((Tablo3[Şehirler]=E125)*(Tablo3[Ürün Kar Tutarı]))</f>
        <v>0</v>
      </c>
      <c r="H125" s="14"/>
      <c r="J125" s="9" cm="1">
        <f t="array" ref="J125">SUMPRODUCT((Tablo3[Urun Ad]=I125)*(Tablo3[Ürün Kar Tutarı]))</f>
        <v>0</v>
      </c>
      <c r="L125" s="37"/>
    </row>
    <row r="126" spans="1:12" x14ac:dyDescent="0.25">
      <c r="A126" s="13"/>
      <c r="B126" s="9" cm="1">
        <f t="array" ref="B126">SUMPRODUCT((Tablo3[Personel Ad]=A126)*(Tablo3[Ürün Kar Tutarı]))</f>
        <v>0</v>
      </c>
      <c r="D126" s="14"/>
      <c r="F126" s="9" cm="1">
        <f t="array" ref="F126">SUMPRODUCT((Tablo3[Şehirler]=E126)*(Tablo3[Ürün Kar Tutarı]))</f>
        <v>0</v>
      </c>
      <c r="H126" s="14"/>
      <c r="J126" s="9" cm="1">
        <f t="array" ref="J126">SUMPRODUCT((Tablo3[Urun Ad]=I126)*(Tablo3[Ürün Kar Tutarı]))</f>
        <v>0</v>
      </c>
      <c r="L126" s="37"/>
    </row>
    <row r="127" spans="1:12" x14ac:dyDescent="0.25">
      <c r="A127" s="13"/>
      <c r="B127" s="9" cm="1">
        <f t="array" ref="B127">SUMPRODUCT((Tablo3[Personel Ad]=A127)*(Tablo3[Ürün Kar Tutarı]))</f>
        <v>0</v>
      </c>
      <c r="D127" s="14"/>
      <c r="F127" s="9" cm="1">
        <f t="array" ref="F127">SUMPRODUCT((Tablo3[Şehirler]=E127)*(Tablo3[Ürün Kar Tutarı]))</f>
        <v>0</v>
      </c>
      <c r="H127" s="14"/>
      <c r="J127" s="9" cm="1">
        <f t="array" ref="J127">SUMPRODUCT((Tablo3[Urun Ad]=I127)*(Tablo3[Ürün Kar Tutarı]))</f>
        <v>0</v>
      </c>
      <c r="L127" s="37"/>
    </row>
    <row r="128" spans="1:12" x14ac:dyDescent="0.25">
      <c r="A128" s="13"/>
      <c r="B128" s="9" cm="1">
        <f t="array" ref="B128">SUMPRODUCT((Tablo3[Personel Ad]=A128)*(Tablo3[Ürün Kar Tutarı]))</f>
        <v>0</v>
      </c>
      <c r="D128" s="14"/>
      <c r="F128" s="9" cm="1">
        <f t="array" ref="F128">SUMPRODUCT((Tablo3[Şehirler]=E128)*(Tablo3[Ürün Kar Tutarı]))</f>
        <v>0</v>
      </c>
      <c r="H128" s="14"/>
      <c r="J128" s="9" cm="1">
        <f t="array" ref="J128">SUMPRODUCT((Tablo3[Urun Ad]=I128)*(Tablo3[Ürün Kar Tutarı]))</f>
        <v>0</v>
      </c>
      <c r="L128" s="37"/>
    </row>
    <row r="129" spans="1:12" x14ac:dyDescent="0.25">
      <c r="A129" s="13"/>
      <c r="B129" s="9" cm="1">
        <f t="array" ref="B129">SUMPRODUCT((Tablo3[Personel Ad]=A129)*(Tablo3[Ürün Kar Tutarı]))</f>
        <v>0</v>
      </c>
      <c r="D129" s="14"/>
      <c r="F129" s="9" cm="1">
        <f t="array" ref="F129">SUMPRODUCT((Tablo3[Şehirler]=E129)*(Tablo3[Ürün Kar Tutarı]))</f>
        <v>0</v>
      </c>
      <c r="H129" s="14"/>
      <c r="J129" s="9" cm="1">
        <f t="array" ref="J129">SUMPRODUCT((Tablo3[Urun Ad]=I129)*(Tablo3[Ürün Kar Tutarı]))</f>
        <v>0</v>
      </c>
      <c r="L129" s="37"/>
    </row>
    <row r="130" spans="1:12" x14ac:dyDescent="0.25">
      <c r="A130" s="13"/>
      <c r="B130" s="9" cm="1">
        <f t="array" ref="B130">SUMPRODUCT((Tablo3[Personel Ad]=A130)*(Tablo3[Ürün Kar Tutarı]))</f>
        <v>0</v>
      </c>
      <c r="D130" s="14"/>
      <c r="F130" s="9" cm="1">
        <f t="array" ref="F130">SUMPRODUCT((Tablo3[Şehirler]=E130)*(Tablo3[Ürün Kar Tutarı]))</f>
        <v>0</v>
      </c>
      <c r="H130" s="14"/>
      <c r="J130" s="9" cm="1">
        <f t="array" ref="J130">SUMPRODUCT((Tablo3[Urun Ad]=I130)*(Tablo3[Ürün Kar Tutarı]))</f>
        <v>0</v>
      </c>
      <c r="L130" s="37"/>
    </row>
    <row r="131" spans="1:12" x14ac:dyDescent="0.25">
      <c r="A131" s="13"/>
      <c r="B131" s="9" cm="1">
        <f t="array" ref="B131">SUMPRODUCT((Tablo3[Personel Ad]=A131)*(Tablo3[Ürün Kar Tutarı]))</f>
        <v>0</v>
      </c>
      <c r="D131" s="14"/>
      <c r="F131" s="9" cm="1">
        <f t="array" ref="F131">SUMPRODUCT((Tablo3[Şehirler]=E131)*(Tablo3[Ürün Kar Tutarı]))</f>
        <v>0</v>
      </c>
      <c r="H131" s="14"/>
      <c r="J131" s="9" cm="1">
        <f t="array" ref="J131">SUMPRODUCT((Tablo3[Urun Ad]=I131)*(Tablo3[Ürün Kar Tutarı]))</f>
        <v>0</v>
      </c>
      <c r="L131" s="37"/>
    </row>
    <row r="132" spans="1:12" x14ac:dyDescent="0.25">
      <c r="A132" s="13"/>
      <c r="B132" s="9" cm="1">
        <f t="array" ref="B132">SUMPRODUCT((Tablo3[Personel Ad]=A132)*(Tablo3[Ürün Kar Tutarı]))</f>
        <v>0</v>
      </c>
      <c r="D132" s="14"/>
      <c r="F132" s="9" cm="1">
        <f t="array" ref="F132">SUMPRODUCT((Tablo3[Şehirler]=E132)*(Tablo3[Ürün Kar Tutarı]))</f>
        <v>0</v>
      </c>
      <c r="H132" s="14"/>
      <c r="J132" s="9" cm="1">
        <f t="array" ref="J132">SUMPRODUCT((Tablo3[Urun Ad]=I132)*(Tablo3[Ürün Kar Tutarı]))</f>
        <v>0</v>
      </c>
      <c r="L132" s="37"/>
    </row>
    <row r="133" spans="1:12" x14ac:dyDescent="0.25">
      <c r="A133" s="13"/>
      <c r="B133" s="9" cm="1">
        <f t="array" ref="B133">SUMPRODUCT((Tablo3[Personel Ad]=A133)*(Tablo3[Ürün Kar Tutarı]))</f>
        <v>0</v>
      </c>
      <c r="D133" s="14"/>
      <c r="F133" s="9" cm="1">
        <f t="array" ref="F133">SUMPRODUCT((Tablo3[Şehirler]=E133)*(Tablo3[Ürün Kar Tutarı]))</f>
        <v>0</v>
      </c>
      <c r="H133" s="14"/>
      <c r="J133" s="9" cm="1">
        <f t="array" ref="J133">SUMPRODUCT((Tablo3[Urun Ad]=I133)*(Tablo3[Ürün Kar Tutarı]))</f>
        <v>0</v>
      </c>
      <c r="L133" s="37"/>
    </row>
    <row r="134" spans="1:12" x14ac:dyDescent="0.25">
      <c r="A134" s="13"/>
      <c r="B134" s="9" cm="1">
        <f t="array" ref="B134">SUMPRODUCT((Tablo3[Personel Ad]=A134)*(Tablo3[Ürün Kar Tutarı]))</f>
        <v>0</v>
      </c>
      <c r="D134" s="14"/>
      <c r="F134" s="9" cm="1">
        <f t="array" ref="F134">SUMPRODUCT((Tablo3[Şehirler]=E134)*(Tablo3[Ürün Kar Tutarı]))</f>
        <v>0</v>
      </c>
      <c r="H134" s="14"/>
      <c r="J134" s="9" cm="1">
        <f t="array" ref="J134">SUMPRODUCT((Tablo3[Urun Ad]=I134)*(Tablo3[Ürün Kar Tutarı]))</f>
        <v>0</v>
      </c>
      <c r="L134" s="37"/>
    </row>
    <row r="135" spans="1:12" x14ac:dyDescent="0.25">
      <c r="A135" s="13"/>
      <c r="B135" s="9" cm="1">
        <f t="array" ref="B135">SUMPRODUCT((Tablo3[Personel Ad]=A135)*(Tablo3[Ürün Kar Tutarı]))</f>
        <v>0</v>
      </c>
      <c r="D135" s="14"/>
      <c r="F135" s="9" cm="1">
        <f t="array" ref="F135">SUMPRODUCT((Tablo3[Şehirler]=E135)*(Tablo3[Ürün Kar Tutarı]))</f>
        <v>0</v>
      </c>
      <c r="H135" s="14"/>
      <c r="J135" s="9" cm="1">
        <f t="array" ref="J135">SUMPRODUCT((Tablo3[Urun Ad]=I135)*(Tablo3[Ürün Kar Tutarı]))</f>
        <v>0</v>
      </c>
      <c r="L135" s="37"/>
    </row>
    <row r="136" spans="1:12" x14ac:dyDescent="0.25">
      <c r="A136" s="13"/>
      <c r="B136" s="9" cm="1">
        <f t="array" ref="B136">SUMPRODUCT((Tablo3[Personel Ad]=A136)*(Tablo3[Ürün Kar Tutarı]))</f>
        <v>0</v>
      </c>
      <c r="D136" s="14"/>
      <c r="F136" s="9" cm="1">
        <f t="array" ref="F136">SUMPRODUCT((Tablo3[Şehirler]=E136)*(Tablo3[Ürün Kar Tutarı]))</f>
        <v>0</v>
      </c>
      <c r="H136" s="14"/>
      <c r="J136" s="9" cm="1">
        <f t="array" ref="J136">SUMPRODUCT((Tablo3[Urun Ad]=I136)*(Tablo3[Ürün Kar Tutarı]))</f>
        <v>0</v>
      </c>
      <c r="L136" s="37"/>
    </row>
    <row r="137" spans="1:12" x14ac:dyDescent="0.25">
      <c r="A137" s="13"/>
      <c r="B137" s="9" cm="1">
        <f t="array" ref="B137">SUMPRODUCT((Tablo3[Personel Ad]=A137)*(Tablo3[Ürün Kar Tutarı]))</f>
        <v>0</v>
      </c>
      <c r="D137" s="14"/>
      <c r="F137" s="9" cm="1">
        <f t="array" ref="F137">SUMPRODUCT((Tablo3[Şehirler]=E137)*(Tablo3[Ürün Kar Tutarı]))</f>
        <v>0</v>
      </c>
      <c r="H137" s="14"/>
      <c r="J137" s="9" cm="1">
        <f t="array" ref="J137">SUMPRODUCT((Tablo3[Urun Ad]=I137)*(Tablo3[Ürün Kar Tutarı]))</f>
        <v>0</v>
      </c>
      <c r="L137" s="37"/>
    </row>
    <row r="138" spans="1:12" x14ac:dyDescent="0.25">
      <c r="A138" s="13"/>
      <c r="B138" s="9" cm="1">
        <f t="array" ref="B138">SUMPRODUCT((Tablo3[Personel Ad]=A138)*(Tablo3[Ürün Kar Tutarı]))</f>
        <v>0</v>
      </c>
      <c r="D138" s="14"/>
      <c r="F138" s="9" cm="1">
        <f t="array" ref="F138">SUMPRODUCT((Tablo3[Şehirler]=E138)*(Tablo3[Ürün Kar Tutarı]))</f>
        <v>0</v>
      </c>
      <c r="H138" s="14"/>
      <c r="J138" s="9" cm="1">
        <f t="array" ref="J138">SUMPRODUCT((Tablo3[Urun Ad]=I138)*(Tablo3[Ürün Kar Tutarı]))</f>
        <v>0</v>
      </c>
      <c r="L138" s="37"/>
    </row>
    <row r="139" spans="1:12" x14ac:dyDescent="0.25">
      <c r="A139" s="13"/>
      <c r="B139" s="9" cm="1">
        <f t="array" ref="B139">SUMPRODUCT((Tablo3[Personel Ad]=A139)*(Tablo3[Ürün Kar Tutarı]))</f>
        <v>0</v>
      </c>
      <c r="D139" s="14"/>
      <c r="F139" s="9" cm="1">
        <f t="array" ref="F139">SUMPRODUCT((Tablo3[Şehirler]=E139)*(Tablo3[Ürün Kar Tutarı]))</f>
        <v>0</v>
      </c>
      <c r="H139" s="14"/>
      <c r="J139" s="9" cm="1">
        <f t="array" ref="J139">SUMPRODUCT((Tablo3[Urun Ad]=I139)*(Tablo3[Ürün Kar Tutarı]))</f>
        <v>0</v>
      </c>
      <c r="L139" s="37"/>
    </row>
    <row r="140" spans="1:12" x14ac:dyDescent="0.25">
      <c r="A140" s="13"/>
      <c r="B140" s="9" cm="1">
        <f t="array" ref="B140">SUMPRODUCT((Tablo3[Personel Ad]=A140)*(Tablo3[Ürün Kar Tutarı]))</f>
        <v>0</v>
      </c>
      <c r="D140" s="14"/>
      <c r="F140" s="9" cm="1">
        <f t="array" ref="F140">SUMPRODUCT((Tablo3[Şehirler]=E140)*(Tablo3[Ürün Kar Tutarı]))</f>
        <v>0</v>
      </c>
      <c r="H140" s="14"/>
      <c r="J140" s="9" cm="1">
        <f t="array" ref="J140">SUMPRODUCT((Tablo3[Urun Ad]=I140)*(Tablo3[Ürün Kar Tutarı]))</f>
        <v>0</v>
      </c>
      <c r="L140" s="37"/>
    </row>
    <row r="141" spans="1:12" x14ac:dyDescent="0.25">
      <c r="A141" s="13"/>
      <c r="B141" s="9" cm="1">
        <f t="array" ref="B141">SUMPRODUCT((Tablo3[Personel Ad]=A141)*(Tablo3[Ürün Kar Tutarı]))</f>
        <v>0</v>
      </c>
      <c r="D141" s="14"/>
      <c r="F141" s="9" cm="1">
        <f t="array" ref="F141">SUMPRODUCT((Tablo3[Şehirler]=E141)*(Tablo3[Ürün Kar Tutarı]))</f>
        <v>0</v>
      </c>
      <c r="H141" s="14"/>
      <c r="J141" s="9" cm="1">
        <f t="array" ref="J141">SUMPRODUCT((Tablo3[Urun Ad]=I141)*(Tablo3[Ürün Kar Tutarı]))</f>
        <v>0</v>
      </c>
      <c r="L141" s="37"/>
    </row>
    <row r="142" spans="1:12" x14ac:dyDescent="0.25">
      <c r="A142" s="13"/>
      <c r="B142" s="9" cm="1">
        <f t="array" ref="B142">SUMPRODUCT((Tablo3[Personel Ad]=A142)*(Tablo3[Ürün Kar Tutarı]))</f>
        <v>0</v>
      </c>
      <c r="D142" s="14"/>
      <c r="F142" s="9" cm="1">
        <f t="array" ref="F142">SUMPRODUCT((Tablo3[Şehirler]=E142)*(Tablo3[Ürün Kar Tutarı]))</f>
        <v>0</v>
      </c>
      <c r="H142" s="14"/>
      <c r="J142" s="9" cm="1">
        <f t="array" ref="J142">SUMPRODUCT((Tablo3[Urun Ad]=I142)*(Tablo3[Ürün Kar Tutarı]))</f>
        <v>0</v>
      </c>
      <c r="L142" s="37"/>
    </row>
    <row r="143" spans="1:12" x14ac:dyDescent="0.25">
      <c r="A143" s="13"/>
      <c r="B143" s="9" cm="1">
        <f t="array" ref="B143">SUMPRODUCT((Tablo3[Personel Ad]=A143)*(Tablo3[Ürün Kar Tutarı]))</f>
        <v>0</v>
      </c>
      <c r="D143" s="14"/>
      <c r="F143" s="9" cm="1">
        <f t="array" ref="F143">SUMPRODUCT((Tablo3[Şehirler]=E143)*(Tablo3[Ürün Kar Tutarı]))</f>
        <v>0</v>
      </c>
      <c r="H143" s="14"/>
      <c r="J143" s="9" cm="1">
        <f t="array" ref="J143">SUMPRODUCT((Tablo3[Urun Ad]=I143)*(Tablo3[Ürün Kar Tutarı]))</f>
        <v>0</v>
      </c>
      <c r="L143" s="37"/>
    </row>
    <row r="144" spans="1:12" x14ac:dyDescent="0.25">
      <c r="A144" s="13"/>
      <c r="B144" s="9" cm="1">
        <f t="array" ref="B144">SUMPRODUCT((Tablo3[Personel Ad]=A144)*(Tablo3[Ürün Kar Tutarı]))</f>
        <v>0</v>
      </c>
      <c r="D144" s="14"/>
      <c r="F144" s="9" cm="1">
        <f t="array" ref="F144">SUMPRODUCT((Tablo3[Şehirler]=E144)*(Tablo3[Ürün Kar Tutarı]))</f>
        <v>0</v>
      </c>
      <c r="H144" s="14"/>
      <c r="J144" s="9" cm="1">
        <f t="array" ref="J144">SUMPRODUCT((Tablo3[Urun Ad]=I144)*(Tablo3[Ürün Kar Tutarı]))</f>
        <v>0</v>
      </c>
      <c r="L144" s="37"/>
    </row>
    <row r="145" spans="1:12" x14ac:dyDescent="0.25">
      <c r="A145" s="13"/>
      <c r="B145" s="9" cm="1">
        <f t="array" ref="B145">SUMPRODUCT((Tablo3[Personel Ad]=A145)*(Tablo3[Ürün Kar Tutarı]))</f>
        <v>0</v>
      </c>
      <c r="D145" s="14"/>
      <c r="F145" s="9" cm="1">
        <f t="array" ref="F145">SUMPRODUCT((Tablo3[Şehirler]=E145)*(Tablo3[Ürün Kar Tutarı]))</f>
        <v>0</v>
      </c>
      <c r="H145" s="14"/>
      <c r="J145" s="9" cm="1">
        <f t="array" ref="J145">SUMPRODUCT((Tablo3[Urun Ad]=I145)*(Tablo3[Ürün Kar Tutarı]))</f>
        <v>0</v>
      </c>
      <c r="L145" s="37"/>
    </row>
    <row r="146" spans="1:12" x14ac:dyDescent="0.25">
      <c r="A146" s="13"/>
      <c r="B146" s="9" cm="1">
        <f t="array" ref="B146">SUMPRODUCT((Tablo3[Personel Ad]=A146)*(Tablo3[Ürün Kar Tutarı]))</f>
        <v>0</v>
      </c>
      <c r="D146" s="14"/>
      <c r="F146" s="9" cm="1">
        <f t="array" ref="F146">SUMPRODUCT((Tablo3[Şehirler]=E146)*(Tablo3[Ürün Kar Tutarı]))</f>
        <v>0</v>
      </c>
      <c r="H146" s="14"/>
      <c r="J146" s="9" cm="1">
        <f t="array" ref="J146">SUMPRODUCT((Tablo3[Urun Ad]=I146)*(Tablo3[Ürün Kar Tutarı]))</f>
        <v>0</v>
      </c>
      <c r="L146" s="37"/>
    </row>
    <row r="147" spans="1:12" x14ac:dyDescent="0.25">
      <c r="A147" s="13"/>
      <c r="B147" s="9" cm="1">
        <f t="array" ref="B147">SUMPRODUCT((Tablo3[Personel Ad]=A147)*(Tablo3[Ürün Kar Tutarı]))</f>
        <v>0</v>
      </c>
      <c r="D147" s="14"/>
      <c r="F147" s="9" cm="1">
        <f t="array" ref="F147">SUMPRODUCT((Tablo3[Şehirler]=E147)*(Tablo3[Ürün Kar Tutarı]))</f>
        <v>0</v>
      </c>
      <c r="H147" s="14"/>
      <c r="J147" s="9" cm="1">
        <f t="array" ref="J147">SUMPRODUCT((Tablo3[Urun Ad]=I147)*(Tablo3[Ürün Kar Tutarı]))</f>
        <v>0</v>
      </c>
      <c r="L147" s="37"/>
    </row>
    <row r="148" spans="1:12" x14ac:dyDescent="0.25">
      <c r="A148" s="13"/>
      <c r="B148" s="9" cm="1">
        <f t="array" ref="B148">SUMPRODUCT((Tablo3[Personel Ad]=A148)*(Tablo3[Ürün Kar Tutarı]))</f>
        <v>0</v>
      </c>
      <c r="D148" s="14"/>
      <c r="F148" s="9" cm="1">
        <f t="array" ref="F148">SUMPRODUCT((Tablo3[Şehirler]=E148)*(Tablo3[Ürün Kar Tutarı]))</f>
        <v>0</v>
      </c>
      <c r="H148" s="14"/>
      <c r="J148" s="9" cm="1">
        <f t="array" ref="J148">SUMPRODUCT((Tablo3[Urun Ad]=I148)*(Tablo3[Ürün Kar Tutarı]))</f>
        <v>0</v>
      </c>
      <c r="L148" s="37"/>
    </row>
    <row r="149" spans="1:12" x14ac:dyDescent="0.25">
      <c r="A149" s="13"/>
      <c r="B149" s="9" cm="1">
        <f t="array" ref="B149">SUMPRODUCT((Tablo3[Personel Ad]=A149)*(Tablo3[Ürün Kar Tutarı]))</f>
        <v>0</v>
      </c>
      <c r="D149" s="14"/>
      <c r="F149" s="9" cm="1">
        <f t="array" ref="F149">SUMPRODUCT((Tablo3[Şehirler]=E149)*(Tablo3[Ürün Kar Tutarı]))</f>
        <v>0</v>
      </c>
      <c r="H149" s="14"/>
      <c r="J149" s="9" cm="1">
        <f t="array" ref="J149">SUMPRODUCT((Tablo3[Urun Ad]=I149)*(Tablo3[Ürün Kar Tutarı]))</f>
        <v>0</v>
      </c>
      <c r="L149" s="37"/>
    </row>
    <row r="150" spans="1:12" x14ac:dyDescent="0.25">
      <c r="A150" s="13"/>
      <c r="B150" s="9" cm="1">
        <f t="array" ref="B150">SUMPRODUCT((Tablo3[Personel Ad]=A150)*(Tablo3[Ürün Kar Tutarı]))</f>
        <v>0</v>
      </c>
      <c r="D150" s="14"/>
      <c r="F150" s="9" cm="1">
        <f t="array" ref="F150">SUMPRODUCT((Tablo3[Şehirler]=E150)*(Tablo3[Ürün Kar Tutarı]))</f>
        <v>0</v>
      </c>
      <c r="H150" s="14"/>
      <c r="J150" s="9" cm="1">
        <f t="array" ref="J150">SUMPRODUCT((Tablo3[Urun Ad]=I150)*(Tablo3[Ürün Kar Tutarı]))</f>
        <v>0</v>
      </c>
      <c r="L150" s="37"/>
    </row>
    <row r="151" spans="1:12" x14ac:dyDescent="0.25">
      <c r="A151" s="13"/>
      <c r="B151" s="9" cm="1">
        <f t="array" ref="B151">SUMPRODUCT((Tablo3[Personel Ad]=A151)*(Tablo3[Ürün Kar Tutarı]))</f>
        <v>0</v>
      </c>
      <c r="D151" s="14"/>
      <c r="F151" s="9" cm="1">
        <f t="array" ref="F151">SUMPRODUCT((Tablo3[Şehirler]=E151)*(Tablo3[Ürün Kar Tutarı]))</f>
        <v>0</v>
      </c>
      <c r="H151" s="14"/>
      <c r="J151" s="9" cm="1">
        <f t="array" ref="J151">SUMPRODUCT((Tablo3[Urun Ad]=I151)*(Tablo3[Ürün Kar Tutarı]))</f>
        <v>0</v>
      </c>
      <c r="L151" s="37"/>
    </row>
    <row r="152" spans="1:12" x14ac:dyDescent="0.25">
      <c r="A152" s="13"/>
      <c r="B152" s="9" cm="1">
        <f t="array" ref="B152">SUMPRODUCT((Tablo3[Personel Ad]=A152)*(Tablo3[Ürün Kar Tutarı]))</f>
        <v>0</v>
      </c>
      <c r="D152" s="14"/>
      <c r="F152" s="9" cm="1">
        <f t="array" ref="F152">SUMPRODUCT((Tablo3[Şehirler]=E152)*(Tablo3[Ürün Kar Tutarı]))</f>
        <v>0</v>
      </c>
      <c r="H152" s="14"/>
      <c r="J152" s="9" cm="1">
        <f t="array" ref="J152">SUMPRODUCT((Tablo3[Urun Ad]=I152)*(Tablo3[Ürün Kar Tutarı]))</f>
        <v>0</v>
      </c>
      <c r="L152" s="37"/>
    </row>
    <row r="153" spans="1:12" x14ac:dyDescent="0.25">
      <c r="A153" s="13"/>
      <c r="B153" s="9" cm="1">
        <f t="array" ref="B153">SUMPRODUCT((Tablo3[Personel Ad]=A153)*(Tablo3[Ürün Kar Tutarı]))</f>
        <v>0</v>
      </c>
      <c r="D153" s="14"/>
      <c r="F153" s="9" cm="1">
        <f t="array" ref="F153">SUMPRODUCT((Tablo3[Şehirler]=E153)*(Tablo3[Ürün Kar Tutarı]))</f>
        <v>0</v>
      </c>
      <c r="H153" s="14"/>
      <c r="J153" s="9" cm="1">
        <f t="array" ref="J153">SUMPRODUCT((Tablo3[Urun Ad]=I153)*(Tablo3[Ürün Kar Tutarı]))</f>
        <v>0</v>
      </c>
      <c r="L153" s="37"/>
    </row>
    <row r="154" spans="1:12" x14ac:dyDescent="0.25">
      <c r="A154" s="13"/>
      <c r="B154" s="9" cm="1">
        <f t="array" ref="B154">SUMPRODUCT((Tablo3[Personel Ad]=A154)*(Tablo3[Ürün Kar Tutarı]))</f>
        <v>0</v>
      </c>
      <c r="D154" s="14"/>
      <c r="F154" s="9" cm="1">
        <f t="array" ref="F154">SUMPRODUCT((Tablo3[Şehirler]=E154)*(Tablo3[Ürün Kar Tutarı]))</f>
        <v>0</v>
      </c>
      <c r="H154" s="14"/>
      <c r="J154" s="9" cm="1">
        <f t="array" ref="J154">SUMPRODUCT((Tablo3[Urun Ad]=I154)*(Tablo3[Ürün Kar Tutarı]))</f>
        <v>0</v>
      </c>
      <c r="L154" s="37"/>
    </row>
    <row r="155" spans="1:12" x14ac:dyDescent="0.25">
      <c r="A155" s="13"/>
      <c r="B155" s="9" cm="1">
        <f t="array" ref="B155">SUMPRODUCT((Tablo3[Personel Ad]=A155)*(Tablo3[Ürün Kar Tutarı]))</f>
        <v>0</v>
      </c>
      <c r="D155" s="14"/>
      <c r="F155" s="9" cm="1">
        <f t="array" ref="F155">SUMPRODUCT((Tablo3[Şehirler]=E155)*(Tablo3[Ürün Kar Tutarı]))</f>
        <v>0</v>
      </c>
      <c r="H155" s="14"/>
      <c r="J155" s="9" cm="1">
        <f t="array" ref="J155">SUMPRODUCT((Tablo3[Urun Ad]=I155)*(Tablo3[Ürün Kar Tutarı]))</f>
        <v>0</v>
      </c>
      <c r="L155" s="37"/>
    </row>
    <row r="156" spans="1:12" x14ac:dyDescent="0.25">
      <c r="A156" s="13"/>
      <c r="B156" s="9" cm="1">
        <f t="array" ref="B156">SUMPRODUCT((Tablo3[Personel Ad]=A156)*(Tablo3[Ürün Kar Tutarı]))</f>
        <v>0</v>
      </c>
      <c r="D156" s="14"/>
      <c r="F156" s="9" cm="1">
        <f t="array" ref="F156">SUMPRODUCT((Tablo3[Şehirler]=E156)*(Tablo3[Ürün Kar Tutarı]))</f>
        <v>0</v>
      </c>
      <c r="H156" s="14"/>
      <c r="J156" s="9" cm="1">
        <f t="array" ref="J156">SUMPRODUCT((Tablo3[Urun Ad]=I156)*(Tablo3[Ürün Kar Tutarı]))</f>
        <v>0</v>
      </c>
      <c r="L156" s="37"/>
    </row>
    <row r="157" spans="1:12" x14ac:dyDescent="0.25">
      <c r="A157" s="13"/>
      <c r="B157" s="9" cm="1">
        <f t="array" ref="B157">SUMPRODUCT((Tablo3[Personel Ad]=A157)*(Tablo3[Ürün Kar Tutarı]))</f>
        <v>0</v>
      </c>
      <c r="D157" s="14"/>
      <c r="F157" s="9" cm="1">
        <f t="array" ref="F157">SUMPRODUCT((Tablo3[Şehirler]=E157)*(Tablo3[Ürün Kar Tutarı]))</f>
        <v>0</v>
      </c>
      <c r="H157" s="14"/>
      <c r="J157" s="9" cm="1">
        <f t="array" ref="J157">SUMPRODUCT((Tablo3[Urun Ad]=I157)*(Tablo3[Ürün Kar Tutarı]))</f>
        <v>0</v>
      </c>
      <c r="L157" s="37"/>
    </row>
    <row r="158" spans="1:12" x14ac:dyDescent="0.25">
      <c r="A158" s="13"/>
      <c r="B158" s="9" cm="1">
        <f t="array" ref="B158">SUMPRODUCT((Tablo3[Personel Ad]=A158)*(Tablo3[Ürün Kar Tutarı]))</f>
        <v>0</v>
      </c>
      <c r="D158" s="14"/>
      <c r="F158" s="9" cm="1">
        <f t="array" ref="F158">SUMPRODUCT((Tablo3[Şehirler]=E158)*(Tablo3[Ürün Kar Tutarı]))</f>
        <v>0</v>
      </c>
      <c r="H158" s="14"/>
      <c r="J158" s="9" cm="1">
        <f t="array" ref="J158">SUMPRODUCT((Tablo3[Urun Ad]=I158)*(Tablo3[Ürün Kar Tutarı]))</f>
        <v>0</v>
      </c>
      <c r="L158" s="37"/>
    </row>
    <row r="159" spans="1:12" x14ac:dyDescent="0.25">
      <c r="A159" s="13"/>
      <c r="B159" s="9" cm="1">
        <f t="array" ref="B159">SUMPRODUCT((Tablo3[Personel Ad]=A159)*(Tablo3[Ürün Kar Tutarı]))</f>
        <v>0</v>
      </c>
      <c r="D159" s="14"/>
      <c r="F159" s="9" cm="1">
        <f t="array" ref="F159">SUMPRODUCT((Tablo3[Şehirler]=E159)*(Tablo3[Ürün Kar Tutarı]))</f>
        <v>0</v>
      </c>
      <c r="H159" s="14"/>
      <c r="J159" s="9" cm="1">
        <f t="array" ref="J159">SUMPRODUCT((Tablo3[Urun Ad]=I159)*(Tablo3[Ürün Kar Tutarı]))</f>
        <v>0</v>
      </c>
      <c r="L159" s="37"/>
    </row>
    <row r="160" spans="1:12" x14ac:dyDescent="0.25">
      <c r="A160" s="13"/>
      <c r="B160" s="9" cm="1">
        <f t="array" ref="B160">SUMPRODUCT((Tablo3[Personel Ad]=A160)*(Tablo3[Ürün Kar Tutarı]))</f>
        <v>0</v>
      </c>
      <c r="D160" s="14"/>
      <c r="F160" s="9" cm="1">
        <f t="array" ref="F160">SUMPRODUCT((Tablo3[Şehirler]=E160)*(Tablo3[Ürün Kar Tutarı]))</f>
        <v>0</v>
      </c>
      <c r="H160" s="14"/>
      <c r="J160" s="9" cm="1">
        <f t="array" ref="J160">SUMPRODUCT((Tablo3[Urun Ad]=I160)*(Tablo3[Ürün Kar Tutarı]))</f>
        <v>0</v>
      </c>
      <c r="L160" s="37"/>
    </row>
    <row r="161" spans="1:12" x14ac:dyDescent="0.25">
      <c r="A161" s="13"/>
      <c r="B161" s="9" cm="1">
        <f t="array" ref="B161">SUMPRODUCT((Tablo3[Personel Ad]=A161)*(Tablo3[Ürün Kar Tutarı]))</f>
        <v>0</v>
      </c>
      <c r="D161" s="14"/>
      <c r="F161" s="9" cm="1">
        <f t="array" ref="F161">SUMPRODUCT((Tablo3[Şehirler]=E161)*(Tablo3[Ürün Kar Tutarı]))</f>
        <v>0</v>
      </c>
      <c r="H161" s="14"/>
      <c r="J161" s="9" cm="1">
        <f t="array" ref="J161">SUMPRODUCT((Tablo3[Urun Ad]=I161)*(Tablo3[Ürün Kar Tutarı]))</f>
        <v>0</v>
      </c>
      <c r="L161" s="37"/>
    </row>
    <row r="162" spans="1:12" x14ac:dyDescent="0.25">
      <c r="A162" s="13"/>
      <c r="B162" s="9" cm="1">
        <f t="array" ref="B162">SUMPRODUCT((Tablo3[Personel Ad]=A162)*(Tablo3[Ürün Kar Tutarı]))</f>
        <v>0</v>
      </c>
      <c r="D162" s="14"/>
      <c r="F162" s="9" cm="1">
        <f t="array" ref="F162">SUMPRODUCT((Tablo3[Şehirler]=E162)*(Tablo3[Ürün Kar Tutarı]))</f>
        <v>0</v>
      </c>
      <c r="H162" s="14"/>
      <c r="J162" s="9" cm="1">
        <f t="array" ref="J162">SUMPRODUCT((Tablo3[Urun Ad]=I162)*(Tablo3[Ürün Kar Tutarı]))</f>
        <v>0</v>
      </c>
      <c r="L162" s="37"/>
    </row>
    <row r="163" spans="1:12" x14ac:dyDescent="0.25">
      <c r="A163" s="13"/>
      <c r="B163" s="9" cm="1">
        <f t="array" ref="B163">SUMPRODUCT((Tablo3[Personel Ad]=A163)*(Tablo3[Ürün Kar Tutarı]))</f>
        <v>0</v>
      </c>
      <c r="D163" s="14"/>
      <c r="F163" s="9" cm="1">
        <f t="array" ref="F163">SUMPRODUCT((Tablo3[Şehirler]=E163)*(Tablo3[Ürün Kar Tutarı]))</f>
        <v>0</v>
      </c>
      <c r="H163" s="14"/>
      <c r="J163" s="9" cm="1">
        <f t="array" ref="J163">SUMPRODUCT((Tablo3[Urun Ad]=I163)*(Tablo3[Ürün Kar Tutarı]))</f>
        <v>0</v>
      </c>
      <c r="L163" s="37"/>
    </row>
    <row r="164" spans="1:12" x14ac:dyDescent="0.25">
      <c r="A164" s="13"/>
      <c r="B164" s="9" cm="1">
        <f t="array" ref="B164">SUMPRODUCT((Tablo3[Personel Ad]=A164)*(Tablo3[Ürün Kar Tutarı]))</f>
        <v>0</v>
      </c>
      <c r="D164" s="14"/>
      <c r="F164" s="9" cm="1">
        <f t="array" ref="F164">SUMPRODUCT((Tablo3[Şehirler]=E164)*(Tablo3[Ürün Kar Tutarı]))</f>
        <v>0</v>
      </c>
      <c r="H164" s="14"/>
      <c r="J164" s="9" cm="1">
        <f t="array" ref="J164">SUMPRODUCT((Tablo3[Urun Ad]=I164)*(Tablo3[Ürün Kar Tutarı]))</f>
        <v>0</v>
      </c>
      <c r="L164" s="37"/>
    </row>
    <row r="165" spans="1:12" x14ac:dyDescent="0.25">
      <c r="A165" s="13"/>
      <c r="B165" s="9" cm="1">
        <f t="array" ref="B165">SUMPRODUCT((Tablo3[Personel Ad]=A165)*(Tablo3[Ürün Kar Tutarı]))</f>
        <v>0</v>
      </c>
      <c r="D165" s="14"/>
      <c r="F165" s="9" cm="1">
        <f t="array" ref="F165">SUMPRODUCT((Tablo3[Şehirler]=E165)*(Tablo3[Ürün Kar Tutarı]))</f>
        <v>0</v>
      </c>
      <c r="H165" s="14"/>
      <c r="J165" s="9" cm="1">
        <f t="array" ref="J165">SUMPRODUCT((Tablo3[Urun Ad]=I165)*(Tablo3[Ürün Kar Tutarı]))</f>
        <v>0</v>
      </c>
      <c r="L165" s="37"/>
    </row>
    <row r="166" spans="1:12" x14ac:dyDescent="0.25">
      <c r="A166" s="13"/>
      <c r="B166" s="9" cm="1">
        <f t="array" ref="B166">SUMPRODUCT((Tablo3[Personel Ad]=A166)*(Tablo3[Ürün Kar Tutarı]))</f>
        <v>0</v>
      </c>
      <c r="D166" s="14"/>
      <c r="F166" s="9" cm="1">
        <f t="array" ref="F166">SUMPRODUCT((Tablo3[Şehirler]=E166)*(Tablo3[Ürün Kar Tutarı]))</f>
        <v>0</v>
      </c>
      <c r="H166" s="14"/>
      <c r="J166" s="9" cm="1">
        <f t="array" ref="J166">SUMPRODUCT((Tablo3[Urun Ad]=I166)*(Tablo3[Ürün Kar Tutarı]))</f>
        <v>0</v>
      </c>
      <c r="L166" s="37"/>
    </row>
    <row r="167" spans="1:12" x14ac:dyDescent="0.25">
      <c r="A167" s="13"/>
      <c r="B167" s="9" cm="1">
        <f t="array" ref="B167">SUMPRODUCT((Tablo3[Personel Ad]=A167)*(Tablo3[Ürün Kar Tutarı]))</f>
        <v>0</v>
      </c>
      <c r="D167" s="14"/>
      <c r="F167" s="9" cm="1">
        <f t="array" ref="F167">SUMPRODUCT((Tablo3[Şehirler]=E167)*(Tablo3[Ürün Kar Tutarı]))</f>
        <v>0</v>
      </c>
      <c r="H167" s="14"/>
      <c r="J167" s="9" cm="1">
        <f t="array" ref="J167">SUMPRODUCT((Tablo3[Urun Ad]=I167)*(Tablo3[Ürün Kar Tutarı]))</f>
        <v>0</v>
      </c>
      <c r="L167" s="37"/>
    </row>
    <row r="168" spans="1:12" x14ac:dyDescent="0.25">
      <c r="A168" s="13"/>
      <c r="B168" s="9" cm="1">
        <f t="array" ref="B168">SUMPRODUCT((Tablo3[Personel Ad]=A168)*(Tablo3[Ürün Kar Tutarı]))</f>
        <v>0</v>
      </c>
      <c r="D168" s="14"/>
      <c r="F168" s="9" cm="1">
        <f t="array" ref="F168">SUMPRODUCT((Tablo3[Şehirler]=E168)*(Tablo3[Ürün Kar Tutarı]))</f>
        <v>0</v>
      </c>
      <c r="H168" s="14"/>
      <c r="J168" s="9" cm="1">
        <f t="array" ref="J168">SUMPRODUCT((Tablo3[Urun Ad]=I168)*(Tablo3[Ürün Kar Tutarı]))</f>
        <v>0</v>
      </c>
      <c r="L168" s="37"/>
    </row>
    <row r="169" spans="1:12" x14ac:dyDescent="0.25">
      <c r="A169" s="13"/>
      <c r="B169" s="9" cm="1">
        <f t="array" ref="B169">SUMPRODUCT((Tablo3[Personel Ad]=A169)*(Tablo3[Ürün Kar Tutarı]))</f>
        <v>0</v>
      </c>
      <c r="D169" s="14"/>
      <c r="F169" s="9" cm="1">
        <f t="array" ref="F169">SUMPRODUCT((Tablo3[Şehirler]=E169)*(Tablo3[Ürün Kar Tutarı]))</f>
        <v>0</v>
      </c>
      <c r="H169" s="14"/>
      <c r="J169" s="9" cm="1">
        <f t="array" ref="J169">SUMPRODUCT((Tablo3[Urun Ad]=I169)*(Tablo3[Ürün Kar Tutarı]))</f>
        <v>0</v>
      </c>
      <c r="L169" s="37"/>
    </row>
    <row r="170" spans="1:12" x14ac:dyDescent="0.25">
      <c r="A170" s="13"/>
      <c r="B170" s="9" cm="1">
        <f t="array" ref="B170">SUMPRODUCT((Tablo3[Personel Ad]=A170)*(Tablo3[Ürün Kar Tutarı]))</f>
        <v>0</v>
      </c>
      <c r="D170" s="14"/>
      <c r="F170" s="9" cm="1">
        <f t="array" ref="F170">SUMPRODUCT((Tablo3[Şehirler]=E170)*(Tablo3[Ürün Kar Tutarı]))</f>
        <v>0</v>
      </c>
      <c r="H170" s="14"/>
      <c r="J170" s="9" cm="1">
        <f t="array" ref="J170">SUMPRODUCT((Tablo3[Urun Ad]=I170)*(Tablo3[Ürün Kar Tutarı]))</f>
        <v>0</v>
      </c>
      <c r="L170" s="37"/>
    </row>
    <row r="171" spans="1:12" x14ac:dyDescent="0.25">
      <c r="A171" s="13"/>
      <c r="B171" s="9" cm="1">
        <f t="array" ref="B171">SUMPRODUCT((Tablo3[Personel Ad]=A171)*(Tablo3[Ürün Kar Tutarı]))</f>
        <v>0</v>
      </c>
      <c r="D171" s="14"/>
      <c r="F171" s="9" cm="1">
        <f t="array" ref="F171">SUMPRODUCT((Tablo3[Şehirler]=E171)*(Tablo3[Ürün Kar Tutarı]))</f>
        <v>0</v>
      </c>
      <c r="H171" s="14"/>
      <c r="J171" s="9" cm="1">
        <f t="array" ref="J171">SUMPRODUCT((Tablo3[Urun Ad]=I171)*(Tablo3[Ürün Kar Tutarı]))</f>
        <v>0</v>
      </c>
      <c r="L171" s="37"/>
    </row>
    <row r="172" spans="1:12" x14ac:dyDescent="0.25">
      <c r="A172" s="13"/>
      <c r="B172" s="9" cm="1">
        <f t="array" ref="B172">SUMPRODUCT((Tablo3[Personel Ad]=A172)*(Tablo3[Ürün Kar Tutarı]))</f>
        <v>0</v>
      </c>
      <c r="D172" s="14"/>
      <c r="F172" s="9" cm="1">
        <f t="array" ref="F172">SUMPRODUCT((Tablo3[Şehirler]=E172)*(Tablo3[Ürün Kar Tutarı]))</f>
        <v>0</v>
      </c>
      <c r="H172" s="14"/>
      <c r="J172" s="9" cm="1">
        <f t="array" ref="J172">SUMPRODUCT((Tablo3[Urun Ad]=I172)*(Tablo3[Ürün Kar Tutarı]))</f>
        <v>0</v>
      </c>
      <c r="L172" s="37"/>
    </row>
    <row r="173" spans="1:12" x14ac:dyDescent="0.25">
      <c r="A173" s="13"/>
      <c r="B173" s="9" cm="1">
        <f t="array" ref="B173">SUMPRODUCT((Tablo3[Personel Ad]=A173)*(Tablo3[Ürün Kar Tutarı]))</f>
        <v>0</v>
      </c>
      <c r="D173" s="14"/>
      <c r="F173" s="9" cm="1">
        <f t="array" ref="F173">SUMPRODUCT((Tablo3[Şehirler]=E173)*(Tablo3[Ürün Kar Tutarı]))</f>
        <v>0</v>
      </c>
      <c r="H173" s="14"/>
      <c r="J173" s="9" cm="1">
        <f t="array" ref="J173">SUMPRODUCT((Tablo3[Urun Ad]=I173)*(Tablo3[Ürün Kar Tutarı]))</f>
        <v>0</v>
      </c>
      <c r="L173" s="37"/>
    </row>
    <row r="174" spans="1:12" x14ac:dyDescent="0.25">
      <c r="A174" s="13"/>
      <c r="B174" s="9" cm="1">
        <f t="array" ref="B174">SUMPRODUCT((Tablo3[Personel Ad]=A174)*(Tablo3[Ürün Kar Tutarı]))</f>
        <v>0</v>
      </c>
      <c r="D174" s="14"/>
      <c r="F174" s="9" cm="1">
        <f t="array" ref="F174">SUMPRODUCT((Tablo3[Şehirler]=E174)*(Tablo3[Ürün Kar Tutarı]))</f>
        <v>0</v>
      </c>
      <c r="H174" s="14"/>
      <c r="J174" s="9" cm="1">
        <f t="array" ref="J174">SUMPRODUCT((Tablo3[Urun Ad]=I174)*(Tablo3[Ürün Kar Tutarı]))</f>
        <v>0</v>
      </c>
      <c r="L174" s="37"/>
    </row>
    <row r="175" spans="1:12" x14ac:dyDescent="0.25">
      <c r="A175" s="13"/>
      <c r="B175" s="9" cm="1">
        <f t="array" ref="B175">SUMPRODUCT((Tablo3[Personel Ad]=A175)*(Tablo3[Ürün Kar Tutarı]))</f>
        <v>0</v>
      </c>
      <c r="D175" s="14"/>
      <c r="F175" s="9" cm="1">
        <f t="array" ref="F175">SUMPRODUCT((Tablo3[Şehirler]=E175)*(Tablo3[Ürün Kar Tutarı]))</f>
        <v>0</v>
      </c>
      <c r="H175" s="14"/>
      <c r="J175" s="9" cm="1">
        <f t="array" ref="J175">SUMPRODUCT((Tablo3[Urun Ad]=I175)*(Tablo3[Ürün Kar Tutarı]))</f>
        <v>0</v>
      </c>
      <c r="L175" s="37"/>
    </row>
    <row r="176" spans="1:12" x14ac:dyDescent="0.25">
      <c r="A176" s="13"/>
      <c r="B176" s="9" cm="1">
        <f t="array" ref="B176">SUMPRODUCT((Tablo3[Personel Ad]=A176)*(Tablo3[Ürün Kar Tutarı]))</f>
        <v>0</v>
      </c>
      <c r="D176" s="14"/>
      <c r="F176" s="9" cm="1">
        <f t="array" ref="F176">SUMPRODUCT((Tablo3[Şehirler]=E176)*(Tablo3[Ürün Kar Tutarı]))</f>
        <v>0</v>
      </c>
      <c r="H176" s="14"/>
      <c r="J176" s="9" cm="1">
        <f t="array" ref="J176">SUMPRODUCT((Tablo3[Urun Ad]=I176)*(Tablo3[Ürün Kar Tutarı]))</f>
        <v>0</v>
      </c>
      <c r="L176" s="37"/>
    </row>
    <row r="177" spans="1:12" x14ac:dyDescent="0.25">
      <c r="A177" s="13"/>
      <c r="B177" s="9" cm="1">
        <f t="array" ref="B177">SUMPRODUCT((Tablo3[Personel Ad]=A177)*(Tablo3[Ürün Kar Tutarı]))</f>
        <v>0</v>
      </c>
      <c r="D177" s="14"/>
      <c r="F177" s="9" cm="1">
        <f t="array" ref="F177">SUMPRODUCT((Tablo3[Şehirler]=E177)*(Tablo3[Ürün Kar Tutarı]))</f>
        <v>0</v>
      </c>
      <c r="H177" s="14"/>
      <c r="J177" s="9" cm="1">
        <f t="array" ref="J177">SUMPRODUCT((Tablo3[Urun Ad]=I177)*(Tablo3[Ürün Kar Tutarı]))</f>
        <v>0</v>
      </c>
      <c r="L177" s="37"/>
    </row>
    <row r="178" spans="1:12" x14ac:dyDescent="0.25">
      <c r="A178" s="13"/>
      <c r="B178" s="9" cm="1">
        <f t="array" ref="B178">SUMPRODUCT((Tablo3[Personel Ad]=A178)*(Tablo3[Ürün Kar Tutarı]))</f>
        <v>0</v>
      </c>
      <c r="D178" s="14"/>
      <c r="F178" s="9" cm="1">
        <f t="array" ref="F178">SUMPRODUCT((Tablo3[Şehirler]=E178)*(Tablo3[Ürün Kar Tutarı]))</f>
        <v>0</v>
      </c>
      <c r="H178" s="14"/>
      <c r="J178" s="9" cm="1">
        <f t="array" ref="J178">SUMPRODUCT((Tablo3[Urun Ad]=I178)*(Tablo3[Ürün Kar Tutarı]))</f>
        <v>0</v>
      </c>
      <c r="L178" s="37"/>
    </row>
    <row r="179" spans="1:12" x14ac:dyDescent="0.25">
      <c r="A179" s="13"/>
      <c r="B179" s="9" cm="1">
        <f t="array" ref="B179">SUMPRODUCT((Tablo3[Personel Ad]=A179)*(Tablo3[Ürün Kar Tutarı]))</f>
        <v>0</v>
      </c>
      <c r="D179" s="14"/>
      <c r="F179" s="9" cm="1">
        <f t="array" ref="F179">SUMPRODUCT((Tablo3[Şehirler]=E179)*(Tablo3[Ürün Kar Tutarı]))</f>
        <v>0</v>
      </c>
      <c r="H179" s="14"/>
      <c r="J179" s="9" cm="1">
        <f t="array" ref="J179">SUMPRODUCT((Tablo3[Urun Ad]=I179)*(Tablo3[Ürün Kar Tutarı]))</f>
        <v>0</v>
      </c>
      <c r="L179" s="37"/>
    </row>
    <row r="180" spans="1:12" x14ac:dyDescent="0.25">
      <c r="A180" s="13"/>
      <c r="B180" s="9" cm="1">
        <f t="array" ref="B180">SUMPRODUCT((Tablo3[Personel Ad]=A180)*(Tablo3[Ürün Kar Tutarı]))</f>
        <v>0</v>
      </c>
      <c r="D180" s="14"/>
      <c r="F180" s="9" cm="1">
        <f t="array" ref="F180">SUMPRODUCT((Tablo3[Şehirler]=E180)*(Tablo3[Ürün Kar Tutarı]))</f>
        <v>0</v>
      </c>
      <c r="H180" s="14"/>
      <c r="J180" s="9" cm="1">
        <f t="array" ref="J180">SUMPRODUCT((Tablo3[Urun Ad]=I180)*(Tablo3[Ürün Kar Tutarı]))</f>
        <v>0</v>
      </c>
      <c r="L180" s="37"/>
    </row>
    <row r="181" spans="1:12" x14ac:dyDescent="0.25">
      <c r="A181" s="13"/>
      <c r="B181" s="9" cm="1">
        <f t="array" ref="B181">SUMPRODUCT((Tablo3[Personel Ad]=A181)*(Tablo3[Ürün Kar Tutarı]))</f>
        <v>0</v>
      </c>
      <c r="D181" s="14"/>
      <c r="F181" s="9" cm="1">
        <f t="array" ref="F181">SUMPRODUCT((Tablo3[Şehirler]=E181)*(Tablo3[Ürün Kar Tutarı]))</f>
        <v>0</v>
      </c>
      <c r="H181" s="14"/>
      <c r="J181" s="9" cm="1">
        <f t="array" ref="J181">SUMPRODUCT((Tablo3[Urun Ad]=I181)*(Tablo3[Ürün Kar Tutarı]))</f>
        <v>0</v>
      </c>
      <c r="L181" s="37"/>
    </row>
    <row r="182" spans="1:12" x14ac:dyDescent="0.25">
      <c r="A182" s="13"/>
      <c r="B182" s="9" cm="1">
        <f t="array" ref="B182">SUMPRODUCT((Tablo3[Personel Ad]=A182)*(Tablo3[Ürün Kar Tutarı]))</f>
        <v>0</v>
      </c>
      <c r="D182" s="14"/>
      <c r="F182" s="9" cm="1">
        <f t="array" ref="F182">SUMPRODUCT((Tablo3[Şehirler]=E182)*(Tablo3[Ürün Kar Tutarı]))</f>
        <v>0</v>
      </c>
      <c r="H182" s="14"/>
      <c r="J182" s="9" cm="1">
        <f t="array" ref="J182">SUMPRODUCT((Tablo3[Urun Ad]=I182)*(Tablo3[Ürün Kar Tutarı]))</f>
        <v>0</v>
      </c>
      <c r="L182" s="37"/>
    </row>
    <row r="183" spans="1:12" x14ac:dyDescent="0.25">
      <c r="A183" s="13"/>
      <c r="B183" s="9" cm="1">
        <f t="array" ref="B183">SUMPRODUCT((Tablo3[Personel Ad]=A183)*(Tablo3[Ürün Kar Tutarı]))</f>
        <v>0</v>
      </c>
      <c r="D183" s="14"/>
      <c r="F183" s="9" cm="1">
        <f t="array" ref="F183">SUMPRODUCT((Tablo3[Şehirler]=E183)*(Tablo3[Ürün Kar Tutarı]))</f>
        <v>0</v>
      </c>
      <c r="H183" s="14"/>
      <c r="J183" s="9" cm="1">
        <f t="array" ref="J183">SUMPRODUCT((Tablo3[Urun Ad]=I183)*(Tablo3[Ürün Kar Tutarı]))</f>
        <v>0</v>
      </c>
      <c r="L183" s="37"/>
    </row>
    <row r="184" spans="1:12" x14ac:dyDescent="0.25">
      <c r="A184" s="13"/>
      <c r="B184" s="9" cm="1">
        <f t="array" ref="B184">SUMPRODUCT((Tablo3[Personel Ad]=A184)*(Tablo3[Ürün Kar Tutarı]))</f>
        <v>0</v>
      </c>
      <c r="D184" s="14"/>
      <c r="F184" s="9" cm="1">
        <f t="array" ref="F184">SUMPRODUCT((Tablo3[Şehirler]=E184)*(Tablo3[Ürün Kar Tutarı]))</f>
        <v>0</v>
      </c>
      <c r="H184" s="14"/>
      <c r="J184" s="9" cm="1">
        <f t="array" ref="J184">SUMPRODUCT((Tablo3[Urun Ad]=I184)*(Tablo3[Ürün Kar Tutarı]))</f>
        <v>0</v>
      </c>
      <c r="L184" s="37"/>
    </row>
    <row r="185" spans="1:12" x14ac:dyDescent="0.25">
      <c r="A185" s="13"/>
      <c r="B185" s="9" cm="1">
        <f t="array" ref="B185">SUMPRODUCT((Tablo3[Personel Ad]=A185)*(Tablo3[Ürün Kar Tutarı]))</f>
        <v>0</v>
      </c>
      <c r="D185" s="14"/>
      <c r="F185" s="9" cm="1">
        <f t="array" ref="F185">SUMPRODUCT((Tablo3[Şehirler]=E185)*(Tablo3[Ürün Kar Tutarı]))</f>
        <v>0</v>
      </c>
      <c r="H185" s="14"/>
      <c r="J185" s="9" cm="1">
        <f t="array" ref="J185">SUMPRODUCT((Tablo3[Urun Ad]=I185)*(Tablo3[Ürün Kar Tutarı]))</f>
        <v>0</v>
      </c>
      <c r="L185" s="37"/>
    </row>
    <row r="186" spans="1:12" x14ac:dyDescent="0.25">
      <c r="A186" s="13"/>
      <c r="B186" s="9" cm="1">
        <f t="array" ref="B186">SUMPRODUCT((Tablo3[Personel Ad]=A186)*(Tablo3[Ürün Kar Tutarı]))</f>
        <v>0</v>
      </c>
      <c r="D186" s="14"/>
      <c r="F186" s="9" cm="1">
        <f t="array" ref="F186">SUMPRODUCT((Tablo3[Şehirler]=E186)*(Tablo3[Ürün Kar Tutarı]))</f>
        <v>0</v>
      </c>
      <c r="H186" s="14"/>
      <c r="J186" s="9" cm="1">
        <f t="array" ref="J186">SUMPRODUCT((Tablo3[Urun Ad]=I186)*(Tablo3[Ürün Kar Tutarı]))</f>
        <v>0</v>
      </c>
      <c r="L186" s="37"/>
    </row>
    <row r="187" spans="1:12" x14ac:dyDescent="0.25">
      <c r="A187" s="13"/>
      <c r="B187" s="9" cm="1">
        <f t="array" ref="B187">SUMPRODUCT((Tablo3[Personel Ad]=A187)*(Tablo3[Ürün Kar Tutarı]))</f>
        <v>0</v>
      </c>
      <c r="D187" s="14"/>
      <c r="F187" s="9" cm="1">
        <f t="array" ref="F187">SUMPRODUCT((Tablo3[Şehirler]=E187)*(Tablo3[Ürün Kar Tutarı]))</f>
        <v>0</v>
      </c>
      <c r="H187" s="14"/>
      <c r="J187" s="9" cm="1">
        <f t="array" ref="J187">SUMPRODUCT((Tablo3[Urun Ad]=I187)*(Tablo3[Ürün Kar Tutarı]))</f>
        <v>0</v>
      </c>
      <c r="L187" s="37"/>
    </row>
    <row r="188" spans="1:12" x14ac:dyDescent="0.25">
      <c r="A188" s="13"/>
      <c r="B188" s="9" cm="1">
        <f t="array" ref="B188">SUMPRODUCT((Tablo3[Personel Ad]=A188)*(Tablo3[Ürün Kar Tutarı]))</f>
        <v>0</v>
      </c>
      <c r="D188" s="14"/>
      <c r="F188" s="9" cm="1">
        <f t="array" ref="F188">SUMPRODUCT((Tablo3[Şehirler]=E188)*(Tablo3[Ürün Kar Tutarı]))</f>
        <v>0</v>
      </c>
      <c r="H188" s="14"/>
      <c r="J188" s="9" cm="1">
        <f t="array" ref="J188">SUMPRODUCT((Tablo3[Urun Ad]=I188)*(Tablo3[Ürün Kar Tutarı]))</f>
        <v>0</v>
      </c>
      <c r="L188" s="37"/>
    </row>
    <row r="189" spans="1:12" x14ac:dyDescent="0.25">
      <c r="A189" s="13"/>
      <c r="B189" s="9" cm="1">
        <f t="array" ref="B189">SUMPRODUCT((Tablo3[Personel Ad]=A189)*(Tablo3[Ürün Kar Tutarı]))</f>
        <v>0</v>
      </c>
      <c r="D189" s="14"/>
      <c r="F189" s="9" cm="1">
        <f t="array" ref="F189">SUMPRODUCT((Tablo3[Şehirler]=E189)*(Tablo3[Ürün Kar Tutarı]))</f>
        <v>0</v>
      </c>
      <c r="H189" s="14"/>
      <c r="J189" s="9" cm="1">
        <f t="array" ref="J189">SUMPRODUCT((Tablo3[Urun Ad]=I189)*(Tablo3[Ürün Kar Tutarı]))</f>
        <v>0</v>
      </c>
      <c r="L189" s="37"/>
    </row>
    <row r="190" spans="1:12" x14ac:dyDescent="0.25">
      <c r="A190" s="13"/>
      <c r="B190" s="9" cm="1">
        <f t="array" ref="B190">SUMPRODUCT((Tablo3[Personel Ad]=A190)*(Tablo3[Ürün Kar Tutarı]))</f>
        <v>0</v>
      </c>
      <c r="D190" s="14"/>
      <c r="F190" s="9" cm="1">
        <f t="array" ref="F190">SUMPRODUCT((Tablo3[Şehirler]=E190)*(Tablo3[Ürün Kar Tutarı]))</f>
        <v>0</v>
      </c>
      <c r="H190" s="14"/>
      <c r="J190" s="9" cm="1">
        <f t="array" ref="J190">SUMPRODUCT((Tablo3[Urun Ad]=I190)*(Tablo3[Ürün Kar Tutarı]))</f>
        <v>0</v>
      </c>
      <c r="L190" s="37"/>
    </row>
    <row r="191" spans="1:12" x14ac:dyDescent="0.25">
      <c r="A191" s="13"/>
      <c r="B191" s="9" cm="1">
        <f t="array" ref="B191">SUMPRODUCT((Tablo3[Personel Ad]=A191)*(Tablo3[Ürün Kar Tutarı]))</f>
        <v>0</v>
      </c>
      <c r="D191" s="14"/>
      <c r="F191" s="9" cm="1">
        <f t="array" ref="F191">SUMPRODUCT((Tablo3[Şehirler]=E191)*(Tablo3[Ürün Kar Tutarı]))</f>
        <v>0</v>
      </c>
      <c r="H191" s="14"/>
      <c r="J191" s="9" cm="1">
        <f t="array" ref="J191">SUMPRODUCT((Tablo3[Urun Ad]=I191)*(Tablo3[Ürün Kar Tutarı]))</f>
        <v>0</v>
      </c>
      <c r="L191" s="37"/>
    </row>
    <row r="192" spans="1:12" x14ac:dyDescent="0.25">
      <c r="A192" s="13"/>
      <c r="B192" s="9" cm="1">
        <f t="array" ref="B192">SUMPRODUCT((Tablo3[Personel Ad]=A192)*(Tablo3[Ürün Kar Tutarı]))</f>
        <v>0</v>
      </c>
      <c r="D192" s="14"/>
      <c r="F192" s="9" cm="1">
        <f t="array" ref="F192">SUMPRODUCT((Tablo3[Şehirler]=E192)*(Tablo3[Ürün Kar Tutarı]))</f>
        <v>0</v>
      </c>
      <c r="H192" s="14"/>
      <c r="J192" s="9" cm="1">
        <f t="array" ref="J192">SUMPRODUCT((Tablo3[Urun Ad]=I192)*(Tablo3[Ürün Kar Tutarı]))</f>
        <v>0</v>
      </c>
      <c r="L192" s="37"/>
    </row>
    <row r="193" spans="1:12" x14ac:dyDescent="0.25">
      <c r="A193" s="13"/>
      <c r="B193" s="9" cm="1">
        <f t="array" ref="B193">SUMPRODUCT((Tablo3[Personel Ad]=A193)*(Tablo3[Ürün Kar Tutarı]))</f>
        <v>0</v>
      </c>
      <c r="D193" s="14"/>
      <c r="F193" s="9" cm="1">
        <f t="array" ref="F193">SUMPRODUCT((Tablo3[Şehirler]=E193)*(Tablo3[Ürün Kar Tutarı]))</f>
        <v>0</v>
      </c>
      <c r="H193" s="14"/>
      <c r="J193" s="9" cm="1">
        <f t="array" ref="J193">SUMPRODUCT((Tablo3[Urun Ad]=I193)*(Tablo3[Ürün Kar Tutarı]))</f>
        <v>0</v>
      </c>
      <c r="L193" s="37"/>
    </row>
    <row r="194" spans="1:12" x14ac:dyDescent="0.25">
      <c r="A194" s="13"/>
      <c r="B194" s="9" cm="1">
        <f t="array" ref="B194">SUMPRODUCT((Tablo3[Personel Ad]=A194)*(Tablo3[Ürün Kar Tutarı]))</f>
        <v>0</v>
      </c>
      <c r="D194" s="14"/>
      <c r="F194" s="9" cm="1">
        <f t="array" ref="F194">SUMPRODUCT((Tablo3[Şehirler]=E194)*(Tablo3[Ürün Kar Tutarı]))</f>
        <v>0</v>
      </c>
      <c r="H194" s="14"/>
      <c r="J194" s="9" cm="1">
        <f t="array" ref="J194">SUMPRODUCT((Tablo3[Urun Ad]=I194)*(Tablo3[Ürün Kar Tutarı]))</f>
        <v>0</v>
      </c>
      <c r="L194" s="37"/>
    </row>
    <row r="195" spans="1:12" x14ac:dyDescent="0.25">
      <c r="A195" s="13"/>
      <c r="B195" s="9" cm="1">
        <f t="array" ref="B195">SUMPRODUCT((Tablo3[Personel Ad]=A195)*(Tablo3[Ürün Kar Tutarı]))</f>
        <v>0</v>
      </c>
      <c r="D195" s="14"/>
      <c r="F195" s="9" cm="1">
        <f t="array" ref="F195">SUMPRODUCT((Tablo3[Şehirler]=E195)*(Tablo3[Ürün Kar Tutarı]))</f>
        <v>0</v>
      </c>
      <c r="H195" s="14"/>
      <c r="J195" s="9" cm="1">
        <f t="array" ref="J195">SUMPRODUCT((Tablo3[Urun Ad]=I195)*(Tablo3[Ürün Kar Tutarı]))</f>
        <v>0</v>
      </c>
      <c r="L195" s="37"/>
    </row>
    <row r="196" spans="1:12" x14ac:dyDescent="0.25">
      <c r="A196" s="13"/>
      <c r="B196" s="9" cm="1">
        <f t="array" ref="B196">SUMPRODUCT((Tablo3[Personel Ad]=A196)*(Tablo3[Ürün Kar Tutarı]))</f>
        <v>0</v>
      </c>
      <c r="D196" s="14"/>
      <c r="F196" s="9" cm="1">
        <f t="array" ref="F196">SUMPRODUCT((Tablo3[Şehirler]=E196)*(Tablo3[Ürün Kar Tutarı]))</f>
        <v>0</v>
      </c>
      <c r="H196" s="14"/>
      <c r="J196" s="9" cm="1">
        <f t="array" ref="J196">SUMPRODUCT((Tablo3[Urun Ad]=I196)*(Tablo3[Ürün Kar Tutarı]))</f>
        <v>0</v>
      </c>
      <c r="L196" s="37"/>
    </row>
    <row r="197" spans="1:12" x14ac:dyDescent="0.25">
      <c r="A197" s="13"/>
      <c r="B197" s="9" cm="1">
        <f t="array" ref="B197">SUMPRODUCT((Tablo3[Personel Ad]=A197)*(Tablo3[Ürün Kar Tutarı]))</f>
        <v>0</v>
      </c>
      <c r="D197" s="14"/>
      <c r="F197" s="9" cm="1">
        <f t="array" ref="F197">SUMPRODUCT((Tablo3[Şehirler]=E197)*(Tablo3[Ürün Kar Tutarı]))</f>
        <v>0</v>
      </c>
      <c r="H197" s="14"/>
      <c r="J197" s="9" cm="1">
        <f t="array" ref="J197">SUMPRODUCT((Tablo3[Urun Ad]=I197)*(Tablo3[Ürün Kar Tutarı]))</f>
        <v>0</v>
      </c>
      <c r="L197" s="37"/>
    </row>
    <row r="198" spans="1:12" x14ac:dyDescent="0.25">
      <c r="A198" s="13"/>
      <c r="B198" s="9" cm="1">
        <f t="array" ref="B198">SUMPRODUCT((Tablo3[Personel Ad]=A198)*(Tablo3[Ürün Kar Tutarı]))</f>
        <v>0</v>
      </c>
      <c r="D198" s="14"/>
      <c r="F198" s="9" cm="1">
        <f t="array" ref="F198">SUMPRODUCT((Tablo3[Şehirler]=E198)*(Tablo3[Ürün Kar Tutarı]))</f>
        <v>0</v>
      </c>
      <c r="H198" s="14"/>
      <c r="J198" s="9" cm="1">
        <f t="array" ref="J198">SUMPRODUCT((Tablo3[Urun Ad]=I198)*(Tablo3[Ürün Kar Tutarı]))</f>
        <v>0</v>
      </c>
      <c r="L198" s="37"/>
    </row>
    <row r="199" spans="1:12" x14ac:dyDescent="0.25">
      <c r="A199" s="13"/>
      <c r="B199" s="9" cm="1">
        <f t="array" ref="B199">SUMPRODUCT((Tablo3[Personel Ad]=A199)*(Tablo3[Ürün Kar Tutarı]))</f>
        <v>0</v>
      </c>
      <c r="D199" s="14"/>
      <c r="F199" s="9" cm="1">
        <f t="array" ref="F199">SUMPRODUCT((Tablo3[Şehirler]=E199)*(Tablo3[Ürün Kar Tutarı]))</f>
        <v>0</v>
      </c>
      <c r="H199" s="14"/>
      <c r="J199" s="9" cm="1">
        <f t="array" ref="J199">SUMPRODUCT((Tablo3[Urun Ad]=I199)*(Tablo3[Ürün Kar Tutarı]))</f>
        <v>0</v>
      </c>
      <c r="L199" s="37"/>
    </row>
    <row r="200" spans="1:12" x14ac:dyDescent="0.25">
      <c r="A200" s="13"/>
      <c r="B200" s="9" cm="1">
        <f t="array" ref="B200">SUMPRODUCT((Tablo3[Personel Ad]=A200)*(Tablo3[Ürün Kar Tutarı]))</f>
        <v>0</v>
      </c>
      <c r="D200" s="14"/>
      <c r="F200" s="9" cm="1">
        <f t="array" ref="F200">SUMPRODUCT((Tablo3[Şehirler]=E200)*(Tablo3[Ürün Kar Tutarı]))</f>
        <v>0</v>
      </c>
      <c r="H200" s="14"/>
      <c r="J200" s="9" cm="1">
        <f t="array" ref="J200">SUMPRODUCT((Tablo3[Urun Ad]=I200)*(Tablo3[Ürün Kar Tutarı]))</f>
        <v>0</v>
      </c>
      <c r="L200" s="37"/>
    </row>
    <row r="201" spans="1:12" x14ac:dyDescent="0.25">
      <c r="A201" s="13"/>
      <c r="B201" s="9" cm="1">
        <f t="array" ref="B201">SUMPRODUCT((Tablo3[Personel Ad]=A201)*(Tablo3[Ürün Kar Tutarı]))</f>
        <v>0</v>
      </c>
      <c r="D201" s="14"/>
      <c r="F201" s="9" cm="1">
        <f t="array" ref="F201">SUMPRODUCT((Tablo3[Şehirler]=E201)*(Tablo3[Ürün Kar Tutarı]))</f>
        <v>0</v>
      </c>
      <c r="H201" s="14"/>
      <c r="J201" s="9" cm="1">
        <f t="array" ref="J201">SUMPRODUCT((Tablo3[Urun Ad]=I201)*(Tablo3[Ürün Kar Tutarı]))</f>
        <v>0</v>
      </c>
      <c r="L201" s="37"/>
    </row>
    <row r="202" spans="1:12" x14ac:dyDescent="0.25">
      <c r="A202" s="13"/>
      <c r="B202" s="9" cm="1">
        <f t="array" ref="B202">SUMPRODUCT((Tablo3[Personel Ad]=A202)*(Tablo3[Ürün Kar Tutarı]))</f>
        <v>0</v>
      </c>
      <c r="D202" s="14"/>
      <c r="F202" s="9" cm="1">
        <f t="array" ref="F202">SUMPRODUCT((Tablo3[Şehirler]=E202)*(Tablo3[Ürün Kar Tutarı]))</f>
        <v>0</v>
      </c>
      <c r="H202" s="14"/>
      <c r="J202" s="9" cm="1">
        <f t="array" ref="J202">SUMPRODUCT((Tablo3[Urun Ad]=I202)*(Tablo3[Ürün Kar Tutarı]))</f>
        <v>0</v>
      </c>
      <c r="L202" s="37"/>
    </row>
    <row r="203" spans="1:12" x14ac:dyDescent="0.25">
      <c r="A203" s="13"/>
      <c r="B203" s="9" cm="1">
        <f t="array" ref="B203">SUMPRODUCT((Tablo3[Personel Ad]=A203)*(Tablo3[Ürün Kar Tutarı]))</f>
        <v>0</v>
      </c>
      <c r="D203" s="14"/>
      <c r="F203" s="9" cm="1">
        <f t="array" ref="F203">SUMPRODUCT((Tablo3[Şehirler]=E203)*(Tablo3[Ürün Kar Tutarı]))</f>
        <v>0</v>
      </c>
      <c r="H203" s="14"/>
      <c r="J203" s="9" cm="1">
        <f t="array" ref="J203">SUMPRODUCT((Tablo3[Urun Ad]=I203)*(Tablo3[Ürün Kar Tutarı]))</f>
        <v>0</v>
      </c>
      <c r="L203" s="37"/>
    </row>
    <row r="204" spans="1:12" x14ac:dyDescent="0.25">
      <c r="A204" s="13"/>
      <c r="B204" s="9" cm="1">
        <f t="array" ref="B204">SUMPRODUCT((Tablo3[Personel Ad]=A204)*(Tablo3[Ürün Kar Tutarı]))</f>
        <v>0</v>
      </c>
      <c r="D204" s="14"/>
      <c r="F204" s="9" cm="1">
        <f t="array" ref="F204">SUMPRODUCT((Tablo3[Şehirler]=E204)*(Tablo3[Ürün Kar Tutarı]))</f>
        <v>0</v>
      </c>
      <c r="H204" s="14"/>
      <c r="J204" s="9" cm="1">
        <f t="array" ref="J204">SUMPRODUCT((Tablo3[Urun Ad]=I204)*(Tablo3[Ürün Kar Tutarı]))</f>
        <v>0</v>
      </c>
      <c r="L204" s="37"/>
    </row>
    <row r="205" spans="1:12" x14ac:dyDescent="0.25">
      <c r="A205" s="13"/>
      <c r="B205" s="9" cm="1">
        <f t="array" ref="B205">SUMPRODUCT((Tablo3[Personel Ad]=A205)*(Tablo3[Ürün Kar Tutarı]))</f>
        <v>0</v>
      </c>
      <c r="D205" s="14"/>
      <c r="F205" s="9" cm="1">
        <f t="array" ref="F205">SUMPRODUCT((Tablo3[Şehirler]=E205)*(Tablo3[Ürün Kar Tutarı]))</f>
        <v>0</v>
      </c>
      <c r="H205" s="14"/>
      <c r="J205" s="9" cm="1">
        <f t="array" ref="J205">SUMPRODUCT((Tablo3[Urun Ad]=I205)*(Tablo3[Ürün Kar Tutarı]))</f>
        <v>0</v>
      </c>
      <c r="L205" s="37"/>
    </row>
    <row r="206" spans="1:12" x14ac:dyDescent="0.25">
      <c r="A206" s="13"/>
      <c r="B206" s="9" cm="1">
        <f t="array" ref="B206">SUMPRODUCT((Tablo3[Personel Ad]=A206)*(Tablo3[Ürün Kar Tutarı]))</f>
        <v>0</v>
      </c>
      <c r="D206" s="14"/>
      <c r="F206" s="9" cm="1">
        <f t="array" ref="F206">SUMPRODUCT((Tablo3[Şehirler]=E206)*(Tablo3[Ürün Kar Tutarı]))</f>
        <v>0</v>
      </c>
      <c r="H206" s="14"/>
      <c r="J206" s="9" cm="1">
        <f t="array" ref="J206">SUMPRODUCT((Tablo3[Urun Ad]=I206)*(Tablo3[Ürün Kar Tutarı]))</f>
        <v>0</v>
      </c>
      <c r="L206" s="37"/>
    </row>
    <row r="207" spans="1:12" x14ac:dyDescent="0.25">
      <c r="A207" s="13"/>
      <c r="B207" s="9" cm="1">
        <f t="array" ref="B207">SUMPRODUCT((Tablo3[Personel Ad]=A207)*(Tablo3[Ürün Kar Tutarı]))</f>
        <v>0</v>
      </c>
      <c r="D207" s="14"/>
      <c r="F207" s="9" cm="1">
        <f t="array" ref="F207">SUMPRODUCT((Tablo3[Şehirler]=E207)*(Tablo3[Ürün Kar Tutarı]))</f>
        <v>0</v>
      </c>
      <c r="H207" s="14"/>
      <c r="J207" s="9" cm="1">
        <f t="array" ref="J207">SUMPRODUCT((Tablo3[Urun Ad]=I207)*(Tablo3[Ürün Kar Tutarı]))</f>
        <v>0</v>
      </c>
      <c r="L207" s="37"/>
    </row>
    <row r="208" spans="1:12" x14ac:dyDescent="0.25">
      <c r="A208" s="13"/>
      <c r="B208" s="9" cm="1">
        <f t="array" ref="B208">SUMPRODUCT((Tablo3[Personel Ad]=A208)*(Tablo3[Ürün Kar Tutarı]))</f>
        <v>0</v>
      </c>
      <c r="D208" s="14"/>
      <c r="F208" s="9" cm="1">
        <f t="array" ref="F208">SUMPRODUCT((Tablo3[Şehirler]=E208)*(Tablo3[Ürün Kar Tutarı]))</f>
        <v>0</v>
      </c>
      <c r="H208" s="14"/>
      <c r="J208" s="9" cm="1">
        <f t="array" ref="J208">SUMPRODUCT((Tablo3[Urun Ad]=I208)*(Tablo3[Ürün Kar Tutarı]))</f>
        <v>0</v>
      </c>
      <c r="L208" s="37"/>
    </row>
    <row r="209" spans="1:12" x14ac:dyDescent="0.25">
      <c r="A209" s="13"/>
      <c r="B209" s="9" cm="1">
        <f t="array" ref="B209">SUMPRODUCT((Tablo3[Personel Ad]=A209)*(Tablo3[Ürün Kar Tutarı]))</f>
        <v>0</v>
      </c>
      <c r="D209" s="14"/>
      <c r="F209" s="9" cm="1">
        <f t="array" ref="F209">SUMPRODUCT((Tablo3[Şehirler]=E209)*(Tablo3[Ürün Kar Tutarı]))</f>
        <v>0</v>
      </c>
      <c r="H209" s="14"/>
      <c r="J209" s="9" cm="1">
        <f t="array" ref="J209">SUMPRODUCT((Tablo3[Urun Ad]=I209)*(Tablo3[Ürün Kar Tutarı]))</f>
        <v>0</v>
      </c>
      <c r="L209" s="37"/>
    </row>
    <row r="210" spans="1:12" x14ac:dyDescent="0.25">
      <c r="A210" s="13"/>
      <c r="B210" s="9" cm="1">
        <f t="array" ref="B210">SUMPRODUCT((Tablo3[Personel Ad]=A210)*(Tablo3[Ürün Kar Tutarı]))</f>
        <v>0</v>
      </c>
      <c r="D210" s="14"/>
      <c r="F210" s="9" cm="1">
        <f t="array" ref="F210">SUMPRODUCT((Tablo3[Şehirler]=E210)*(Tablo3[Ürün Kar Tutarı]))</f>
        <v>0</v>
      </c>
      <c r="H210" s="14"/>
      <c r="J210" s="9" cm="1">
        <f t="array" ref="J210">SUMPRODUCT((Tablo3[Urun Ad]=I210)*(Tablo3[Ürün Kar Tutarı]))</f>
        <v>0</v>
      </c>
      <c r="L210" s="37"/>
    </row>
    <row r="211" spans="1:12" x14ac:dyDescent="0.25">
      <c r="A211" s="13"/>
      <c r="B211" s="9" cm="1">
        <f t="array" ref="B211">SUMPRODUCT((Tablo3[Personel Ad]=A211)*(Tablo3[Ürün Kar Tutarı]))</f>
        <v>0</v>
      </c>
      <c r="D211" s="14"/>
      <c r="F211" s="9" cm="1">
        <f t="array" ref="F211">SUMPRODUCT((Tablo3[Şehirler]=E211)*(Tablo3[Ürün Kar Tutarı]))</f>
        <v>0</v>
      </c>
      <c r="H211" s="14"/>
      <c r="J211" s="9" cm="1">
        <f t="array" ref="J211">SUMPRODUCT((Tablo3[Urun Ad]=I211)*(Tablo3[Ürün Kar Tutarı]))</f>
        <v>0</v>
      </c>
      <c r="L211" s="37"/>
    </row>
    <row r="212" spans="1:12" x14ac:dyDescent="0.25">
      <c r="A212" s="13"/>
      <c r="B212" s="9" cm="1">
        <f t="array" ref="B212">SUMPRODUCT((Tablo3[Personel Ad]=A212)*(Tablo3[Ürün Kar Tutarı]))</f>
        <v>0</v>
      </c>
      <c r="D212" s="14"/>
      <c r="F212" s="9" cm="1">
        <f t="array" ref="F212">SUMPRODUCT((Tablo3[Şehirler]=E212)*(Tablo3[Ürün Kar Tutarı]))</f>
        <v>0</v>
      </c>
      <c r="H212" s="14"/>
      <c r="J212" s="9" cm="1">
        <f t="array" ref="J212">SUMPRODUCT((Tablo3[Urun Ad]=I212)*(Tablo3[Ürün Kar Tutarı]))</f>
        <v>0</v>
      </c>
      <c r="L212" s="37"/>
    </row>
    <row r="213" spans="1:12" x14ac:dyDescent="0.25">
      <c r="A213" s="13"/>
      <c r="B213" s="9" cm="1">
        <f t="array" ref="B213">SUMPRODUCT((Tablo3[Personel Ad]=A213)*(Tablo3[Ürün Kar Tutarı]))</f>
        <v>0</v>
      </c>
      <c r="D213" s="14"/>
      <c r="F213" s="9" cm="1">
        <f t="array" ref="F213">SUMPRODUCT((Tablo3[Şehirler]=E213)*(Tablo3[Ürün Kar Tutarı]))</f>
        <v>0</v>
      </c>
      <c r="H213" s="14"/>
      <c r="J213" s="9" cm="1">
        <f t="array" ref="J213">SUMPRODUCT((Tablo3[Urun Ad]=I213)*(Tablo3[Ürün Kar Tutarı]))</f>
        <v>0</v>
      </c>
      <c r="L213" s="37"/>
    </row>
    <row r="214" spans="1:12" x14ac:dyDescent="0.25">
      <c r="A214" s="13"/>
      <c r="B214" s="9" cm="1">
        <f t="array" ref="B214">SUMPRODUCT((Tablo3[Personel Ad]=A214)*(Tablo3[Ürün Kar Tutarı]))</f>
        <v>0</v>
      </c>
      <c r="D214" s="14"/>
      <c r="F214" s="9" cm="1">
        <f t="array" ref="F214">SUMPRODUCT((Tablo3[Şehirler]=E214)*(Tablo3[Ürün Kar Tutarı]))</f>
        <v>0</v>
      </c>
      <c r="H214" s="14"/>
      <c r="J214" s="9" cm="1">
        <f t="array" ref="J214">SUMPRODUCT((Tablo3[Urun Ad]=I214)*(Tablo3[Ürün Kar Tutarı]))</f>
        <v>0</v>
      </c>
      <c r="L214" s="37"/>
    </row>
    <row r="215" spans="1:12" x14ac:dyDescent="0.25">
      <c r="A215" s="13"/>
      <c r="B215" s="9" cm="1">
        <f t="array" ref="B215">SUMPRODUCT((Tablo3[Personel Ad]=A215)*(Tablo3[Ürün Kar Tutarı]))</f>
        <v>0</v>
      </c>
      <c r="D215" s="14"/>
      <c r="F215" s="9" cm="1">
        <f t="array" ref="F215">SUMPRODUCT((Tablo3[Şehirler]=E215)*(Tablo3[Ürün Kar Tutarı]))</f>
        <v>0</v>
      </c>
      <c r="H215" s="14"/>
      <c r="J215" s="9" cm="1">
        <f t="array" ref="J215">SUMPRODUCT((Tablo3[Urun Ad]=I215)*(Tablo3[Ürün Kar Tutarı]))</f>
        <v>0</v>
      </c>
      <c r="L215" s="37"/>
    </row>
    <row r="216" spans="1:12" x14ac:dyDescent="0.25">
      <c r="A216" s="13"/>
      <c r="B216" s="9" cm="1">
        <f t="array" ref="B216">SUMPRODUCT((Tablo3[Personel Ad]=A216)*(Tablo3[Ürün Kar Tutarı]))</f>
        <v>0</v>
      </c>
      <c r="D216" s="14"/>
      <c r="F216" s="9" cm="1">
        <f t="array" ref="F216">SUMPRODUCT((Tablo3[Şehirler]=E216)*(Tablo3[Ürün Kar Tutarı]))</f>
        <v>0</v>
      </c>
      <c r="H216" s="14"/>
      <c r="J216" s="9" cm="1">
        <f t="array" ref="J216">SUMPRODUCT((Tablo3[Urun Ad]=I216)*(Tablo3[Ürün Kar Tutarı]))</f>
        <v>0</v>
      </c>
      <c r="L216" s="37"/>
    </row>
    <row r="217" spans="1:12" x14ac:dyDescent="0.25">
      <c r="A217" s="13"/>
      <c r="B217" s="9" cm="1">
        <f t="array" ref="B217">SUMPRODUCT((Tablo3[Personel Ad]=A217)*(Tablo3[Ürün Kar Tutarı]))</f>
        <v>0</v>
      </c>
      <c r="D217" s="14"/>
      <c r="F217" s="9" cm="1">
        <f t="array" ref="F217">SUMPRODUCT((Tablo3[Şehirler]=E217)*(Tablo3[Ürün Kar Tutarı]))</f>
        <v>0</v>
      </c>
      <c r="H217" s="14"/>
      <c r="J217" s="9" cm="1">
        <f t="array" ref="J217">SUMPRODUCT((Tablo3[Urun Ad]=I217)*(Tablo3[Ürün Kar Tutarı]))</f>
        <v>0</v>
      </c>
      <c r="L217" s="37"/>
    </row>
    <row r="218" spans="1:12" x14ac:dyDescent="0.25">
      <c r="A218" s="13"/>
      <c r="B218" s="9" cm="1">
        <f t="array" ref="B218">SUMPRODUCT((Tablo3[Personel Ad]=A218)*(Tablo3[Ürün Kar Tutarı]))</f>
        <v>0</v>
      </c>
      <c r="D218" s="14"/>
      <c r="F218" s="9" cm="1">
        <f t="array" ref="F218">SUMPRODUCT((Tablo3[Şehirler]=E218)*(Tablo3[Ürün Kar Tutarı]))</f>
        <v>0</v>
      </c>
      <c r="H218" s="14"/>
      <c r="J218" s="9" cm="1">
        <f t="array" ref="J218">SUMPRODUCT((Tablo3[Urun Ad]=I218)*(Tablo3[Ürün Kar Tutarı]))</f>
        <v>0</v>
      </c>
      <c r="L218" s="37"/>
    </row>
    <row r="219" spans="1:12" x14ac:dyDescent="0.25">
      <c r="A219" s="13"/>
      <c r="B219" s="9" cm="1">
        <f t="array" ref="B219">SUMPRODUCT((Tablo3[Personel Ad]=A219)*(Tablo3[Ürün Kar Tutarı]))</f>
        <v>0</v>
      </c>
      <c r="D219" s="14"/>
      <c r="F219" s="9" cm="1">
        <f t="array" ref="F219">SUMPRODUCT((Tablo3[Şehirler]=E219)*(Tablo3[Ürün Kar Tutarı]))</f>
        <v>0</v>
      </c>
      <c r="H219" s="14"/>
      <c r="J219" s="9" cm="1">
        <f t="array" ref="J219">SUMPRODUCT((Tablo3[Urun Ad]=I219)*(Tablo3[Ürün Kar Tutarı]))</f>
        <v>0</v>
      </c>
      <c r="L219" s="37"/>
    </row>
    <row r="220" spans="1:12" x14ac:dyDescent="0.25">
      <c r="A220" s="13"/>
      <c r="B220" s="9" cm="1">
        <f t="array" ref="B220">SUMPRODUCT((Tablo3[Personel Ad]=A220)*(Tablo3[Ürün Kar Tutarı]))</f>
        <v>0</v>
      </c>
      <c r="D220" s="14"/>
      <c r="F220" s="9" cm="1">
        <f t="array" ref="F220">SUMPRODUCT((Tablo3[Şehirler]=E220)*(Tablo3[Ürün Kar Tutarı]))</f>
        <v>0</v>
      </c>
      <c r="H220" s="14"/>
      <c r="J220" s="9" cm="1">
        <f t="array" ref="J220">SUMPRODUCT((Tablo3[Urun Ad]=I220)*(Tablo3[Ürün Kar Tutarı]))</f>
        <v>0</v>
      </c>
      <c r="L220" s="37"/>
    </row>
    <row r="221" spans="1:12" x14ac:dyDescent="0.25">
      <c r="A221" s="13"/>
      <c r="B221" s="9" cm="1">
        <f t="array" ref="B221">SUMPRODUCT((Tablo3[Personel Ad]=A221)*(Tablo3[Ürün Kar Tutarı]))</f>
        <v>0</v>
      </c>
      <c r="D221" s="14"/>
      <c r="F221" s="9" cm="1">
        <f t="array" ref="F221">SUMPRODUCT((Tablo3[Şehirler]=E221)*(Tablo3[Ürün Kar Tutarı]))</f>
        <v>0</v>
      </c>
      <c r="H221" s="14"/>
      <c r="J221" s="9" cm="1">
        <f t="array" ref="J221">SUMPRODUCT((Tablo3[Urun Ad]=I221)*(Tablo3[Ürün Kar Tutarı]))</f>
        <v>0</v>
      </c>
      <c r="L221" s="37"/>
    </row>
    <row r="222" spans="1:12" x14ac:dyDescent="0.25">
      <c r="A222" s="13"/>
      <c r="B222" s="9" cm="1">
        <f t="array" ref="B222">SUMPRODUCT((Tablo3[Personel Ad]=A222)*(Tablo3[Ürün Kar Tutarı]))</f>
        <v>0</v>
      </c>
      <c r="D222" s="14"/>
      <c r="F222" s="9" cm="1">
        <f t="array" ref="F222">SUMPRODUCT((Tablo3[Şehirler]=E222)*(Tablo3[Ürün Kar Tutarı]))</f>
        <v>0</v>
      </c>
      <c r="H222" s="14"/>
      <c r="J222" s="9" cm="1">
        <f t="array" ref="J222">SUMPRODUCT((Tablo3[Urun Ad]=I222)*(Tablo3[Ürün Kar Tutarı]))</f>
        <v>0</v>
      </c>
      <c r="L222" s="37"/>
    </row>
    <row r="223" spans="1:12" x14ac:dyDescent="0.25">
      <c r="A223" s="13"/>
      <c r="B223" s="9" cm="1">
        <f t="array" ref="B223">SUMPRODUCT((Tablo3[Personel Ad]=A223)*(Tablo3[Ürün Kar Tutarı]))</f>
        <v>0</v>
      </c>
      <c r="D223" s="14"/>
      <c r="F223" s="9" cm="1">
        <f t="array" ref="F223">SUMPRODUCT((Tablo3[Şehirler]=E223)*(Tablo3[Ürün Kar Tutarı]))</f>
        <v>0</v>
      </c>
      <c r="H223" s="14"/>
      <c r="J223" s="9" cm="1">
        <f t="array" ref="J223">SUMPRODUCT((Tablo3[Urun Ad]=I223)*(Tablo3[Ürün Kar Tutarı]))</f>
        <v>0</v>
      </c>
      <c r="L223" s="37"/>
    </row>
    <row r="224" spans="1:12" x14ac:dyDescent="0.25">
      <c r="A224" s="13"/>
      <c r="B224" s="9" cm="1">
        <f t="array" ref="B224">SUMPRODUCT((Tablo3[Personel Ad]=A224)*(Tablo3[Ürün Kar Tutarı]))</f>
        <v>0</v>
      </c>
      <c r="D224" s="14"/>
      <c r="F224" s="9" cm="1">
        <f t="array" ref="F224">SUMPRODUCT((Tablo3[Şehirler]=E224)*(Tablo3[Ürün Kar Tutarı]))</f>
        <v>0</v>
      </c>
      <c r="H224" s="14"/>
      <c r="J224" s="9" cm="1">
        <f t="array" ref="J224">SUMPRODUCT((Tablo3[Urun Ad]=I224)*(Tablo3[Ürün Kar Tutarı]))</f>
        <v>0</v>
      </c>
      <c r="L224" s="37"/>
    </row>
    <row r="225" spans="1:12" x14ac:dyDescent="0.25">
      <c r="A225" s="13"/>
      <c r="B225" s="9" cm="1">
        <f t="array" ref="B225">SUMPRODUCT((Tablo3[Personel Ad]=A225)*(Tablo3[Ürün Kar Tutarı]))</f>
        <v>0</v>
      </c>
      <c r="D225" s="14"/>
      <c r="F225" s="9" cm="1">
        <f t="array" ref="F225">SUMPRODUCT((Tablo3[Şehirler]=E225)*(Tablo3[Ürün Kar Tutarı]))</f>
        <v>0</v>
      </c>
      <c r="H225" s="14"/>
      <c r="J225" s="9" cm="1">
        <f t="array" ref="J225">SUMPRODUCT((Tablo3[Urun Ad]=I225)*(Tablo3[Ürün Kar Tutarı]))</f>
        <v>0</v>
      </c>
      <c r="L225" s="37"/>
    </row>
    <row r="226" spans="1:12" x14ac:dyDescent="0.25">
      <c r="A226" s="13"/>
      <c r="B226" s="9" cm="1">
        <f t="array" ref="B226">SUMPRODUCT((Tablo3[Personel Ad]=A226)*(Tablo3[Ürün Kar Tutarı]))</f>
        <v>0</v>
      </c>
      <c r="D226" s="14"/>
      <c r="F226" s="9" cm="1">
        <f t="array" ref="F226">SUMPRODUCT((Tablo3[Şehirler]=E226)*(Tablo3[Ürün Kar Tutarı]))</f>
        <v>0</v>
      </c>
      <c r="H226" s="14"/>
      <c r="J226" s="9" cm="1">
        <f t="array" ref="J226">SUMPRODUCT((Tablo3[Urun Ad]=I226)*(Tablo3[Ürün Kar Tutarı]))</f>
        <v>0</v>
      </c>
      <c r="L226" s="37"/>
    </row>
    <row r="227" spans="1:12" x14ac:dyDescent="0.25">
      <c r="A227" s="13"/>
      <c r="B227" s="9" cm="1">
        <f t="array" ref="B227">SUMPRODUCT((Tablo3[Personel Ad]=A227)*(Tablo3[Ürün Kar Tutarı]))</f>
        <v>0</v>
      </c>
      <c r="D227" s="14"/>
      <c r="F227" s="9" cm="1">
        <f t="array" ref="F227">SUMPRODUCT((Tablo3[Şehirler]=E227)*(Tablo3[Ürün Kar Tutarı]))</f>
        <v>0</v>
      </c>
      <c r="H227" s="14"/>
      <c r="J227" s="9" cm="1">
        <f t="array" ref="J227">SUMPRODUCT((Tablo3[Urun Ad]=I227)*(Tablo3[Ürün Kar Tutarı]))</f>
        <v>0</v>
      </c>
      <c r="L227" s="37"/>
    </row>
    <row r="228" spans="1:12" x14ac:dyDescent="0.25">
      <c r="A228" s="13"/>
      <c r="B228" s="9" cm="1">
        <f t="array" ref="B228">SUMPRODUCT((Tablo3[Personel Ad]=A228)*(Tablo3[Ürün Kar Tutarı]))</f>
        <v>0</v>
      </c>
      <c r="D228" s="14"/>
      <c r="F228" s="9" cm="1">
        <f t="array" ref="F228">SUMPRODUCT((Tablo3[Şehirler]=E228)*(Tablo3[Ürün Kar Tutarı]))</f>
        <v>0</v>
      </c>
      <c r="H228" s="14"/>
      <c r="J228" s="9" cm="1">
        <f t="array" ref="J228">SUMPRODUCT((Tablo3[Urun Ad]=I228)*(Tablo3[Ürün Kar Tutarı]))</f>
        <v>0</v>
      </c>
      <c r="L228" s="37"/>
    </row>
    <row r="229" spans="1:12" x14ac:dyDescent="0.25">
      <c r="A229" s="13"/>
      <c r="B229" s="9" cm="1">
        <f t="array" ref="B229">SUMPRODUCT((Tablo3[Personel Ad]=A229)*(Tablo3[Ürün Kar Tutarı]))</f>
        <v>0</v>
      </c>
      <c r="D229" s="14"/>
      <c r="F229" s="9" cm="1">
        <f t="array" ref="F229">SUMPRODUCT((Tablo3[Şehirler]=E229)*(Tablo3[Ürün Kar Tutarı]))</f>
        <v>0</v>
      </c>
      <c r="H229" s="14"/>
      <c r="J229" s="9" cm="1">
        <f t="array" ref="J229">SUMPRODUCT((Tablo3[Urun Ad]=I229)*(Tablo3[Ürün Kar Tutarı]))</f>
        <v>0</v>
      </c>
      <c r="L229" s="37"/>
    </row>
    <row r="230" spans="1:12" x14ac:dyDescent="0.25">
      <c r="A230" s="13"/>
      <c r="B230" s="9" cm="1">
        <f t="array" ref="B230">SUMPRODUCT((Tablo3[Personel Ad]=A230)*(Tablo3[Ürün Kar Tutarı]))</f>
        <v>0</v>
      </c>
      <c r="D230" s="14"/>
      <c r="F230" s="9" cm="1">
        <f t="array" ref="F230">SUMPRODUCT((Tablo3[Şehirler]=E230)*(Tablo3[Ürün Kar Tutarı]))</f>
        <v>0</v>
      </c>
      <c r="H230" s="14"/>
      <c r="J230" s="9" cm="1">
        <f t="array" ref="J230">SUMPRODUCT((Tablo3[Urun Ad]=I230)*(Tablo3[Ürün Kar Tutarı]))</f>
        <v>0</v>
      </c>
      <c r="L230" s="37"/>
    </row>
    <row r="231" spans="1:12" x14ac:dyDescent="0.25">
      <c r="A231" s="13"/>
      <c r="B231" s="9" cm="1">
        <f t="array" ref="B231">SUMPRODUCT((Tablo3[Personel Ad]=A231)*(Tablo3[Ürün Kar Tutarı]))</f>
        <v>0</v>
      </c>
      <c r="D231" s="14"/>
      <c r="F231" s="9" cm="1">
        <f t="array" ref="F231">SUMPRODUCT((Tablo3[Şehirler]=E231)*(Tablo3[Ürün Kar Tutarı]))</f>
        <v>0</v>
      </c>
      <c r="H231" s="14"/>
      <c r="J231" s="9" cm="1">
        <f t="array" ref="J231">SUMPRODUCT((Tablo3[Urun Ad]=I231)*(Tablo3[Ürün Kar Tutarı]))</f>
        <v>0</v>
      </c>
      <c r="L231" s="37"/>
    </row>
    <row r="232" spans="1:12" x14ac:dyDescent="0.25">
      <c r="A232" s="13"/>
      <c r="B232" s="9" cm="1">
        <f t="array" ref="B232">SUMPRODUCT((Tablo3[Personel Ad]=A232)*(Tablo3[Ürün Kar Tutarı]))</f>
        <v>0</v>
      </c>
      <c r="D232" s="14"/>
      <c r="F232" s="9" cm="1">
        <f t="array" ref="F232">SUMPRODUCT((Tablo3[Şehirler]=E232)*(Tablo3[Ürün Kar Tutarı]))</f>
        <v>0</v>
      </c>
      <c r="H232" s="14"/>
      <c r="J232" s="9" cm="1">
        <f t="array" ref="J232">SUMPRODUCT((Tablo3[Urun Ad]=I232)*(Tablo3[Ürün Kar Tutarı]))</f>
        <v>0</v>
      </c>
      <c r="L232" s="37"/>
    </row>
    <row r="233" spans="1:12" x14ac:dyDescent="0.25">
      <c r="A233" s="13"/>
      <c r="B233" s="9" cm="1">
        <f t="array" ref="B233">SUMPRODUCT((Tablo3[Personel Ad]=A233)*(Tablo3[Ürün Kar Tutarı]))</f>
        <v>0</v>
      </c>
      <c r="D233" s="14"/>
      <c r="F233" s="9" cm="1">
        <f t="array" ref="F233">SUMPRODUCT((Tablo3[Şehirler]=E233)*(Tablo3[Ürün Kar Tutarı]))</f>
        <v>0</v>
      </c>
      <c r="H233" s="14"/>
      <c r="J233" s="9" cm="1">
        <f t="array" ref="J233">SUMPRODUCT((Tablo3[Urun Ad]=I233)*(Tablo3[Ürün Kar Tutarı]))</f>
        <v>0</v>
      </c>
      <c r="L233" s="37"/>
    </row>
    <row r="234" spans="1:12" x14ac:dyDescent="0.25">
      <c r="A234" s="13"/>
      <c r="B234" s="9" cm="1">
        <f t="array" ref="B234">SUMPRODUCT((Tablo3[Personel Ad]=A234)*(Tablo3[Ürün Kar Tutarı]))</f>
        <v>0</v>
      </c>
      <c r="D234" s="14"/>
      <c r="F234" s="9" cm="1">
        <f t="array" ref="F234">SUMPRODUCT((Tablo3[Şehirler]=E234)*(Tablo3[Ürün Kar Tutarı]))</f>
        <v>0</v>
      </c>
      <c r="H234" s="14"/>
      <c r="J234" s="9" cm="1">
        <f t="array" ref="J234">SUMPRODUCT((Tablo3[Urun Ad]=I234)*(Tablo3[Ürün Kar Tutarı]))</f>
        <v>0</v>
      </c>
      <c r="L234" s="37"/>
    </row>
    <row r="235" spans="1:12" x14ac:dyDescent="0.25">
      <c r="A235" s="13"/>
      <c r="B235" s="9" cm="1">
        <f t="array" ref="B235">SUMPRODUCT((Tablo3[Personel Ad]=A235)*(Tablo3[Ürün Kar Tutarı]))</f>
        <v>0</v>
      </c>
      <c r="D235" s="14"/>
      <c r="F235" s="9" cm="1">
        <f t="array" ref="F235">SUMPRODUCT((Tablo3[Şehirler]=E235)*(Tablo3[Ürün Kar Tutarı]))</f>
        <v>0</v>
      </c>
      <c r="H235" s="14"/>
      <c r="J235" s="9" cm="1">
        <f t="array" ref="J235">SUMPRODUCT((Tablo3[Urun Ad]=I235)*(Tablo3[Ürün Kar Tutarı]))</f>
        <v>0</v>
      </c>
      <c r="L235" s="37"/>
    </row>
    <row r="236" spans="1:12" x14ac:dyDescent="0.25">
      <c r="A236" s="13"/>
      <c r="B236" s="9" cm="1">
        <f t="array" ref="B236">SUMPRODUCT((Tablo3[Personel Ad]=A236)*(Tablo3[Ürün Kar Tutarı]))</f>
        <v>0</v>
      </c>
      <c r="D236" s="14"/>
      <c r="F236" s="9" cm="1">
        <f t="array" ref="F236">SUMPRODUCT((Tablo3[Şehirler]=E236)*(Tablo3[Ürün Kar Tutarı]))</f>
        <v>0</v>
      </c>
      <c r="H236" s="14"/>
      <c r="J236" s="9" cm="1">
        <f t="array" ref="J236">SUMPRODUCT((Tablo3[Urun Ad]=I236)*(Tablo3[Ürün Kar Tutarı]))</f>
        <v>0</v>
      </c>
      <c r="L236" s="37"/>
    </row>
    <row r="237" spans="1:12" x14ac:dyDescent="0.25">
      <c r="A237" s="13"/>
      <c r="B237" s="9" cm="1">
        <f t="array" ref="B237">SUMPRODUCT((Tablo3[Personel Ad]=A237)*(Tablo3[Ürün Kar Tutarı]))</f>
        <v>0</v>
      </c>
      <c r="D237" s="14"/>
      <c r="F237" s="9" cm="1">
        <f t="array" ref="F237">SUMPRODUCT((Tablo3[Şehirler]=E237)*(Tablo3[Ürün Kar Tutarı]))</f>
        <v>0</v>
      </c>
      <c r="H237" s="14"/>
      <c r="J237" s="9" cm="1">
        <f t="array" ref="J237">SUMPRODUCT((Tablo3[Urun Ad]=I237)*(Tablo3[Ürün Kar Tutarı]))</f>
        <v>0</v>
      </c>
      <c r="L237" s="37"/>
    </row>
    <row r="238" spans="1:12" x14ac:dyDescent="0.25">
      <c r="A238" s="13"/>
      <c r="B238" s="9" cm="1">
        <f t="array" ref="B238">SUMPRODUCT((Tablo3[Personel Ad]=A238)*(Tablo3[Ürün Kar Tutarı]))</f>
        <v>0</v>
      </c>
      <c r="D238" s="14"/>
      <c r="F238" s="9" cm="1">
        <f t="array" ref="F238">SUMPRODUCT((Tablo3[Şehirler]=E238)*(Tablo3[Ürün Kar Tutarı]))</f>
        <v>0</v>
      </c>
      <c r="H238" s="14"/>
      <c r="J238" s="9" cm="1">
        <f t="array" ref="J238">SUMPRODUCT((Tablo3[Urun Ad]=I238)*(Tablo3[Ürün Kar Tutarı]))</f>
        <v>0</v>
      </c>
      <c r="L238" s="37"/>
    </row>
    <row r="239" spans="1:12" x14ac:dyDescent="0.25">
      <c r="A239" s="13"/>
      <c r="B239" s="9" cm="1">
        <f t="array" ref="B239">SUMPRODUCT((Tablo3[Personel Ad]=A239)*(Tablo3[Ürün Kar Tutarı]))</f>
        <v>0</v>
      </c>
      <c r="D239" s="14"/>
      <c r="F239" s="9" cm="1">
        <f t="array" ref="F239">SUMPRODUCT((Tablo3[Şehirler]=E239)*(Tablo3[Ürün Kar Tutarı]))</f>
        <v>0</v>
      </c>
      <c r="H239" s="14"/>
      <c r="J239" s="9" cm="1">
        <f t="array" ref="J239">SUMPRODUCT((Tablo3[Urun Ad]=I239)*(Tablo3[Ürün Kar Tutarı]))</f>
        <v>0</v>
      </c>
      <c r="L239" s="37"/>
    </row>
    <row r="240" spans="1:12" x14ac:dyDescent="0.25">
      <c r="A240" s="13"/>
      <c r="B240" s="9" cm="1">
        <f t="array" ref="B240">SUMPRODUCT((Tablo3[Personel Ad]=A240)*(Tablo3[Ürün Kar Tutarı]))</f>
        <v>0</v>
      </c>
      <c r="D240" s="14"/>
      <c r="F240" s="9" cm="1">
        <f t="array" ref="F240">SUMPRODUCT((Tablo3[Şehirler]=E240)*(Tablo3[Ürün Kar Tutarı]))</f>
        <v>0</v>
      </c>
      <c r="H240" s="14"/>
      <c r="J240" s="9" cm="1">
        <f t="array" ref="J240">SUMPRODUCT((Tablo3[Urun Ad]=I240)*(Tablo3[Ürün Kar Tutarı]))</f>
        <v>0</v>
      </c>
      <c r="L240" s="37"/>
    </row>
    <row r="241" spans="1:12" x14ac:dyDescent="0.25">
      <c r="A241" s="13"/>
      <c r="B241" s="9" cm="1">
        <f t="array" ref="B241">SUMPRODUCT((Tablo3[Personel Ad]=A241)*(Tablo3[Ürün Kar Tutarı]))</f>
        <v>0</v>
      </c>
      <c r="D241" s="14"/>
      <c r="F241" s="9" cm="1">
        <f t="array" ref="F241">SUMPRODUCT((Tablo3[Şehirler]=E241)*(Tablo3[Ürün Kar Tutarı]))</f>
        <v>0</v>
      </c>
      <c r="H241" s="14"/>
      <c r="J241" s="9" cm="1">
        <f t="array" ref="J241">SUMPRODUCT((Tablo3[Urun Ad]=I241)*(Tablo3[Ürün Kar Tutarı]))</f>
        <v>0</v>
      </c>
      <c r="L241" s="37"/>
    </row>
    <row r="242" spans="1:12" x14ac:dyDescent="0.25">
      <c r="A242" s="13"/>
      <c r="B242" s="9" cm="1">
        <f t="array" ref="B242">SUMPRODUCT((Tablo3[Personel Ad]=A242)*(Tablo3[Ürün Kar Tutarı]))</f>
        <v>0</v>
      </c>
      <c r="D242" s="14"/>
      <c r="F242" s="9" cm="1">
        <f t="array" ref="F242">SUMPRODUCT((Tablo3[Şehirler]=E242)*(Tablo3[Ürün Kar Tutarı]))</f>
        <v>0</v>
      </c>
      <c r="H242" s="14"/>
      <c r="J242" s="9" cm="1">
        <f t="array" ref="J242">SUMPRODUCT((Tablo3[Urun Ad]=I242)*(Tablo3[Ürün Kar Tutarı]))</f>
        <v>0</v>
      </c>
      <c r="L242" s="37"/>
    </row>
    <row r="243" spans="1:12" x14ac:dyDescent="0.25">
      <c r="A243" s="13"/>
      <c r="B243" s="9" cm="1">
        <f t="array" ref="B243">SUMPRODUCT((Tablo3[Personel Ad]=A243)*(Tablo3[Ürün Kar Tutarı]))</f>
        <v>0</v>
      </c>
      <c r="D243" s="14"/>
      <c r="F243" s="9" cm="1">
        <f t="array" ref="F243">SUMPRODUCT((Tablo3[Şehirler]=E243)*(Tablo3[Ürün Kar Tutarı]))</f>
        <v>0</v>
      </c>
      <c r="H243" s="14"/>
      <c r="J243" s="9" cm="1">
        <f t="array" ref="J243">SUMPRODUCT((Tablo3[Urun Ad]=I243)*(Tablo3[Ürün Kar Tutarı]))</f>
        <v>0</v>
      </c>
      <c r="L243" s="37"/>
    </row>
    <row r="244" spans="1:12" x14ac:dyDescent="0.25">
      <c r="A244" s="13"/>
      <c r="B244" s="9" cm="1">
        <f t="array" ref="B244">SUMPRODUCT((Tablo3[Personel Ad]=A244)*(Tablo3[Ürün Kar Tutarı]))</f>
        <v>0</v>
      </c>
      <c r="D244" s="14"/>
      <c r="F244" s="9" cm="1">
        <f t="array" ref="F244">SUMPRODUCT((Tablo3[Şehirler]=E244)*(Tablo3[Ürün Kar Tutarı]))</f>
        <v>0</v>
      </c>
      <c r="H244" s="14"/>
      <c r="J244" s="9" cm="1">
        <f t="array" ref="J244">SUMPRODUCT((Tablo3[Urun Ad]=I244)*(Tablo3[Ürün Kar Tutarı]))</f>
        <v>0</v>
      </c>
      <c r="L244" s="37"/>
    </row>
    <row r="245" spans="1:12" x14ac:dyDescent="0.25">
      <c r="A245" s="13"/>
      <c r="B245" s="9" cm="1">
        <f t="array" ref="B245">SUMPRODUCT((Tablo3[Personel Ad]=A245)*(Tablo3[Ürün Kar Tutarı]))</f>
        <v>0</v>
      </c>
      <c r="D245" s="14"/>
      <c r="F245" s="9" cm="1">
        <f t="array" ref="F245">SUMPRODUCT((Tablo3[Şehirler]=E245)*(Tablo3[Ürün Kar Tutarı]))</f>
        <v>0</v>
      </c>
      <c r="H245" s="14"/>
      <c r="J245" s="9" cm="1">
        <f t="array" ref="J245">SUMPRODUCT((Tablo3[Urun Ad]=I245)*(Tablo3[Ürün Kar Tutarı]))</f>
        <v>0</v>
      </c>
      <c r="L245" s="37"/>
    </row>
    <row r="246" spans="1:12" x14ac:dyDescent="0.25">
      <c r="A246" s="13"/>
      <c r="B246" s="9" cm="1">
        <f t="array" ref="B246">SUMPRODUCT((Tablo3[Personel Ad]=A246)*(Tablo3[Ürün Kar Tutarı]))</f>
        <v>0</v>
      </c>
      <c r="D246" s="14"/>
      <c r="F246" s="9" cm="1">
        <f t="array" ref="F246">SUMPRODUCT((Tablo3[Şehirler]=E246)*(Tablo3[Ürün Kar Tutarı]))</f>
        <v>0</v>
      </c>
      <c r="H246" s="14"/>
      <c r="J246" s="9" cm="1">
        <f t="array" ref="J246">SUMPRODUCT((Tablo3[Urun Ad]=I246)*(Tablo3[Ürün Kar Tutarı]))</f>
        <v>0</v>
      </c>
      <c r="L246" s="37"/>
    </row>
    <row r="247" spans="1:12" x14ac:dyDescent="0.25">
      <c r="A247" s="13"/>
      <c r="B247" s="9" cm="1">
        <f t="array" ref="B247">SUMPRODUCT((Tablo3[Personel Ad]=A247)*(Tablo3[Ürün Kar Tutarı]))</f>
        <v>0</v>
      </c>
      <c r="D247" s="14"/>
      <c r="F247" s="9" cm="1">
        <f t="array" ref="F247">SUMPRODUCT((Tablo3[Şehirler]=E247)*(Tablo3[Ürün Kar Tutarı]))</f>
        <v>0</v>
      </c>
      <c r="H247" s="14"/>
      <c r="J247" s="9" cm="1">
        <f t="array" ref="J247">SUMPRODUCT((Tablo3[Urun Ad]=I247)*(Tablo3[Ürün Kar Tutarı]))</f>
        <v>0</v>
      </c>
      <c r="L247" s="37"/>
    </row>
    <row r="248" spans="1:12" x14ac:dyDescent="0.25">
      <c r="A248" s="13"/>
      <c r="B248" s="9" cm="1">
        <f t="array" ref="B248">SUMPRODUCT((Tablo3[Personel Ad]=A248)*(Tablo3[Ürün Kar Tutarı]))</f>
        <v>0</v>
      </c>
      <c r="D248" s="14"/>
      <c r="F248" s="9" cm="1">
        <f t="array" ref="F248">SUMPRODUCT((Tablo3[Şehirler]=E248)*(Tablo3[Ürün Kar Tutarı]))</f>
        <v>0</v>
      </c>
      <c r="H248" s="14"/>
      <c r="J248" s="9" cm="1">
        <f t="array" ref="J248">SUMPRODUCT((Tablo3[Urun Ad]=I248)*(Tablo3[Ürün Kar Tutarı]))</f>
        <v>0</v>
      </c>
      <c r="L248" s="37"/>
    </row>
    <row r="249" spans="1:12" x14ac:dyDescent="0.25">
      <c r="A249" s="13"/>
      <c r="B249" s="9" cm="1">
        <f t="array" ref="B249">SUMPRODUCT((Tablo3[Personel Ad]=A249)*(Tablo3[Ürün Kar Tutarı]))</f>
        <v>0</v>
      </c>
      <c r="D249" s="14"/>
      <c r="F249" s="9" cm="1">
        <f t="array" ref="F249">SUMPRODUCT((Tablo3[Şehirler]=E249)*(Tablo3[Ürün Kar Tutarı]))</f>
        <v>0</v>
      </c>
      <c r="H249" s="14"/>
      <c r="J249" s="9" cm="1">
        <f t="array" ref="J249">SUMPRODUCT((Tablo3[Urun Ad]=I249)*(Tablo3[Ürün Kar Tutarı]))</f>
        <v>0</v>
      </c>
      <c r="L249" s="37"/>
    </row>
    <row r="250" spans="1:12" x14ac:dyDescent="0.25">
      <c r="A250" s="13"/>
      <c r="B250" s="9" cm="1">
        <f t="array" ref="B250">SUMPRODUCT((Tablo3[Personel Ad]=A250)*(Tablo3[Ürün Kar Tutarı]))</f>
        <v>0</v>
      </c>
      <c r="D250" s="14"/>
      <c r="F250" s="9" cm="1">
        <f t="array" ref="F250">SUMPRODUCT((Tablo3[Şehirler]=E250)*(Tablo3[Ürün Kar Tutarı]))</f>
        <v>0</v>
      </c>
      <c r="H250" s="14"/>
      <c r="J250" s="9" cm="1">
        <f t="array" ref="J250">SUMPRODUCT((Tablo3[Urun Ad]=I250)*(Tablo3[Ürün Kar Tutarı]))</f>
        <v>0</v>
      </c>
      <c r="L250" s="37"/>
    </row>
    <row r="251" spans="1:12" x14ac:dyDescent="0.25">
      <c r="A251" s="13"/>
      <c r="B251" s="9" cm="1">
        <f t="array" ref="B251">SUMPRODUCT((Tablo3[Personel Ad]=A251)*(Tablo3[Ürün Kar Tutarı]))</f>
        <v>0</v>
      </c>
      <c r="D251" s="14"/>
      <c r="F251" s="9" cm="1">
        <f t="array" ref="F251">SUMPRODUCT((Tablo3[Şehirler]=E251)*(Tablo3[Ürün Kar Tutarı]))</f>
        <v>0</v>
      </c>
      <c r="H251" s="14"/>
      <c r="J251" s="9" cm="1">
        <f t="array" ref="J251">SUMPRODUCT((Tablo3[Urun Ad]=I251)*(Tablo3[Ürün Kar Tutarı]))</f>
        <v>0</v>
      </c>
      <c r="L251" s="37"/>
    </row>
    <row r="252" spans="1:12" x14ac:dyDescent="0.25">
      <c r="A252" s="13"/>
      <c r="B252" s="9" cm="1">
        <f t="array" ref="B252">SUMPRODUCT((Tablo3[Personel Ad]=A252)*(Tablo3[Ürün Kar Tutarı]))</f>
        <v>0</v>
      </c>
      <c r="D252" s="14"/>
      <c r="F252" s="9" cm="1">
        <f t="array" ref="F252">SUMPRODUCT((Tablo3[Şehirler]=E252)*(Tablo3[Ürün Kar Tutarı]))</f>
        <v>0</v>
      </c>
      <c r="H252" s="14"/>
      <c r="J252" s="9" cm="1">
        <f t="array" ref="J252">SUMPRODUCT((Tablo3[Urun Ad]=I252)*(Tablo3[Ürün Kar Tutarı]))</f>
        <v>0</v>
      </c>
      <c r="L252" s="37"/>
    </row>
    <row r="253" spans="1:12" x14ac:dyDescent="0.25">
      <c r="A253" s="13"/>
      <c r="B253" s="9" cm="1">
        <f t="array" ref="B253">SUMPRODUCT((Tablo3[Personel Ad]=A253)*(Tablo3[Ürün Kar Tutarı]))</f>
        <v>0</v>
      </c>
      <c r="D253" s="14"/>
      <c r="F253" s="9" cm="1">
        <f t="array" ref="F253">SUMPRODUCT((Tablo3[Şehirler]=E253)*(Tablo3[Ürün Kar Tutarı]))</f>
        <v>0</v>
      </c>
      <c r="H253" s="14"/>
      <c r="J253" s="9" cm="1">
        <f t="array" ref="J253">SUMPRODUCT((Tablo3[Urun Ad]=I253)*(Tablo3[Ürün Kar Tutarı]))</f>
        <v>0</v>
      </c>
      <c r="L253" s="37"/>
    </row>
    <row r="254" spans="1:12" x14ac:dyDescent="0.25">
      <c r="A254" s="13"/>
      <c r="B254" s="9" cm="1">
        <f t="array" ref="B254">SUMPRODUCT((Tablo3[Personel Ad]=A254)*(Tablo3[Ürün Kar Tutarı]))</f>
        <v>0</v>
      </c>
      <c r="D254" s="14"/>
      <c r="F254" s="9" cm="1">
        <f t="array" ref="F254">SUMPRODUCT((Tablo3[Şehirler]=E254)*(Tablo3[Ürün Kar Tutarı]))</f>
        <v>0</v>
      </c>
      <c r="H254" s="14"/>
      <c r="J254" s="9" cm="1">
        <f t="array" ref="J254">SUMPRODUCT((Tablo3[Urun Ad]=I254)*(Tablo3[Ürün Kar Tutarı]))</f>
        <v>0</v>
      </c>
      <c r="L254" s="37"/>
    </row>
    <row r="255" spans="1:12" x14ac:dyDescent="0.25">
      <c r="A255" s="13"/>
      <c r="B255" s="9" cm="1">
        <f t="array" ref="B255">SUMPRODUCT((Tablo3[Personel Ad]=A255)*(Tablo3[Ürün Kar Tutarı]))</f>
        <v>0</v>
      </c>
      <c r="D255" s="14"/>
      <c r="F255" s="9" cm="1">
        <f t="array" ref="F255">SUMPRODUCT((Tablo3[Şehirler]=E255)*(Tablo3[Ürün Kar Tutarı]))</f>
        <v>0</v>
      </c>
      <c r="H255" s="14"/>
      <c r="J255" s="9" cm="1">
        <f t="array" ref="J255">SUMPRODUCT((Tablo3[Urun Ad]=I255)*(Tablo3[Ürün Kar Tutarı]))</f>
        <v>0</v>
      </c>
      <c r="L255" s="37"/>
    </row>
    <row r="256" spans="1:12" x14ac:dyDescent="0.25">
      <c r="A256" s="13"/>
      <c r="B256" s="9" cm="1">
        <f t="array" ref="B256">SUMPRODUCT((Tablo3[Personel Ad]=A256)*(Tablo3[Ürün Kar Tutarı]))</f>
        <v>0</v>
      </c>
      <c r="D256" s="14"/>
      <c r="F256" s="9" cm="1">
        <f t="array" ref="F256">SUMPRODUCT((Tablo3[Şehirler]=E256)*(Tablo3[Ürün Kar Tutarı]))</f>
        <v>0</v>
      </c>
      <c r="H256" s="14"/>
      <c r="J256" s="9" cm="1">
        <f t="array" ref="J256">SUMPRODUCT((Tablo3[Urun Ad]=I256)*(Tablo3[Ürün Kar Tutarı]))</f>
        <v>0</v>
      </c>
      <c r="L256" s="37"/>
    </row>
    <row r="257" spans="1:12" x14ac:dyDescent="0.25">
      <c r="A257" s="13"/>
      <c r="B257" s="9" cm="1">
        <f t="array" ref="B257">SUMPRODUCT((Tablo3[Personel Ad]=A257)*(Tablo3[Ürün Kar Tutarı]))</f>
        <v>0</v>
      </c>
      <c r="D257" s="14"/>
      <c r="F257" s="9" cm="1">
        <f t="array" ref="F257">SUMPRODUCT((Tablo3[Şehirler]=E257)*(Tablo3[Ürün Kar Tutarı]))</f>
        <v>0</v>
      </c>
      <c r="H257" s="14"/>
      <c r="J257" s="9" cm="1">
        <f t="array" ref="J257">SUMPRODUCT((Tablo3[Urun Ad]=I257)*(Tablo3[Ürün Kar Tutarı]))</f>
        <v>0</v>
      </c>
      <c r="L257" s="37"/>
    </row>
    <row r="258" spans="1:12" x14ac:dyDescent="0.25">
      <c r="A258" s="13"/>
      <c r="B258" s="9" cm="1">
        <f t="array" ref="B258">SUMPRODUCT((Tablo3[Personel Ad]=A258)*(Tablo3[Ürün Kar Tutarı]))</f>
        <v>0</v>
      </c>
      <c r="D258" s="14"/>
      <c r="F258" s="9" cm="1">
        <f t="array" ref="F258">SUMPRODUCT((Tablo3[Şehirler]=E258)*(Tablo3[Ürün Kar Tutarı]))</f>
        <v>0</v>
      </c>
      <c r="H258" s="14"/>
      <c r="J258" s="9" cm="1">
        <f t="array" ref="J258">SUMPRODUCT((Tablo3[Urun Ad]=I258)*(Tablo3[Ürün Kar Tutarı]))</f>
        <v>0</v>
      </c>
      <c r="L258" s="37"/>
    </row>
    <row r="259" spans="1:12" x14ac:dyDescent="0.25">
      <c r="A259" s="13"/>
      <c r="B259" s="9" cm="1">
        <f t="array" ref="B259">SUMPRODUCT((Tablo3[Personel Ad]=A259)*(Tablo3[Ürün Kar Tutarı]))</f>
        <v>0</v>
      </c>
      <c r="D259" s="14"/>
      <c r="F259" s="9" cm="1">
        <f t="array" ref="F259">SUMPRODUCT((Tablo3[Şehirler]=E259)*(Tablo3[Ürün Kar Tutarı]))</f>
        <v>0</v>
      </c>
      <c r="H259" s="14"/>
      <c r="J259" s="9" cm="1">
        <f t="array" ref="J259">SUMPRODUCT((Tablo3[Urun Ad]=I259)*(Tablo3[Ürün Kar Tutarı]))</f>
        <v>0</v>
      </c>
      <c r="L259" s="37"/>
    </row>
    <row r="260" spans="1:12" x14ac:dyDescent="0.25">
      <c r="A260" s="13"/>
      <c r="B260" s="9" cm="1">
        <f t="array" ref="B260">SUMPRODUCT((Tablo3[Personel Ad]=A260)*(Tablo3[Ürün Kar Tutarı]))</f>
        <v>0</v>
      </c>
      <c r="D260" s="14"/>
      <c r="F260" s="9" cm="1">
        <f t="array" ref="F260">SUMPRODUCT((Tablo3[Şehirler]=E260)*(Tablo3[Ürün Kar Tutarı]))</f>
        <v>0</v>
      </c>
      <c r="H260" s="14"/>
      <c r="J260" s="9" cm="1">
        <f t="array" ref="J260">SUMPRODUCT((Tablo3[Urun Ad]=I260)*(Tablo3[Ürün Kar Tutarı]))</f>
        <v>0</v>
      </c>
      <c r="L260" s="37"/>
    </row>
    <row r="261" spans="1:12" x14ac:dyDescent="0.25">
      <c r="A261" s="13"/>
      <c r="B261" s="9" cm="1">
        <f t="array" ref="B261">SUMPRODUCT((Tablo3[Personel Ad]=A261)*(Tablo3[Ürün Kar Tutarı]))</f>
        <v>0</v>
      </c>
      <c r="D261" s="14"/>
      <c r="F261" s="9" cm="1">
        <f t="array" ref="F261">SUMPRODUCT((Tablo3[Şehirler]=E261)*(Tablo3[Ürün Kar Tutarı]))</f>
        <v>0</v>
      </c>
      <c r="H261" s="14"/>
      <c r="J261" s="9" cm="1">
        <f t="array" ref="J261">SUMPRODUCT((Tablo3[Urun Ad]=I261)*(Tablo3[Ürün Kar Tutarı]))</f>
        <v>0</v>
      </c>
      <c r="L261" s="37"/>
    </row>
    <row r="262" spans="1:12" x14ac:dyDescent="0.25">
      <c r="A262" s="13"/>
      <c r="B262" s="9" cm="1">
        <f t="array" ref="B262">SUMPRODUCT((Tablo3[Personel Ad]=A262)*(Tablo3[Ürün Kar Tutarı]))</f>
        <v>0</v>
      </c>
      <c r="D262" s="14"/>
      <c r="F262" s="9" cm="1">
        <f t="array" ref="F262">SUMPRODUCT((Tablo3[Şehirler]=E262)*(Tablo3[Ürün Kar Tutarı]))</f>
        <v>0</v>
      </c>
      <c r="H262" s="14"/>
      <c r="J262" s="9" cm="1">
        <f t="array" ref="J262">SUMPRODUCT((Tablo3[Urun Ad]=I262)*(Tablo3[Ürün Kar Tutarı]))</f>
        <v>0</v>
      </c>
      <c r="L262" s="37"/>
    </row>
    <row r="263" spans="1:12" x14ac:dyDescent="0.25">
      <c r="A263" s="13"/>
      <c r="B263" s="9" cm="1">
        <f t="array" ref="B263">SUMPRODUCT((Tablo3[Personel Ad]=A263)*(Tablo3[Ürün Kar Tutarı]))</f>
        <v>0</v>
      </c>
      <c r="D263" s="14"/>
      <c r="F263" s="9" cm="1">
        <f t="array" ref="F263">SUMPRODUCT((Tablo3[Şehirler]=E263)*(Tablo3[Ürün Kar Tutarı]))</f>
        <v>0</v>
      </c>
      <c r="H263" s="14"/>
      <c r="J263" s="9" cm="1">
        <f t="array" ref="J263">SUMPRODUCT((Tablo3[Urun Ad]=I263)*(Tablo3[Ürün Kar Tutarı]))</f>
        <v>0</v>
      </c>
      <c r="L263" s="37"/>
    </row>
    <row r="264" spans="1:12" x14ac:dyDescent="0.25">
      <c r="A264" s="13"/>
      <c r="B264" s="9" cm="1">
        <f t="array" ref="B264">SUMPRODUCT((Tablo3[Personel Ad]=A264)*(Tablo3[Ürün Kar Tutarı]))</f>
        <v>0</v>
      </c>
      <c r="D264" s="14"/>
      <c r="F264" s="9" cm="1">
        <f t="array" ref="F264">SUMPRODUCT((Tablo3[Şehirler]=E264)*(Tablo3[Ürün Kar Tutarı]))</f>
        <v>0</v>
      </c>
      <c r="H264" s="14"/>
      <c r="J264" s="9" cm="1">
        <f t="array" ref="J264">SUMPRODUCT((Tablo3[Urun Ad]=I264)*(Tablo3[Ürün Kar Tutarı]))</f>
        <v>0</v>
      </c>
      <c r="L264" s="37"/>
    </row>
    <row r="265" spans="1:12" x14ac:dyDescent="0.25">
      <c r="A265" s="13"/>
      <c r="B265" s="9" cm="1">
        <f t="array" ref="B265">SUMPRODUCT((Tablo3[Personel Ad]=A265)*(Tablo3[Ürün Kar Tutarı]))</f>
        <v>0</v>
      </c>
      <c r="D265" s="14"/>
      <c r="F265" s="9" cm="1">
        <f t="array" ref="F265">SUMPRODUCT((Tablo3[Şehirler]=E265)*(Tablo3[Ürün Kar Tutarı]))</f>
        <v>0</v>
      </c>
      <c r="H265" s="14"/>
      <c r="J265" s="9" cm="1">
        <f t="array" ref="J265">SUMPRODUCT((Tablo3[Urun Ad]=I265)*(Tablo3[Ürün Kar Tutarı]))</f>
        <v>0</v>
      </c>
      <c r="L265" s="37"/>
    </row>
    <row r="266" spans="1:12" x14ac:dyDescent="0.25">
      <c r="A266" s="13"/>
      <c r="B266" s="9" cm="1">
        <f t="array" ref="B266">SUMPRODUCT((Tablo3[Personel Ad]=A266)*(Tablo3[Ürün Kar Tutarı]))</f>
        <v>0</v>
      </c>
      <c r="D266" s="14"/>
      <c r="F266" s="9" cm="1">
        <f t="array" ref="F266">SUMPRODUCT((Tablo3[Şehirler]=E266)*(Tablo3[Ürün Kar Tutarı]))</f>
        <v>0</v>
      </c>
      <c r="H266" s="14"/>
      <c r="J266" s="9" cm="1">
        <f t="array" ref="J266">SUMPRODUCT((Tablo3[Urun Ad]=I266)*(Tablo3[Ürün Kar Tutarı]))</f>
        <v>0</v>
      </c>
      <c r="L266" s="37"/>
    </row>
    <row r="267" spans="1:12" x14ac:dyDescent="0.25">
      <c r="A267" s="13"/>
      <c r="B267" s="9" cm="1">
        <f t="array" ref="B267">SUMPRODUCT((Tablo3[Personel Ad]=A267)*(Tablo3[Ürün Kar Tutarı]))</f>
        <v>0</v>
      </c>
      <c r="D267" s="14"/>
      <c r="F267" s="9" cm="1">
        <f t="array" ref="F267">SUMPRODUCT((Tablo3[Şehirler]=E267)*(Tablo3[Ürün Kar Tutarı]))</f>
        <v>0</v>
      </c>
      <c r="H267" s="14"/>
      <c r="J267" s="9" cm="1">
        <f t="array" ref="J267">SUMPRODUCT((Tablo3[Urun Ad]=I267)*(Tablo3[Ürün Kar Tutarı]))</f>
        <v>0</v>
      </c>
      <c r="L267" s="37"/>
    </row>
    <row r="268" spans="1:12" x14ac:dyDescent="0.25">
      <c r="A268" s="13"/>
      <c r="B268" s="9" cm="1">
        <f t="array" ref="B268">SUMPRODUCT((Tablo3[Personel Ad]=A268)*(Tablo3[Ürün Kar Tutarı]))</f>
        <v>0</v>
      </c>
      <c r="D268" s="14"/>
      <c r="F268" s="9" cm="1">
        <f t="array" ref="F268">SUMPRODUCT((Tablo3[Şehirler]=E268)*(Tablo3[Ürün Kar Tutarı]))</f>
        <v>0</v>
      </c>
      <c r="H268" s="14"/>
      <c r="J268" s="9" cm="1">
        <f t="array" ref="J268">SUMPRODUCT((Tablo3[Urun Ad]=I268)*(Tablo3[Ürün Kar Tutarı]))</f>
        <v>0</v>
      </c>
      <c r="L268" s="37"/>
    </row>
    <row r="269" spans="1:12" x14ac:dyDescent="0.25">
      <c r="A269" s="13"/>
      <c r="B269" s="9" cm="1">
        <f t="array" ref="B269">SUMPRODUCT((Tablo3[Personel Ad]=A269)*(Tablo3[Ürün Kar Tutarı]))</f>
        <v>0</v>
      </c>
      <c r="D269" s="14"/>
      <c r="F269" s="9" cm="1">
        <f t="array" ref="F269">SUMPRODUCT((Tablo3[Şehirler]=E269)*(Tablo3[Ürün Kar Tutarı]))</f>
        <v>0</v>
      </c>
      <c r="H269" s="14"/>
      <c r="J269" s="9" cm="1">
        <f t="array" ref="J269">SUMPRODUCT((Tablo3[Urun Ad]=I269)*(Tablo3[Ürün Kar Tutarı]))</f>
        <v>0</v>
      </c>
      <c r="L269" s="37"/>
    </row>
    <row r="270" spans="1:12" x14ac:dyDescent="0.25">
      <c r="A270" s="13"/>
      <c r="B270" s="9" cm="1">
        <f t="array" ref="B270">SUMPRODUCT((Tablo3[Personel Ad]=A270)*(Tablo3[Ürün Kar Tutarı]))</f>
        <v>0</v>
      </c>
      <c r="D270" s="14"/>
      <c r="F270" s="9" cm="1">
        <f t="array" ref="F270">SUMPRODUCT((Tablo3[Şehirler]=E270)*(Tablo3[Ürün Kar Tutarı]))</f>
        <v>0</v>
      </c>
      <c r="H270" s="14"/>
      <c r="J270" s="9" cm="1">
        <f t="array" ref="J270">SUMPRODUCT((Tablo3[Urun Ad]=I270)*(Tablo3[Ürün Kar Tutarı]))</f>
        <v>0</v>
      </c>
      <c r="L270" s="37"/>
    </row>
    <row r="271" spans="1:12" x14ac:dyDescent="0.25">
      <c r="A271" s="13"/>
      <c r="B271" s="9" cm="1">
        <f t="array" ref="B271">SUMPRODUCT((Tablo3[Personel Ad]=A271)*(Tablo3[Ürün Kar Tutarı]))</f>
        <v>0</v>
      </c>
      <c r="D271" s="14"/>
      <c r="F271" s="9" cm="1">
        <f t="array" ref="F271">SUMPRODUCT((Tablo3[Şehirler]=E271)*(Tablo3[Ürün Kar Tutarı]))</f>
        <v>0</v>
      </c>
      <c r="H271" s="14"/>
      <c r="J271" s="9" cm="1">
        <f t="array" ref="J271">SUMPRODUCT((Tablo3[Urun Ad]=I271)*(Tablo3[Ürün Kar Tutarı]))</f>
        <v>0</v>
      </c>
      <c r="L271" s="37"/>
    </row>
    <row r="272" spans="1:12" x14ac:dyDescent="0.25">
      <c r="A272" s="13"/>
      <c r="B272" s="9" cm="1">
        <f t="array" ref="B272">SUMPRODUCT((Tablo3[Personel Ad]=A272)*(Tablo3[Ürün Kar Tutarı]))</f>
        <v>0</v>
      </c>
      <c r="D272" s="14"/>
      <c r="F272" s="9" cm="1">
        <f t="array" ref="F272">SUMPRODUCT((Tablo3[Şehirler]=E272)*(Tablo3[Ürün Kar Tutarı]))</f>
        <v>0</v>
      </c>
      <c r="H272" s="14"/>
      <c r="J272" s="9" cm="1">
        <f t="array" ref="J272">SUMPRODUCT((Tablo3[Urun Ad]=I272)*(Tablo3[Ürün Kar Tutarı]))</f>
        <v>0</v>
      </c>
      <c r="L272" s="37"/>
    </row>
    <row r="273" spans="1:12" x14ac:dyDescent="0.25">
      <c r="A273" s="13"/>
      <c r="B273" s="9" cm="1">
        <f t="array" ref="B273">SUMPRODUCT((Tablo3[Personel Ad]=A273)*(Tablo3[Ürün Kar Tutarı]))</f>
        <v>0</v>
      </c>
      <c r="D273" s="14"/>
      <c r="F273" s="9" cm="1">
        <f t="array" ref="F273">SUMPRODUCT((Tablo3[Şehirler]=E273)*(Tablo3[Ürün Kar Tutarı]))</f>
        <v>0</v>
      </c>
      <c r="H273" s="14"/>
      <c r="J273" s="9" cm="1">
        <f t="array" ref="J273">SUMPRODUCT((Tablo3[Urun Ad]=I273)*(Tablo3[Ürün Kar Tutarı]))</f>
        <v>0</v>
      </c>
      <c r="L273" s="37"/>
    </row>
    <row r="274" spans="1:12" x14ac:dyDescent="0.25">
      <c r="A274" s="13"/>
      <c r="B274" s="9" cm="1">
        <f t="array" ref="B274">SUMPRODUCT((Tablo3[Personel Ad]=A274)*(Tablo3[Ürün Kar Tutarı]))</f>
        <v>0</v>
      </c>
      <c r="D274" s="14"/>
      <c r="F274" s="9" cm="1">
        <f t="array" ref="F274">SUMPRODUCT((Tablo3[Şehirler]=E274)*(Tablo3[Ürün Kar Tutarı]))</f>
        <v>0</v>
      </c>
      <c r="H274" s="14"/>
      <c r="J274" s="9" cm="1">
        <f t="array" ref="J274">SUMPRODUCT((Tablo3[Urun Ad]=I274)*(Tablo3[Ürün Kar Tutarı]))</f>
        <v>0</v>
      </c>
      <c r="L274" s="37"/>
    </row>
    <row r="275" spans="1:12" x14ac:dyDescent="0.25">
      <c r="A275" s="13"/>
      <c r="B275" s="9" cm="1">
        <f t="array" ref="B275">SUMPRODUCT((Tablo3[Personel Ad]=A275)*(Tablo3[Ürün Kar Tutarı]))</f>
        <v>0</v>
      </c>
      <c r="D275" s="14"/>
      <c r="F275" s="9" cm="1">
        <f t="array" ref="F275">SUMPRODUCT((Tablo3[Şehirler]=E275)*(Tablo3[Ürün Kar Tutarı]))</f>
        <v>0</v>
      </c>
      <c r="H275" s="14"/>
      <c r="J275" s="9" cm="1">
        <f t="array" ref="J275">SUMPRODUCT((Tablo3[Urun Ad]=I275)*(Tablo3[Ürün Kar Tutarı]))</f>
        <v>0</v>
      </c>
      <c r="L275" s="37"/>
    </row>
    <row r="276" spans="1:12" x14ac:dyDescent="0.25">
      <c r="A276" s="13"/>
      <c r="B276" s="9" cm="1">
        <f t="array" ref="B276">SUMPRODUCT((Tablo3[Personel Ad]=A276)*(Tablo3[Ürün Kar Tutarı]))</f>
        <v>0</v>
      </c>
      <c r="D276" s="14"/>
      <c r="F276" s="9" cm="1">
        <f t="array" ref="F276">SUMPRODUCT((Tablo3[Şehirler]=E276)*(Tablo3[Ürün Kar Tutarı]))</f>
        <v>0</v>
      </c>
      <c r="H276" s="14"/>
      <c r="J276" s="9" cm="1">
        <f t="array" ref="J276">SUMPRODUCT((Tablo3[Urun Ad]=I276)*(Tablo3[Ürün Kar Tutarı]))</f>
        <v>0</v>
      </c>
      <c r="L276" s="37"/>
    </row>
    <row r="277" spans="1:12" x14ac:dyDescent="0.25">
      <c r="A277" s="13"/>
      <c r="B277" s="9" cm="1">
        <f t="array" ref="B277">SUMPRODUCT((Tablo3[Personel Ad]=A277)*(Tablo3[Ürün Kar Tutarı]))</f>
        <v>0</v>
      </c>
      <c r="D277" s="14"/>
      <c r="F277" s="9" cm="1">
        <f t="array" ref="F277">SUMPRODUCT((Tablo3[Şehirler]=E277)*(Tablo3[Ürün Kar Tutarı]))</f>
        <v>0</v>
      </c>
      <c r="H277" s="14"/>
      <c r="J277" s="9" cm="1">
        <f t="array" ref="J277">SUMPRODUCT((Tablo3[Urun Ad]=I277)*(Tablo3[Ürün Kar Tutarı]))</f>
        <v>0</v>
      </c>
      <c r="L277" s="37"/>
    </row>
    <row r="278" spans="1:12" x14ac:dyDescent="0.25">
      <c r="A278" s="13"/>
      <c r="B278" s="9" cm="1">
        <f t="array" ref="B278">SUMPRODUCT((Tablo3[Personel Ad]=A278)*(Tablo3[Ürün Kar Tutarı]))</f>
        <v>0</v>
      </c>
      <c r="D278" s="14"/>
      <c r="F278" s="9" cm="1">
        <f t="array" ref="F278">SUMPRODUCT((Tablo3[Şehirler]=E278)*(Tablo3[Ürün Kar Tutarı]))</f>
        <v>0</v>
      </c>
      <c r="H278" s="14"/>
      <c r="J278" s="9" cm="1">
        <f t="array" ref="J278">SUMPRODUCT((Tablo3[Urun Ad]=I278)*(Tablo3[Ürün Kar Tutarı]))</f>
        <v>0</v>
      </c>
      <c r="L278" s="37"/>
    </row>
    <row r="279" spans="1:12" x14ac:dyDescent="0.25">
      <c r="A279" s="13"/>
      <c r="B279" s="9" cm="1">
        <f t="array" ref="B279">SUMPRODUCT((Tablo3[Personel Ad]=A279)*(Tablo3[Ürün Kar Tutarı]))</f>
        <v>0</v>
      </c>
      <c r="D279" s="14"/>
      <c r="F279" s="9" cm="1">
        <f t="array" ref="F279">SUMPRODUCT((Tablo3[Şehirler]=E279)*(Tablo3[Ürün Kar Tutarı]))</f>
        <v>0</v>
      </c>
      <c r="H279" s="14"/>
      <c r="J279" s="9" cm="1">
        <f t="array" ref="J279">SUMPRODUCT((Tablo3[Urun Ad]=I279)*(Tablo3[Ürün Kar Tutarı]))</f>
        <v>0</v>
      </c>
      <c r="L279" s="37"/>
    </row>
    <row r="280" spans="1:12" x14ac:dyDescent="0.25">
      <c r="A280" s="13"/>
      <c r="B280" s="9" cm="1">
        <f t="array" ref="B280">SUMPRODUCT((Tablo3[Personel Ad]=A280)*(Tablo3[Ürün Kar Tutarı]))</f>
        <v>0</v>
      </c>
      <c r="D280" s="14"/>
      <c r="F280" s="9" cm="1">
        <f t="array" ref="F280">SUMPRODUCT((Tablo3[Şehirler]=E280)*(Tablo3[Ürün Kar Tutarı]))</f>
        <v>0</v>
      </c>
      <c r="H280" s="14"/>
      <c r="J280" s="9" cm="1">
        <f t="array" ref="J280">SUMPRODUCT((Tablo3[Urun Ad]=I280)*(Tablo3[Ürün Kar Tutarı]))</f>
        <v>0</v>
      </c>
      <c r="L280" s="37"/>
    </row>
    <row r="281" spans="1:12" x14ac:dyDescent="0.25">
      <c r="A281" s="13"/>
      <c r="B281" s="9" cm="1">
        <f t="array" ref="B281">SUMPRODUCT((Tablo3[Personel Ad]=A281)*(Tablo3[Ürün Kar Tutarı]))</f>
        <v>0</v>
      </c>
      <c r="D281" s="14"/>
      <c r="F281" s="9" cm="1">
        <f t="array" ref="F281">SUMPRODUCT((Tablo3[Şehirler]=E281)*(Tablo3[Ürün Kar Tutarı]))</f>
        <v>0</v>
      </c>
      <c r="H281" s="14"/>
      <c r="J281" s="9" cm="1">
        <f t="array" ref="J281">SUMPRODUCT((Tablo3[Urun Ad]=I281)*(Tablo3[Ürün Kar Tutarı]))</f>
        <v>0</v>
      </c>
      <c r="L281" s="37"/>
    </row>
    <row r="282" spans="1:12" x14ac:dyDescent="0.25">
      <c r="A282" s="13"/>
      <c r="B282" s="9" cm="1">
        <f t="array" ref="B282">SUMPRODUCT((Tablo3[Personel Ad]=A282)*(Tablo3[Ürün Kar Tutarı]))</f>
        <v>0</v>
      </c>
      <c r="D282" s="14"/>
      <c r="F282" s="9" cm="1">
        <f t="array" ref="F282">SUMPRODUCT((Tablo3[Şehirler]=E282)*(Tablo3[Ürün Kar Tutarı]))</f>
        <v>0</v>
      </c>
      <c r="H282" s="14"/>
      <c r="J282" s="9" cm="1">
        <f t="array" ref="J282">SUMPRODUCT((Tablo3[Urun Ad]=I282)*(Tablo3[Ürün Kar Tutarı]))</f>
        <v>0</v>
      </c>
      <c r="L282" s="37"/>
    </row>
    <row r="283" spans="1:12" x14ac:dyDescent="0.25">
      <c r="A283" s="13"/>
      <c r="B283" s="9" cm="1">
        <f t="array" ref="B283">SUMPRODUCT((Tablo3[Personel Ad]=A283)*(Tablo3[Ürün Kar Tutarı]))</f>
        <v>0</v>
      </c>
      <c r="D283" s="14"/>
      <c r="F283" s="9" cm="1">
        <f t="array" ref="F283">SUMPRODUCT((Tablo3[Şehirler]=E283)*(Tablo3[Ürün Kar Tutarı]))</f>
        <v>0</v>
      </c>
      <c r="H283" s="14"/>
      <c r="J283" s="9" cm="1">
        <f t="array" ref="J283">SUMPRODUCT((Tablo3[Urun Ad]=I283)*(Tablo3[Ürün Kar Tutarı]))</f>
        <v>0</v>
      </c>
      <c r="L283" s="37"/>
    </row>
    <row r="284" spans="1:12" x14ac:dyDescent="0.25">
      <c r="A284" s="13"/>
      <c r="B284" s="9" cm="1">
        <f t="array" ref="B284">SUMPRODUCT((Tablo3[Personel Ad]=A284)*(Tablo3[Ürün Kar Tutarı]))</f>
        <v>0</v>
      </c>
      <c r="D284" s="14"/>
      <c r="F284" s="9" cm="1">
        <f t="array" ref="F284">SUMPRODUCT((Tablo3[Şehirler]=E284)*(Tablo3[Ürün Kar Tutarı]))</f>
        <v>0</v>
      </c>
      <c r="H284" s="14"/>
      <c r="J284" s="9" cm="1">
        <f t="array" ref="J284">SUMPRODUCT((Tablo3[Urun Ad]=I284)*(Tablo3[Ürün Kar Tutarı]))</f>
        <v>0</v>
      </c>
      <c r="L284" s="37"/>
    </row>
    <row r="285" spans="1:12" x14ac:dyDescent="0.25">
      <c r="A285" s="13"/>
      <c r="B285" s="9" cm="1">
        <f t="array" ref="B285">SUMPRODUCT((Tablo3[Personel Ad]=A285)*(Tablo3[Ürün Kar Tutarı]))</f>
        <v>0</v>
      </c>
      <c r="D285" s="14"/>
      <c r="F285" s="9" cm="1">
        <f t="array" ref="F285">SUMPRODUCT((Tablo3[Şehirler]=E285)*(Tablo3[Ürün Kar Tutarı]))</f>
        <v>0</v>
      </c>
      <c r="H285" s="14"/>
      <c r="J285" s="9" cm="1">
        <f t="array" ref="J285">SUMPRODUCT((Tablo3[Urun Ad]=I285)*(Tablo3[Ürün Kar Tutarı]))</f>
        <v>0</v>
      </c>
      <c r="L285" s="37"/>
    </row>
    <row r="286" spans="1:12" x14ac:dyDescent="0.25">
      <c r="A286" s="13"/>
      <c r="B286" s="9" cm="1">
        <f t="array" ref="B286">SUMPRODUCT((Tablo3[Personel Ad]=A286)*(Tablo3[Ürün Kar Tutarı]))</f>
        <v>0</v>
      </c>
      <c r="D286" s="14"/>
      <c r="F286" s="9" cm="1">
        <f t="array" ref="F286">SUMPRODUCT((Tablo3[Şehirler]=E286)*(Tablo3[Ürün Kar Tutarı]))</f>
        <v>0</v>
      </c>
      <c r="H286" s="14"/>
      <c r="J286" s="9" cm="1">
        <f t="array" ref="J286">SUMPRODUCT((Tablo3[Urun Ad]=I286)*(Tablo3[Ürün Kar Tutarı]))</f>
        <v>0</v>
      </c>
      <c r="L286" s="37"/>
    </row>
    <row r="287" spans="1:12" x14ac:dyDescent="0.25">
      <c r="A287" s="13"/>
      <c r="B287" s="9" cm="1">
        <f t="array" ref="B287">SUMPRODUCT((Tablo3[Personel Ad]=A287)*(Tablo3[Ürün Kar Tutarı]))</f>
        <v>0</v>
      </c>
      <c r="D287" s="14"/>
      <c r="F287" s="9" cm="1">
        <f t="array" ref="F287">SUMPRODUCT((Tablo3[Şehirler]=E287)*(Tablo3[Ürün Kar Tutarı]))</f>
        <v>0</v>
      </c>
      <c r="H287" s="14"/>
      <c r="J287" s="9" cm="1">
        <f t="array" ref="J287">SUMPRODUCT((Tablo3[Urun Ad]=I287)*(Tablo3[Ürün Kar Tutarı]))</f>
        <v>0</v>
      </c>
      <c r="L287" s="37"/>
    </row>
    <row r="288" spans="1:12" x14ac:dyDescent="0.25">
      <c r="A288" s="13"/>
      <c r="B288" s="9" cm="1">
        <f t="array" ref="B288">SUMPRODUCT((Tablo3[Personel Ad]=A288)*(Tablo3[Ürün Kar Tutarı]))</f>
        <v>0</v>
      </c>
      <c r="D288" s="14"/>
      <c r="F288" s="9" cm="1">
        <f t="array" ref="F288">SUMPRODUCT((Tablo3[Şehirler]=E288)*(Tablo3[Ürün Kar Tutarı]))</f>
        <v>0</v>
      </c>
      <c r="H288" s="14"/>
      <c r="J288" s="9" cm="1">
        <f t="array" ref="J288">SUMPRODUCT((Tablo3[Urun Ad]=I288)*(Tablo3[Ürün Kar Tutarı]))</f>
        <v>0</v>
      </c>
      <c r="L288" s="37"/>
    </row>
    <row r="289" spans="1:12" x14ac:dyDescent="0.25">
      <c r="A289" s="13"/>
      <c r="B289" s="9" cm="1">
        <f t="array" ref="B289">SUMPRODUCT((Tablo3[Personel Ad]=A289)*(Tablo3[Ürün Kar Tutarı]))</f>
        <v>0</v>
      </c>
      <c r="D289" s="14"/>
      <c r="F289" s="9" cm="1">
        <f t="array" ref="F289">SUMPRODUCT((Tablo3[Şehirler]=E289)*(Tablo3[Ürün Kar Tutarı]))</f>
        <v>0</v>
      </c>
      <c r="H289" s="14"/>
      <c r="J289" s="9" cm="1">
        <f t="array" ref="J289">SUMPRODUCT((Tablo3[Urun Ad]=I289)*(Tablo3[Ürün Kar Tutarı]))</f>
        <v>0</v>
      </c>
      <c r="L289" s="37"/>
    </row>
    <row r="290" spans="1:12" x14ac:dyDescent="0.25">
      <c r="A290" s="13"/>
      <c r="B290" s="9" cm="1">
        <f t="array" ref="B290">SUMPRODUCT((Tablo3[Personel Ad]=A290)*(Tablo3[Ürün Kar Tutarı]))</f>
        <v>0</v>
      </c>
      <c r="D290" s="14"/>
      <c r="F290" s="9" cm="1">
        <f t="array" ref="F290">SUMPRODUCT((Tablo3[Şehirler]=E290)*(Tablo3[Ürün Kar Tutarı]))</f>
        <v>0</v>
      </c>
      <c r="H290" s="14"/>
      <c r="J290" s="9" cm="1">
        <f t="array" ref="J290">SUMPRODUCT((Tablo3[Urun Ad]=I290)*(Tablo3[Ürün Kar Tutarı]))</f>
        <v>0</v>
      </c>
      <c r="L290" s="37"/>
    </row>
    <row r="291" spans="1:12" x14ac:dyDescent="0.25">
      <c r="A291" s="13"/>
      <c r="B291" s="9" cm="1">
        <f t="array" ref="B291">SUMPRODUCT((Tablo3[Personel Ad]=A291)*(Tablo3[Ürün Kar Tutarı]))</f>
        <v>0</v>
      </c>
      <c r="D291" s="14"/>
      <c r="F291" s="9" cm="1">
        <f t="array" ref="F291">SUMPRODUCT((Tablo3[Şehirler]=E291)*(Tablo3[Ürün Kar Tutarı]))</f>
        <v>0</v>
      </c>
      <c r="H291" s="14"/>
      <c r="J291" s="9" cm="1">
        <f t="array" ref="J291">SUMPRODUCT((Tablo3[Urun Ad]=I291)*(Tablo3[Ürün Kar Tutarı]))</f>
        <v>0</v>
      </c>
      <c r="L291" s="37"/>
    </row>
    <row r="292" spans="1:12" x14ac:dyDescent="0.25">
      <c r="A292" s="13"/>
      <c r="B292" s="9" cm="1">
        <f t="array" ref="B292">SUMPRODUCT((Tablo3[Personel Ad]=A292)*(Tablo3[Ürün Kar Tutarı]))</f>
        <v>0</v>
      </c>
      <c r="D292" s="14"/>
      <c r="F292" s="9" cm="1">
        <f t="array" ref="F292">SUMPRODUCT((Tablo3[Şehirler]=E292)*(Tablo3[Ürün Kar Tutarı]))</f>
        <v>0</v>
      </c>
      <c r="H292" s="14"/>
      <c r="J292" s="9" cm="1">
        <f t="array" ref="J292">SUMPRODUCT((Tablo3[Urun Ad]=I292)*(Tablo3[Ürün Kar Tutarı]))</f>
        <v>0</v>
      </c>
      <c r="L292" s="37"/>
    </row>
    <row r="293" spans="1:12" x14ac:dyDescent="0.25">
      <c r="A293" s="13"/>
      <c r="B293" s="9" cm="1">
        <f t="array" ref="B293">SUMPRODUCT((Tablo3[Personel Ad]=A293)*(Tablo3[Ürün Kar Tutarı]))</f>
        <v>0</v>
      </c>
      <c r="D293" s="14"/>
      <c r="F293" s="9" cm="1">
        <f t="array" ref="F293">SUMPRODUCT((Tablo3[Şehirler]=E293)*(Tablo3[Ürün Kar Tutarı]))</f>
        <v>0</v>
      </c>
      <c r="H293" s="14"/>
      <c r="J293" s="9" cm="1">
        <f t="array" ref="J293">SUMPRODUCT((Tablo3[Urun Ad]=I293)*(Tablo3[Ürün Kar Tutarı]))</f>
        <v>0</v>
      </c>
      <c r="L293" s="37"/>
    </row>
    <row r="294" spans="1:12" x14ac:dyDescent="0.25">
      <c r="A294" s="13"/>
      <c r="B294" s="9" cm="1">
        <f t="array" ref="B294">SUMPRODUCT((Tablo3[Personel Ad]=A294)*(Tablo3[Ürün Kar Tutarı]))</f>
        <v>0</v>
      </c>
      <c r="D294" s="14"/>
      <c r="F294" s="9" cm="1">
        <f t="array" ref="F294">SUMPRODUCT((Tablo3[Şehirler]=E294)*(Tablo3[Ürün Kar Tutarı]))</f>
        <v>0</v>
      </c>
      <c r="H294" s="14"/>
      <c r="J294" s="9" cm="1">
        <f t="array" ref="J294">SUMPRODUCT((Tablo3[Urun Ad]=I294)*(Tablo3[Ürün Kar Tutarı]))</f>
        <v>0</v>
      </c>
      <c r="L294" s="37"/>
    </row>
    <row r="295" spans="1:12" x14ac:dyDescent="0.25">
      <c r="A295" s="13"/>
      <c r="B295" s="9" cm="1">
        <f t="array" ref="B295">SUMPRODUCT((Tablo3[Personel Ad]=A295)*(Tablo3[Ürün Kar Tutarı]))</f>
        <v>0</v>
      </c>
      <c r="D295" s="14"/>
      <c r="F295" s="9" cm="1">
        <f t="array" ref="F295">SUMPRODUCT((Tablo3[Şehirler]=E295)*(Tablo3[Ürün Kar Tutarı]))</f>
        <v>0</v>
      </c>
      <c r="H295" s="14"/>
      <c r="J295" s="9" cm="1">
        <f t="array" ref="J295">SUMPRODUCT((Tablo3[Urun Ad]=I295)*(Tablo3[Ürün Kar Tutarı]))</f>
        <v>0</v>
      </c>
      <c r="L295" s="37"/>
    </row>
    <row r="296" spans="1:12" x14ac:dyDescent="0.25">
      <c r="A296" s="13"/>
      <c r="B296" s="9" cm="1">
        <f t="array" ref="B296">SUMPRODUCT((Tablo3[Personel Ad]=A296)*(Tablo3[Ürün Kar Tutarı]))</f>
        <v>0</v>
      </c>
      <c r="D296" s="14"/>
      <c r="F296" s="9" cm="1">
        <f t="array" ref="F296">SUMPRODUCT((Tablo3[Şehirler]=E296)*(Tablo3[Ürün Kar Tutarı]))</f>
        <v>0</v>
      </c>
      <c r="H296" s="14"/>
      <c r="J296" s="9" cm="1">
        <f t="array" ref="J296">SUMPRODUCT((Tablo3[Urun Ad]=I296)*(Tablo3[Ürün Kar Tutarı]))</f>
        <v>0</v>
      </c>
      <c r="L296" s="37"/>
    </row>
    <row r="297" spans="1:12" x14ac:dyDescent="0.25">
      <c r="A297" s="13"/>
      <c r="B297" s="9" cm="1">
        <f t="array" ref="B297">SUMPRODUCT((Tablo3[Personel Ad]=A297)*(Tablo3[Ürün Kar Tutarı]))</f>
        <v>0</v>
      </c>
      <c r="D297" s="14"/>
      <c r="F297" s="9" cm="1">
        <f t="array" ref="F297">SUMPRODUCT((Tablo3[Şehirler]=E297)*(Tablo3[Ürün Kar Tutarı]))</f>
        <v>0</v>
      </c>
      <c r="H297" s="14"/>
      <c r="J297" s="9" cm="1">
        <f t="array" ref="J297">SUMPRODUCT((Tablo3[Urun Ad]=I297)*(Tablo3[Ürün Kar Tutarı]))</f>
        <v>0</v>
      </c>
      <c r="L297" s="37"/>
    </row>
    <row r="298" spans="1:12" x14ac:dyDescent="0.25">
      <c r="A298" s="13"/>
      <c r="B298" s="9" cm="1">
        <f t="array" ref="B298">SUMPRODUCT((Tablo3[Personel Ad]=A298)*(Tablo3[Ürün Kar Tutarı]))</f>
        <v>0</v>
      </c>
      <c r="D298" s="14"/>
      <c r="F298" s="9" cm="1">
        <f t="array" ref="F298">SUMPRODUCT((Tablo3[Şehirler]=E298)*(Tablo3[Ürün Kar Tutarı]))</f>
        <v>0</v>
      </c>
      <c r="H298" s="14"/>
      <c r="J298" s="9" cm="1">
        <f t="array" ref="J298">SUMPRODUCT((Tablo3[Urun Ad]=I298)*(Tablo3[Ürün Kar Tutarı]))</f>
        <v>0</v>
      </c>
      <c r="L298" s="37"/>
    </row>
    <row r="299" spans="1:12" x14ac:dyDescent="0.25">
      <c r="A299" s="13"/>
      <c r="B299" s="9" cm="1">
        <f t="array" ref="B299">SUMPRODUCT((Tablo3[Personel Ad]=A299)*(Tablo3[Ürün Kar Tutarı]))</f>
        <v>0</v>
      </c>
      <c r="D299" s="14"/>
      <c r="F299" s="9" cm="1">
        <f t="array" ref="F299">SUMPRODUCT((Tablo3[Şehirler]=E299)*(Tablo3[Ürün Kar Tutarı]))</f>
        <v>0</v>
      </c>
      <c r="H299" s="14"/>
      <c r="J299" s="9" cm="1">
        <f t="array" ref="J299">SUMPRODUCT((Tablo3[Urun Ad]=I299)*(Tablo3[Ürün Kar Tutarı]))</f>
        <v>0</v>
      </c>
      <c r="L299" s="37"/>
    </row>
    <row r="300" spans="1:12" x14ac:dyDescent="0.25">
      <c r="A300" s="13"/>
      <c r="B300" s="9" cm="1">
        <f t="array" ref="B300">SUMPRODUCT((Tablo3[Personel Ad]=A300)*(Tablo3[Ürün Kar Tutarı]))</f>
        <v>0</v>
      </c>
      <c r="D300" s="14"/>
      <c r="F300" s="9" cm="1">
        <f t="array" ref="F300">SUMPRODUCT((Tablo3[Şehirler]=E300)*(Tablo3[Ürün Kar Tutarı]))</f>
        <v>0</v>
      </c>
      <c r="H300" s="14"/>
      <c r="J300" s="9" cm="1">
        <f t="array" ref="J300">SUMPRODUCT((Tablo3[Urun Ad]=I300)*(Tablo3[Ürün Kar Tutarı]))</f>
        <v>0</v>
      </c>
      <c r="L300" s="37"/>
    </row>
    <row r="301" spans="1:12" x14ac:dyDescent="0.25">
      <c r="A301" s="13"/>
      <c r="B301" s="9" cm="1">
        <f t="array" ref="B301">SUMPRODUCT((Tablo3[Personel Ad]=A301)*(Tablo3[Ürün Kar Tutarı]))</f>
        <v>0</v>
      </c>
      <c r="D301" s="14"/>
      <c r="F301" s="9" cm="1">
        <f t="array" ref="F301">SUMPRODUCT((Tablo3[Şehirler]=E301)*(Tablo3[Ürün Kar Tutarı]))</f>
        <v>0</v>
      </c>
      <c r="H301" s="14"/>
      <c r="J301" s="9" cm="1">
        <f t="array" ref="J301">SUMPRODUCT((Tablo3[Urun Ad]=I301)*(Tablo3[Ürün Kar Tutarı]))</f>
        <v>0</v>
      </c>
      <c r="L301" s="37"/>
    </row>
    <row r="302" spans="1:12" x14ac:dyDescent="0.25">
      <c r="A302" s="13"/>
      <c r="B302" s="9" cm="1">
        <f t="array" ref="B302">SUMPRODUCT((Tablo3[Personel Ad]=A302)*(Tablo3[Ürün Kar Tutarı]))</f>
        <v>0</v>
      </c>
      <c r="D302" s="14"/>
      <c r="F302" s="9" cm="1">
        <f t="array" ref="F302">SUMPRODUCT((Tablo3[Şehirler]=E302)*(Tablo3[Ürün Kar Tutarı]))</f>
        <v>0</v>
      </c>
      <c r="H302" s="14"/>
      <c r="J302" s="9" cm="1">
        <f t="array" ref="J302">SUMPRODUCT((Tablo3[Urun Ad]=I302)*(Tablo3[Ürün Kar Tutarı]))</f>
        <v>0</v>
      </c>
      <c r="L302" s="37"/>
    </row>
    <row r="303" spans="1:12" x14ac:dyDescent="0.25">
      <c r="A303" s="13"/>
      <c r="B303" s="9" cm="1">
        <f t="array" ref="B303">SUMPRODUCT((Tablo3[Personel Ad]=A303)*(Tablo3[Ürün Kar Tutarı]))</f>
        <v>0</v>
      </c>
      <c r="D303" s="14"/>
      <c r="F303" s="9" cm="1">
        <f t="array" ref="F303">SUMPRODUCT((Tablo3[Şehirler]=E303)*(Tablo3[Ürün Kar Tutarı]))</f>
        <v>0</v>
      </c>
      <c r="H303" s="14"/>
      <c r="J303" s="9" cm="1">
        <f t="array" ref="J303">SUMPRODUCT((Tablo3[Urun Ad]=I303)*(Tablo3[Ürün Kar Tutarı]))</f>
        <v>0</v>
      </c>
      <c r="L303" s="37"/>
    </row>
    <row r="304" spans="1:12" x14ac:dyDescent="0.25">
      <c r="A304" s="13"/>
      <c r="B304" s="9" cm="1">
        <f t="array" ref="B304">SUMPRODUCT((Tablo3[Personel Ad]=A304)*(Tablo3[Ürün Kar Tutarı]))</f>
        <v>0</v>
      </c>
      <c r="D304" s="14"/>
      <c r="F304" s="9" cm="1">
        <f t="array" ref="F304">SUMPRODUCT((Tablo3[Şehirler]=E304)*(Tablo3[Ürün Kar Tutarı]))</f>
        <v>0</v>
      </c>
      <c r="H304" s="14"/>
      <c r="J304" s="9" cm="1">
        <f t="array" ref="J304">SUMPRODUCT((Tablo3[Urun Ad]=I304)*(Tablo3[Ürün Kar Tutarı]))</f>
        <v>0</v>
      </c>
      <c r="L304" s="37"/>
    </row>
    <row r="305" spans="1:12" x14ac:dyDescent="0.25">
      <c r="A305" s="13"/>
      <c r="B305" s="9" cm="1">
        <f t="array" ref="B305">SUMPRODUCT((Tablo3[Personel Ad]=A305)*(Tablo3[Ürün Kar Tutarı]))</f>
        <v>0</v>
      </c>
      <c r="D305" s="14"/>
      <c r="F305" s="9" cm="1">
        <f t="array" ref="F305">SUMPRODUCT((Tablo3[Şehirler]=E305)*(Tablo3[Ürün Kar Tutarı]))</f>
        <v>0</v>
      </c>
      <c r="H305" s="14"/>
      <c r="J305" s="9" cm="1">
        <f t="array" ref="J305">SUMPRODUCT((Tablo3[Urun Ad]=I305)*(Tablo3[Ürün Kar Tutarı]))</f>
        <v>0</v>
      </c>
      <c r="L305" s="37"/>
    </row>
    <row r="306" spans="1:12" x14ac:dyDescent="0.25">
      <c r="A306" s="13"/>
      <c r="B306" s="9" cm="1">
        <f t="array" ref="B306">SUMPRODUCT((Tablo3[Personel Ad]=A306)*(Tablo3[Ürün Kar Tutarı]))</f>
        <v>0</v>
      </c>
      <c r="D306" s="14"/>
      <c r="F306" s="9" cm="1">
        <f t="array" ref="F306">SUMPRODUCT((Tablo3[Şehirler]=E306)*(Tablo3[Ürün Kar Tutarı]))</f>
        <v>0</v>
      </c>
      <c r="H306" s="14"/>
      <c r="J306" s="9" cm="1">
        <f t="array" ref="J306">SUMPRODUCT((Tablo3[Urun Ad]=I306)*(Tablo3[Ürün Kar Tutarı]))</f>
        <v>0</v>
      </c>
      <c r="L306" s="37"/>
    </row>
    <row r="307" spans="1:12" x14ac:dyDescent="0.25">
      <c r="A307" s="13"/>
      <c r="B307" s="9" cm="1">
        <f t="array" ref="B307">SUMPRODUCT((Tablo3[Personel Ad]=A307)*(Tablo3[Ürün Kar Tutarı]))</f>
        <v>0</v>
      </c>
      <c r="D307" s="14"/>
      <c r="F307" s="9" cm="1">
        <f t="array" ref="F307">SUMPRODUCT((Tablo3[Şehirler]=E307)*(Tablo3[Ürün Kar Tutarı]))</f>
        <v>0</v>
      </c>
      <c r="H307" s="14"/>
      <c r="J307" s="9" cm="1">
        <f t="array" ref="J307">SUMPRODUCT((Tablo3[Urun Ad]=I307)*(Tablo3[Ürün Kar Tutarı]))</f>
        <v>0</v>
      </c>
      <c r="L307" s="37"/>
    </row>
    <row r="308" spans="1:12" x14ac:dyDescent="0.25">
      <c r="A308" s="13"/>
      <c r="B308" s="9" cm="1">
        <f t="array" ref="B308">SUMPRODUCT((Tablo3[Personel Ad]=A308)*(Tablo3[Ürün Kar Tutarı]))</f>
        <v>0</v>
      </c>
      <c r="D308" s="14"/>
      <c r="F308" s="9" cm="1">
        <f t="array" ref="F308">SUMPRODUCT((Tablo3[Şehirler]=E308)*(Tablo3[Ürün Kar Tutarı]))</f>
        <v>0</v>
      </c>
      <c r="H308" s="14"/>
      <c r="J308" s="9" cm="1">
        <f t="array" ref="J308">SUMPRODUCT((Tablo3[Urun Ad]=I308)*(Tablo3[Ürün Kar Tutarı]))</f>
        <v>0</v>
      </c>
      <c r="L308" s="37"/>
    </row>
    <row r="309" spans="1:12" x14ac:dyDescent="0.25">
      <c r="A309" s="13"/>
      <c r="B309" s="9" cm="1">
        <f t="array" ref="B309">SUMPRODUCT((Tablo3[Personel Ad]=A309)*(Tablo3[Ürün Kar Tutarı]))</f>
        <v>0</v>
      </c>
      <c r="D309" s="14"/>
      <c r="F309" s="9" cm="1">
        <f t="array" ref="F309">SUMPRODUCT((Tablo3[Şehirler]=E309)*(Tablo3[Ürün Kar Tutarı]))</f>
        <v>0</v>
      </c>
      <c r="H309" s="14"/>
      <c r="J309" s="9" cm="1">
        <f t="array" ref="J309">SUMPRODUCT((Tablo3[Urun Ad]=I309)*(Tablo3[Ürün Kar Tutarı]))</f>
        <v>0</v>
      </c>
      <c r="L309" s="37"/>
    </row>
    <row r="310" spans="1:12" x14ac:dyDescent="0.25">
      <c r="A310" s="13"/>
      <c r="B310" s="9" cm="1">
        <f t="array" ref="B310">SUMPRODUCT((Tablo3[Personel Ad]=A310)*(Tablo3[Ürün Kar Tutarı]))</f>
        <v>0</v>
      </c>
      <c r="D310" s="14"/>
      <c r="F310" s="9" cm="1">
        <f t="array" ref="F310">SUMPRODUCT((Tablo3[Şehirler]=E310)*(Tablo3[Ürün Kar Tutarı]))</f>
        <v>0</v>
      </c>
      <c r="H310" s="14"/>
      <c r="J310" s="9" cm="1">
        <f t="array" ref="J310">SUMPRODUCT((Tablo3[Urun Ad]=I310)*(Tablo3[Ürün Kar Tutarı]))</f>
        <v>0</v>
      </c>
      <c r="L310" s="37"/>
    </row>
    <row r="311" spans="1:12" x14ac:dyDescent="0.25">
      <c r="A311" s="13"/>
      <c r="B311" s="9" cm="1">
        <f t="array" ref="B311">SUMPRODUCT((Tablo3[Personel Ad]=A311)*(Tablo3[Ürün Kar Tutarı]))</f>
        <v>0</v>
      </c>
      <c r="D311" s="14"/>
      <c r="F311" s="9" cm="1">
        <f t="array" ref="F311">SUMPRODUCT((Tablo3[Şehirler]=E311)*(Tablo3[Ürün Kar Tutarı]))</f>
        <v>0</v>
      </c>
      <c r="H311" s="14"/>
      <c r="J311" s="9" cm="1">
        <f t="array" ref="J311">SUMPRODUCT((Tablo3[Urun Ad]=I311)*(Tablo3[Ürün Kar Tutarı]))</f>
        <v>0</v>
      </c>
      <c r="L311" s="37"/>
    </row>
    <row r="312" spans="1:12" x14ac:dyDescent="0.25">
      <c r="A312" s="13"/>
      <c r="B312" s="9" cm="1">
        <f t="array" ref="B312">SUMPRODUCT((Tablo3[Personel Ad]=A312)*(Tablo3[Ürün Kar Tutarı]))</f>
        <v>0</v>
      </c>
      <c r="D312" s="14"/>
      <c r="F312" s="9" cm="1">
        <f t="array" ref="F312">SUMPRODUCT((Tablo3[Şehirler]=E312)*(Tablo3[Ürün Kar Tutarı]))</f>
        <v>0</v>
      </c>
      <c r="H312" s="14"/>
      <c r="J312" s="9" cm="1">
        <f t="array" ref="J312">SUMPRODUCT((Tablo3[Urun Ad]=I312)*(Tablo3[Ürün Kar Tutarı]))</f>
        <v>0</v>
      </c>
      <c r="L312" s="37"/>
    </row>
    <row r="313" spans="1:12" x14ac:dyDescent="0.25">
      <c r="A313" s="13"/>
      <c r="B313" s="9" cm="1">
        <f t="array" ref="B313">SUMPRODUCT((Tablo3[Personel Ad]=A313)*(Tablo3[Ürün Kar Tutarı]))</f>
        <v>0</v>
      </c>
      <c r="D313" s="14"/>
      <c r="F313" s="9" cm="1">
        <f t="array" ref="F313">SUMPRODUCT((Tablo3[Şehirler]=E313)*(Tablo3[Ürün Kar Tutarı]))</f>
        <v>0</v>
      </c>
      <c r="H313" s="14"/>
      <c r="J313" s="9" cm="1">
        <f t="array" ref="J313">SUMPRODUCT((Tablo3[Urun Ad]=I313)*(Tablo3[Ürün Kar Tutarı]))</f>
        <v>0</v>
      </c>
      <c r="L313" s="37"/>
    </row>
    <row r="314" spans="1:12" x14ac:dyDescent="0.25">
      <c r="A314" s="13"/>
      <c r="B314" s="9" cm="1">
        <f t="array" ref="B314">SUMPRODUCT((Tablo3[Personel Ad]=A314)*(Tablo3[Ürün Kar Tutarı]))</f>
        <v>0</v>
      </c>
      <c r="D314" s="14"/>
      <c r="F314" s="9" cm="1">
        <f t="array" ref="F314">SUMPRODUCT((Tablo3[Şehirler]=E314)*(Tablo3[Ürün Kar Tutarı]))</f>
        <v>0</v>
      </c>
      <c r="H314" s="14"/>
      <c r="J314" s="9" cm="1">
        <f t="array" ref="J314">SUMPRODUCT((Tablo3[Urun Ad]=I314)*(Tablo3[Ürün Kar Tutarı]))</f>
        <v>0</v>
      </c>
      <c r="L314" s="37"/>
    </row>
    <row r="315" spans="1:12" x14ac:dyDescent="0.25">
      <c r="A315" s="13"/>
      <c r="B315" s="9" cm="1">
        <f t="array" ref="B315">SUMPRODUCT((Tablo3[Personel Ad]=A315)*(Tablo3[Ürün Kar Tutarı]))</f>
        <v>0</v>
      </c>
      <c r="D315" s="14"/>
      <c r="F315" s="9" cm="1">
        <f t="array" ref="F315">SUMPRODUCT((Tablo3[Şehirler]=E315)*(Tablo3[Ürün Kar Tutarı]))</f>
        <v>0</v>
      </c>
      <c r="H315" s="14"/>
      <c r="J315" s="9" cm="1">
        <f t="array" ref="J315">SUMPRODUCT((Tablo3[Urun Ad]=I315)*(Tablo3[Ürün Kar Tutarı]))</f>
        <v>0</v>
      </c>
      <c r="L315" s="37"/>
    </row>
    <row r="316" spans="1:12" x14ac:dyDescent="0.25">
      <c r="A316" s="13"/>
      <c r="B316" s="9" cm="1">
        <f t="array" ref="B316">SUMPRODUCT((Tablo3[Personel Ad]=A316)*(Tablo3[Ürün Kar Tutarı]))</f>
        <v>0</v>
      </c>
      <c r="D316" s="14"/>
      <c r="F316" s="9" cm="1">
        <f t="array" ref="F316">SUMPRODUCT((Tablo3[Şehirler]=E316)*(Tablo3[Ürün Kar Tutarı]))</f>
        <v>0</v>
      </c>
      <c r="H316" s="14"/>
      <c r="J316" s="9" cm="1">
        <f t="array" ref="J316">SUMPRODUCT((Tablo3[Urun Ad]=I316)*(Tablo3[Ürün Kar Tutarı]))</f>
        <v>0</v>
      </c>
      <c r="L316" s="37"/>
    </row>
    <row r="317" spans="1:12" x14ac:dyDescent="0.25">
      <c r="A317" s="13"/>
      <c r="B317" s="9" cm="1">
        <f t="array" ref="B317">SUMPRODUCT((Tablo3[Personel Ad]=A317)*(Tablo3[Ürün Kar Tutarı]))</f>
        <v>0</v>
      </c>
      <c r="D317" s="14"/>
      <c r="F317" s="9" cm="1">
        <f t="array" ref="F317">SUMPRODUCT((Tablo3[Şehirler]=E317)*(Tablo3[Ürün Kar Tutarı]))</f>
        <v>0</v>
      </c>
      <c r="H317" s="14"/>
      <c r="J317" s="9" cm="1">
        <f t="array" ref="J317">SUMPRODUCT((Tablo3[Urun Ad]=I317)*(Tablo3[Ürün Kar Tutarı]))</f>
        <v>0</v>
      </c>
      <c r="L317" s="37"/>
    </row>
    <row r="318" spans="1:12" x14ac:dyDescent="0.25">
      <c r="A318" s="13"/>
      <c r="B318" s="9" cm="1">
        <f t="array" ref="B318">SUMPRODUCT((Tablo3[Personel Ad]=A318)*(Tablo3[Ürün Kar Tutarı]))</f>
        <v>0</v>
      </c>
      <c r="D318" s="14"/>
      <c r="F318" s="9" cm="1">
        <f t="array" ref="F318">SUMPRODUCT((Tablo3[Şehirler]=E318)*(Tablo3[Ürün Kar Tutarı]))</f>
        <v>0</v>
      </c>
      <c r="H318" s="14"/>
      <c r="J318" s="9" cm="1">
        <f t="array" ref="J318">SUMPRODUCT((Tablo3[Urun Ad]=I318)*(Tablo3[Ürün Kar Tutarı]))</f>
        <v>0</v>
      </c>
      <c r="L318" s="37"/>
    </row>
    <row r="319" spans="1:12" x14ac:dyDescent="0.25">
      <c r="A319" s="13"/>
      <c r="B319" s="9" cm="1">
        <f t="array" ref="B319">SUMPRODUCT((Tablo3[Personel Ad]=A319)*(Tablo3[Ürün Kar Tutarı]))</f>
        <v>0</v>
      </c>
      <c r="D319" s="14"/>
      <c r="F319" s="9" cm="1">
        <f t="array" ref="F319">SUMPRODUCT((Tablo3[Şehirler]=E319)*(Tablo3[Ürün Kar Tutarı]))</f>
        <v>0</v>
      </c>
      <c r="H319" s="14"/>
      <c r="J319" s="9" cm="1">
        <f t="array" ref="J319">SUMPRODUCT((Tablo3[Urun Ad]=I319)*(Tablo3[Ürün Kar Tutarı]))</f>
        <v>0</v>
      </c>
      <c r="L319" s="37"/>
    </row>
    <row r="320" spans="1:12" x14ac:dyDescent="0.25">
      <c r="A320" s="13"/>
      <c r="B320" s="9" cm="1">
        <f t="array" ref="B320">SUMPRODUCT((Tablo3[Personel Ad]=A320)*(Tablo3[Ürün Kar Tutarı]))</f>
        <v>0</v>
      </c>
      <c r="D320" s="14"/>
      <c r="F320" s="9" cm="1">
        <f t="array" ref="F320">SUMPRODUCT((Tablo3[Şehirler]=E320)*(Tablo3[Ürün Kar Tutarı]))</f>
        <v>0</v>
      </c>
      <c r="H320" s="14"/>
      <c r="J320" s="9" cm="1">
        <f t="array" ref="J320">SUMPRODUCT((Tablo3[Urun Ad]=I320)*(Tablo3[Ürün Kar Tutarı]))</f>
        <v>0</v>
      </c>
      <c r="L320" s="37"/>
    </row>
    <row r="321" spans="1:12" x14ac:dyDescent="0.25">
      <c r="A321" s="13"/>
      <c r="B321" s="9" cm="1">
        <f t="array" ref="B321">SUMPRODUCT((Tablo3[Personel Ad]=A321)*(Tablo3[Ürün Kar Tutarı]))</f>
        <v>0</v>
      </c>
      <c r="D321" s="14"/>
      <c r="F321" s="9" cm="1">
        <f t="array" ref="F321">SUMPRODUCT((Tablo3[Şehirler]=E321)*(Tablo3[Ürün Kar Tutarı]))</f>
        <v>0</v>
      </c>
      <c r="H321" s="14"/>
      <c r="J321" s="9" cm="1">
        <f t="array" ref="J321">SUMPRODUCT((Tablo3[Urun Ad]=I321)*(Tablo3[Ürün Kar Tutarı]))</f>
        <v>0</v>
      </c>
      <c r="L321" s="37"/>
    </row>
    <row r="322" spans="1:12" x14ac:dyDescent="0.25">
      <c r="A322" s="13"/>
      <c r="B322" s="9" cm="1">
        <f t="array" ref="B322">SUMPRODUCT((Tablo3[Personel Ad]=A322)*(Tablo3[Ürün Kar Tutarı]))</f>
        <v>0</v>
      </c>
      <c r="D322" s="14"/>
      <c r="F322" s="9" cm="1">
        <f t="array" ref="F322">SUMPRODUCT((Tablo3[Şehirler]=E322)*(Tablo3[Ürün Kar Tutarı]))</f>
        <v>0</v>
      </c>
      <c r="H322" s="14"/>
      <c r="J322" s="9" cm="1">
        <f t="array" ref="J322">SUMPRODUCT((Tablo3[Urun Ad]=I322)*(Tablo3[Ürün Kar Tutarı]))</f>
        <v>0</v>
      </c>
      <c r="L322" s="37"/>
    </row>
    <row r="323" spans="1:12" x14ac:dyDescent="0.25">
      <c r="A323" s="13"/>
      <c r="B323" s="9" cm="1">
        <f t="array" ref="B323">SUMPRODUCT((Tablo3[Personel Ad]=A323)*(Tablo3[Ürün Kar Tutarı]))</f>
        <v>0</v>
      </c>
      <c r="D323" s="14"/>
      <c r="F323" s="9" cm="1">
        <f t="array" ref="F323">SUMPRODUCT((Tablo3[Şehirler]=E323)*(Tablo3[Ürün Kar Tutarı]))</f>
        <v>0</v>
      </c>
      <c r="H323" s="14"/>
      <c r="J323" s="9" cm="1">
        <f t="array" ref="J323">SUMPRODUCT((Tablo3[Urun Ad]=I323)*(Tablo3[Ürün Kar Tutarı]))</f>
        <v>0</v>
      </c>
      <c r="L323" s="37"/>
    </row>
    <row r="324" spans="1:12" x14ac:dyDescent="0.25">
      <c r="A324" s="13"/>
      <c r="B324" s="9" cm="1">
        <f t="array" ref="B324">SUMPRODUCT((Tablo3[Personel Ad]=A324)*(Tablo3[Ürün Kar Tutarı]))</f>
        <v>0</v>
      </c>
      <c r="D324" s="14"/>
      <c r="F324" s="9" cm="1">
        <f t="array" ref="F324">SUMPRODUCT((Tablo3[Şehirler]=E324)*(Tablo3[Ürün Kar Tutarı]))</f>
        <v>0</v>
      </c>
      <c r="H324" s="14"/>
      <c r="J324" s="9" cm="1">
        <f t="array" ref="J324">SUMPRODUCT((Tablo3[Urun Ad]=I324)*(Tablo3[Ürün Kar Tutarı]))</f>
        <v>0</v>
      </c>
      <c r="L324" s="37"/>
    </row>
    <row r="325" spans="1:12" x14ac:dyDescent="0.25">
      <c r="A325" s="13"/>
      <c r="B325" s="9" cm="1">
        <f t="array" ref="B325">SUMPRODUCT((Tablo3[Personel Ad]=A325)*(Tablo3[Ürün Kar Tutarı]))</f>
        <v>0</v>
      </c>
      <c r="D325" s="14"/>
      <c r="F325" s="9" cm="1">
        <f t="array" ref="F325">SUMPRODUCT((Tablo3[Şehirler]=E325)*(Tablo3[Ürün Kar Tutarı]))</f>
        <v>0</v>
      </c>
      <c r="H325" s="14"/>
      <c r="J325" s="9" cm="1">
        <f t="array" ref="J325">SUMPRODUCT((Tablo3[Urun Ad]=I325)*(Tablo3[Ürün Kar Tutarı]))</f>
        <v>0</v>
      </c>
      <c r="L325" s="37"/>
    </row>
    <row r="326" spans="1:12" x14ac:dyDescent="0.25">
      <c r="A326" s="13"/>
      <c r="B326" s="9" cm="1">
        <f t="array" ref="B326">SUMPRODUCT((Tablo3[Personel Ad]=A326)*(Tablo3[Ürün Kar Tutarı]))</f>
        <v>0</v>
      </c>
      <c r="D326" s="14"/>
      <c r="F326" s="9" cm="1">
        <f t="array" ref="F326">SUMPRODUCT((Tablo3[Şehirler]=E326)*(Tablo3[Ürün Kar Tutarı]))</f>
        <v>0</v>
      </c>
      <c r="H326" s="14"/>
      <c r="J326" s="9" cm="1">
        <f t="array" ref="J326">SUMPRODUCT((Tablo3[Urun Ad]=I326)*(Tablo3[Ürün Kar Tutarı]))</f>
        <v>0</v>
      </c>
      <c r="L326" s="37"/>
    </row>
    <row r="327" spans="1:12" x14ac:dyDescent="0.25">
      <c r="A327" s="13"/>
      <c r="B327" s="9" cm="1">
        <f t="array" ref="B327">SUMPRODUCT((Tablo3[Personel Ad]=A327)*(Tablo3[Ürün Kar Tutarı]))</f>
        <v>0</v>
      </c>
      <c r="D327" s="14"/>
      <c r="F327" s="9" cm="1">
        <f t="array" ref="F327">SUMPRODUCT((Tablo3[Şehirler]=E327)*(Tablo3[Ürün Kar Tutarı]))</f>
        <v>0</v>
      </c>
      <c r="H327" s="14"/>
      <c r="J327" s="9" cm="1">
        <f t="array" ref="J327">SUMPRODUCT((Tablo3[Urun Ad]=I327)*(Tablo3[Ürün Kar Tutarı]))</f>
        <v>0</v>
      </c>
      <c r="L327" s="37"/>
    </row>
    <row r="328" spans="1:12" x14ac:dyDescent="0.25">
      <c r="A328" s="13"/>
      <c r="B328" s="9" cm="1">
        <f t="array" ref="B328">SUMPRODUCT((Tablo3[Personel Ad]=A328)*(Tablo3[Ürün Kar Tutarı]))</f>
        <v>0</v>
      </c>
      <c r="D328" s="14"/>
      <c r="F328" s="9" cm="1">
        <f t="array" ref="F328">SUMPRODUCT((Tablo3[Şehirler]=E328)*(Tablo3[Ürün Kar Tutarı]))</f>
        <v>0</v>
      </c>
      <c r="H328" s="14"/>
      <c r="J328" s="9" cm="1">
        <f t="array" ref="J328">SUMPRODUCT((Tablo3[Urun Ad]=I328)*(Tablo3[Ürün Kar Tutarı]))</f>
        <v>0</v>
      </c>
      <c r="L328" s="37"/>
    </row>
    <row r="329" spans="1:12" x14ac:dyDescent="0.25">
      <c r="A329" s="13"/>
      <c r="B329" s="9" cm="1">
        <f t="array" ref="B329">SUMPRODUCT((Tablo3[Personel Ad]=A329)*(Tablo3[Ürün Kar Tutarı]))</f>
        <v>0</v>
      </c>
      <c r="D329" s="14"/>
      <c r="F329" s="9" cm="1">
        <f t="array" ref="F329">SUMPRODUCT((Tablo3[Şehirler]=E329)*(Tablo3[Ürün Kar Tutarı]))</f>
        <v>0</v>
      </c>
      <c r="H329" s="14"/>
      <c r="J329" s="9" cm="1">
        <f t="array" ref="J329">SUMPRODUCT((Tablo3[Urun Ad]=I329)*(Tablo3[Ürün Kar Tutarı]))</f>
        <v>0</v>
      </c>
      <c r="L329" s="37"/>
    </row>
    <row r="330" spans="1:12" x14ac:dyDescent="0.25">
      <c r="A330" s="13"/>
      <c r="B330" s="9" cm="1">
        <f t="array" ref="B330">SUMPRODUCT((Tablo3[Personel Ad]=A330)*(Tablo3[Ürün Kar Tutarı]))</f>
        <v>0</v>
      </c>
      <c r="D330" s="14"/>
      <c r="F330" s="9" cm="1">
        <f t="array" ref="F330">SUMPRODUCT((Tablo3[Şehirler]=E330)*(Tablo3[Ürün Kar Tutarı]))</f>
        <v>0</v>
      </c>
      <c r="H330" s="14"/>
      <c r="J330" s="9" cm="1">
        <f t="array" ref="J330">SUMPRODUCT((Tablo3[Urun Ad]=I330)*(Tablo3[Ürün Kar Tutarı]))</f>
        <v>0</v>
      </c>
      <c r="L330" s="37"/>
    </row>
    <row r="331" spans="1:12" x14ac:dyDescent="0.25">
      <c r="A331" s="13"/>
      <c r="B331" s="9" cm="1">
        <f t="array" ref="B331">SUMPRODUCT((Tablo3[Personel Ad]=A331)*(Tablo3[Ürün Kar Tutarı]))</f>
        <v>0</v>
      </c>
      <c r="D331" s="14"/>
      <c r="F331" s="9" cm="1">
        <f t="array" ref="F331">SUMPRODUCT((Tablo3[Şehirler]=E331)*(Tablo3[Ürün Kar Tutarı]))</f>
        <v>0</v>
      </c>
      <c r="H331" s="14"/>
      <c r="J331" s="9" cm="1">
        <f t="array" ref="J331">SUMPRODUCT((Tablo3[Urun Ad]=I331)*(Tablo3[Ürün Kar Tutarı]))</f>
        <v>0</v>
      </c>
      <c r="L331" s="37"/>
    </row>
    <row r="332" spans="1:12" x14ac:dyDescent="0.25">
      <c r="A332" s="13"/>
      <c r="B332" s="9" cm="1">
        <f t="array" ref="B332">SUMPRODUCT((Tablo3[Personel Ad]=A332)*(Tablo3[Ürün Kar Tutarı]))</f>
        <v>0</v>
      </c>
      <c r="D332" s="14"/>
      <c r="F332" s="9" cm="1">
        <f t="array" ref="F332">SUMPRODUCT((Tablo3[Şehirler]=E332)*(Tablo3[Ürün Kar Tutarı]))</f>
        <v>0</v>
      </c>
      <c r="H332" s="14"/>
      <c r="J332" s="9" cm="1">
        <f t="array" ref="J332">SUMPRODUCT((Tablo3[Urun Ad]=I332)*(Tablo3[Ürün Kar Tutarı]))</f>
        <v>0</v>
      </c>
      <c r="L332" s="37"/>
    </row>
    <row r="333" spans="1:12" x14ac:dyDescent="0.25">
      <c r="A333" s="13"/>
      <c r="B333" s="9" cm="1">
        <f t="array" ref="B333">SUMPRODUCT((Tablo3[Personel Ad]=A333)*(Tablo3[Ürün Kar Tutarı]))</f>
        <v>0</v>
      </c>
      <c r="D333" s="14"/>
      <c r="F333" s="9" cm="1">
        <f t="array" ref="F333">SUMPRODUCT((Tablo3[Şehirler]=E333)*(Tablo3[Ürün Kar Tutarı]))</f>
        <v>0</v>
      </c>
      <c r="H333" s="14"/>
      <c r="J333" s="9" cm="1">
        <f t="array" ref="J333">SUMPRODUCT((Tablo3[Urun Ad]=I333)*(Tablo3[Ürün Kar Tutarı]))</f>
        <v>0</v>
      </c>
      <c r="L333" s="37"/>
    </row>
    <row r="334" spans="1:12" x14ac:dyDescent="0.25">
      <c r="A334" s="13"/>
      <c r="B334" s="9" cm="1">
        <f t="array" ref="B334">SUMPRODUCT((Tablo3[Personel Ad]=A334)*(Tablo3[Ürün Kar Tutarı]))</f>
        <v>0</v>
      </c>
      <c r="D334" s="14"/>
      <c r="F334" s="9" cm="1">
        <f t="array" ref="F334">SUMPRODUCT((Tablo3[Şehirler]=E334)*(Tablo3[Ürün Kar Tutarı]))</f>
        <v>0</v>
      </c>
      <c r="H334" s="14"/>
      <c r="J334" s="9" cm="1">
        <f t="array" ref="J334">SUMPRODUCT((Tablo3[Urun Ad]=I334)*(Tablo3[Ürün Kar Tutarı]))</f>
        <v>0</v>
      </c>
      <c r="L334" s="37"/>
    </row>
    <row r="335" spans="1:12" x14ac:dyDescent="0.25">
      <c r="A335" s="13"/>
      <c r="B335" s="9" cm="1">
        <f t="array" ref="B335">SUMPRODUCT((Tablo3[Personel Ad]=A335)*(Tablo3[Ürün Kar Tutarı]))</f>
        <v>0</v>
      </c>
      <c r="D335" s="14"/>
      <c r="F335" s="9" cm="1">
        <f t="array" ref="F335">SUMPRODUCT((Tablo3[Şehirler]=E335)*(Tablo3[Ürün Kar Tutarı]))</f>
        <v>0</v>
      </c>
      <c r="H335" s="14"/>
      <c r="J335" s="9" cm="1">
        <f t="array" ref="J335">SUMPRODUCT((Tablo3[Urun Ad]=I335)*(Tablo3[Ürün Kar Tutarı]))</f>
        <v>0</v>
      </c>
      <c r="L335" s="37"/>
    </row>
    <row r="336" spans="1:12" x14ac:dyDescent="0.25">
      <c r="A336" s="13"/>
      <c r="B336" s="9" cm="1">
        <f t="array" ref="B336">SUMPRODUCT((Tablo3[Personel Ad]=A336)*(Tablo3[Ürün Kar Tutarı]))</f>
        <v>0</v>
      </c>
      <c r="D336" s="14"/>
      <c r="F336" s="9" cm="1">
        <f t="array" ref="F336">SUMPRODUCT((Tablo3[Şehirler]=E336)*(Tablo3[Ürün Kar Tutarı]))</f>
        <v>0</v>
      </c>
      <c r="H336" s="14"/>
      <c r="J336" s="9" cm="1">
        <f t="array" ref="J336">SUMPRODUCT((Tablo3[Urun Ad]=I336)*(Tablo3[Ürün Kar Tutarı]))</f>
        <v>0</v>
      </c>
      <c r="L336" s="37"/>
    </row>
    <row r="337" spans="1:12" x14ac:dyDescent="0.25">
      <c r="A337" s="13"/>
      <c r="B337" s="9" cm="1">
        <f t="array" ref="B337">SUMPRODUCT((Tablo3[Personel Ad]=A337)*(Tablo3[Ürün Kar Tutarı]))</f>
        <v>0</v>
      </c>
      <c r="D337" s="14"/>
      <c r="F337" s="9" cm="1">
        <f t="array" ref="F337">SUMPRODUCT((Tablo3[Şehirler]=E337)*(Tablo3[Ürün Kar Tutarı]))</f>
        <v>0</v>
      </c>
      <c r="H337" s="14"/>
      <c r="J337" s="9" cm="1">
        <f t="array" ref="J337">SUMPRODUCT((Tablo3[Urun Ad]=I337)*(Tablo3[Ürün Kar Tutarı]))</f>
        <v>0</v>
      </c>
      <c r="L337" s="37"/>
    </row>
    <row r="338" spans="1:12" x14ac:dyDescent="0.25">
      <c r="A338" s="13"/>
      <c r="B338" s="9" cm="1">
        <f t="array" ref="B338">SUMPRODUCT((Tablo3[Personel Ad]=A338)*(Tablo3[Ürün Kar Tutarı]))</f>
        <v>0</v>
      </c>
      <c r="D338" s="14"/>
      <c r="F338" s="9" cm="1">
        <f t="array" ref="F338">SUMPRODUCT((Tablo3[Şehirler]=E338)*(Tablo3[Ürün Kar Tutarı]))</f>
        <v>0</v>
      </c>
      <c r="H338" s="14"/>
      <c r="J338" s="9" cm="1">
        <f t="array" ref="J338">SUMPRODUCT((Tablo3[Urun Ad]=I338)*(Tablo3[Ürün Kar Tutarı]))</f>
        <v>0</v>
      </c>
      <c r="L338" s="37"/>
    </row>
    <row r="339" spans="1:12" x14ac:dyDescent="0.25">
      <c r="A339" s="13"/>
      <c r="B339" s="9" cm="1">
        <f t="array" ref="B339">SUMPRODUCT((Tablo3[Personel Ad]=A339)*(Tablo3[Ürün Kar Tutarı]))</f>
        <v>0</v>
      </c>
      <c r="D339" s="14"/>
      <c r="F339" s="9" cm="1">
        <f t="array" ref="F339">SUMPRODUCT((Tablo3[Şehirler]=E339)*(Tablo3[Ürün Kar Tutarı]))</f>
        <v>0</v>
      </c>
      <c r="H339" s="14"/>
      <c r="J339" s="9" cm="1">
        <f t="array" ref="J339">SUMPRODUCT((Tablo3[Urun Ad]=I339)*(Tablo3[Ürün Kar Tutarı]))</f>
        <v>0</v>
      </c>
      <c r="L339" s="37"/>
    </row>
    <row r="340" spans="1:12" x14ac:dyDescent="0.25">
      <c r="A340" s="13"/>
      <c r="B340" s="9" cm="1">
        <f t="array" ref="B340">SUMPRODUCT((Tablo3[Personel Ad]=A340)*(Tablo3[Ürün Kar Tutarı]))</f>
        <v>0</v>
      </c>
      <c r="D340" s="14"/>
      <c r="F340" s="9" cm="1">
        <f t="array" ref="F340">SUMPRODUCT((Tablo3[Şehirler]=E340)*(Tablo3[Ürün Kar Tutarı]))</f>
        <v>0</v>
      </c>
      <c r="H340" s="14"/>
      <c r="J340" s="9" cm="1">
        <f t="array" ref="J340">SUMPRODUCT((Tablo3[Urun Ad]=I340)*(Tablo3[Ürün Kar Tutarı]))</f>
        <v>0</v>
      </c>
      <c r="L340" s="37"/>
    </row>
    <row r="341" spans="1:12" x14ac:dyDescent="0.25">
      <c r="A341" s="13"/>
      <c r="B341" s="9" cm="1">
        <f t="array" ref="B341">SUMPRODUCT((Tablo3[Personel Ad]=A341)*(Tablo3[Ürün Kar Tutarı]))</f>
        <v>0</v>
      </c>
      <c r="D341" s="14"/>
      <c r="F341" s="9" cm="1">
        <f t="array" ref="F341">SUMPRODUCT((Tablo3[Şehirler]=E341)*(Tablo3[Ürün Kar Tutarı]))</f>
        <v>0</v>
      </c>
      <c r="H341" s="14"/>
      <c r="J341" s="9" cm="1">
        <f t="array" ref="J341">SUMPRODUCT((Tablo3[Urun Ad]=I341)*(Tablo3[Ürün Kar Tutarı]))</f>
        <v>0</v>
      </c>
      <c r="L341" s="37"/>
    </row>
    <row r="342" spans="1:12" x14ac:dyDescent="0.25">
      <c r="A342" s="13"/>
      <c r="B342" s="9" cm="1">
        <f t="array" ref="B342">SUMPRODUCT((Tablo3[Personel Ad]=A342)*(Tablo3[Ürün Kar Tutarı]))</f>
        <v>0</v>
      </c>
      <c r="D342" s="14"/>
      <c r="F342" s="9" cm="1">
        <f t="array" ref="F342">SUMPRODUCT((Tablo3[Şehirler]=E342)*(Tablo3[Ürün Kar Tutarı]))</f>
        <v>0</v>
      </c>
      <c r="H342" s="14"/>
      <c r="J342" s="9" cm="1">
        <f t="array" ref="J342">SUMPRODUCT((Tablo3[Urun Ad]=I342)*(Tablo3[Ürün Kar Tutarı]))</f>
        <v>0</v>
      </c>
      <c r="L342" s="37"/>
    </row>
    <row r="343" spans="1:12" x14ac:dyDescent="0.25">
      <c r="A343" s="13"/>
      <c r="B343" s="9" cm="1">
        <f t="array" ref="B343">SUMPRODUCT((Tablo3[Personel Ad]=A343)*(Tablo3[Ürün Kar Tutarı]))</f>
        <v>0</v>
      </c>
      <c r="D343" s="14"/>
      <c r="F343" s="9" cm="1">
        <f t="array" ref="F343">SUMPRODUCT((Tablo3[Şehirler]=E343)*(Tablo3[Ürün Kar Tutarı]))</f>
        <v>0</v>
      </c>
      <c r="H343" s="14"/>
      <c r="J343" s="9" cm="1">
        <f t="array" ref="J343">SUMPRODUCT((Tablo3[Urun Ad]=I343)*(Tablo3[Ürün Kar Tutarı]))</f>
        <v>0</v>
      </c>
      <c r="L343" s="37"/>
    </row>
    <row r="344" spans="1:12" x14ac:dyDescent="0.25">
      <c r="A344" s="13"/>
      <c r="B344" s="9" cm="1">
        <f t="array" ref="B344">SUMPRODUCT((Tablo3[Personel Ad]=A344)*(Tablo3[Ürün Kar Tutarı]))</f>
        <v>0</v>
      </c>
      <c r="D344" s="14"/>
      <c r="F344" s="9" cm="1">
        <f t="array" ref="F344">SUMPRODUCT((Tablo3[Şehirler]=E344)*(Tablo3[Ürün Kar Tutarı]))</f>
        <v>0</v>
      </c>
      <c r="H344" s="14"/>
      <c r="J344" s="9" cm="1">
        <f t="array" ref="J344">SUMPRODUCT((Tablo3[Urun Ad]=I344)*(Tablo3[Ürün Kar Tutarı]))</f>
        <v>0</v>
      </c>
      <c r="L344" s="37"/>
    </row>
    <row r="345" spans="1:12" x14ac:dyDescent="0.25">
      <c r="A345" s="13"/>
      <c r="B345" s="9" cm="1">
        <f t="array" ref="B345">SUMPRODUCT((Tablo3[Personel Ad]=A345)*(Tablo3[Ürün Kar Tutarı]))</f>
        <v>0</v>
      </c>
      <c r="D345" s="14"/>
      <c r="F345" s="9" cm="1">
        <f t="array" ref="F345">SUMPRODUCT((Tablo3[Şehirler]=E345)*(Tablo3[Ürün Kar Tutarı]))</f>
        <v>0</v>
      </c>
      <c r="H345" s="14"/>
      <c r="J345" s="9" cm="1">
        <f t="array" ref="J345">SUMPRODUCT((Tablo3[Urun Ad]=I345)*(Tablo3[Ürün Kar Tutarı]))</f>
        <v>0</v>
      </c>
      <c r="L345" s="37"/>
    </row>
    <row r="346" spans="1:12" x14ac:dyDescent="0.25">
      <c r="A346" s="13"/>
      <c r="B346" s="9" cm="1">
        <f t="array" ref="B346">SUMPRODUCT((Tablo3[Personel Ad]=A346)*(Tablo3[Ürün Kar Tutarı]))</f>
        <v>0</v>
      </c>
      <c r="D346" s="14"/>
      <c r="F346" s="9" cm="1">
        <f t="array" ref="F346">SUMPRODUCT((Tablo3[Şehirler]=E346)*(Tablo3[Ürün Kar Tutarı]))</f>
        <v>0</v>
      </c>
      <c r="H346" s="14"/>
      <c r="J346" s="9" cm="1">
        <f t="array" ref="J346">SUMPRODUCT((Tablo3[Urun Ad]=I346)*(Tablo3[Ürün Kar Tutarı]))</f>
        <v>0</v>
      </c>
      <c r="L346" s="37"/>
    </row>
    <row r="347" spans="1:12" x14ac:dyDescent="0.25">
      <c r="A347" s="13"/>
      <c r="B347" s="9" cm="1">
        <f t="array" ref="B347">SUMPRODUCT((Tablo3[Personel Ad]=A347)*(Tablo3[Ürün Kar Tutarı]))</f>
        <v>0</v>
      </c>
      <c r="D347" s="14"/>
      <c r="F347" s="9" cm="1">
        <f t="array" ref="F347">SUMPRODUCT((Tablo3[Şehirler]=E347)*(Tablo3[Ürün Kar Tutarı]))</f>
        <v>0</v>
      </c>
      <c r="H347" s="14"/>
      <c r="J347" s="9" cm="1">
        <f t="array" ref="J347">SUMPRODUCT((Tablo3[Urun Ad]=I347)*(Tablo3[Ürün Kar Tutarı]))</f>
        <v>0</v>
      </c>
      <c r="L347" s="37"/>
    </row>
    <row r="348" spans="1:12" x14ac:dyDescent="0.25">
      <c r="A348" s="13"/>
      <c r="B348" s="9" cm="1">
        <f t="array" ref="B348">SUMPRODUCT((Tablo3[Personel Ad]=A348)*(Tablo3[Ürün Kar Tutarı]))</f>
        <v>0</v>
      </c>
      <c r="D348" s="14"/>
      <c r="F348" s="9" cm="1">
        <f t="array" ref="F348">SUMPRODUCT((Tablo3[Şehirler]=E348)*(Tablo3[Ürün Kar Tutarı]))</f>
        <v>0</v>
      </c>
      <c r="H348" s="14"/>
      <c r="J348" s="9" cm="1">
        <f t="array" ref="J348">SUMPRODUCT((Tablo3[Urun Ad]=I348)*(Tablo3[Ürün Kar Tutarı]))</f>
        <v>0</v>
      </c>
      <c r="L348" s="37"/>
    </row>
    <row r="349" spans="1:12" x14ac:dyDescent="0.25">
      <c r="A349" s="13"/>
      <c r="B349" s="9" cm="1">
        <f t="array" ref="B349">SUMPRODUCT((Tablo3[Personel Ad]=A349)*(Tablo3[Ürün Kar Tutarı]))</f>
        <v>0</v>
      </c>
      <c r="D349" s="14"/>
      <c r="F349" s="9" cm="1">
        <f t="array" ref="F349">SUMPRODUCT((Tablo3[Şehirler]=E349)*(Tablo3[Ürün Kar Tutarı]))</f>
        <v>0</v>
      </c>
      <c r="H349" s="14"/>
      <c r="J349" s="9" cm="1">
        <f t="array" ref="J349">SUMPRODUCT((Tablo3[Urun Ad]=I349)*(Tablo3[Ürün Kar Tutarı]))</f>
        <v>0</v>
      </c>
      <c r="L349" s="37"/>
    </row>
    <row r="350" spans="1:12" x14ac:dyDescent="0.25">
      <c r="A350" s="13"/>
      <c r="B350" s="9" cm="1">
        <f t="array" ref="B350">SUMPRODUCT((Tablo3[Personel Ad]=A350)*(Tablo3[Ürün Kar Tutarı]))</f>
        <v>0</v>
      </c>
      <c r="D350" s="14"/>
      <c r="F350" s="9" cm="1">
        <f t="array" ref="F350">SUMPRODUCT((Tablo3[Şehirler]=E350)*(Tablo3[Ürün Kar Tutarı]))</f>
        <v>0</v>
      </c>
      <c r="H350" s="14"/>
      <c r="J350" s="9" cm="1">
        <f t="array" ref="J350">SUMPRODUCT((Tablo3[Urun Ad]=I350)*(Tablo3[Ürün Kar Tutarı]))</f>
        <v>0</v>
      </c>
      <c r="L350" s="37"/>
    </row>
    <row r="351" spans="1:12" x14ac:dyDescent="0.25">
      <c r="A351" s="13"/>
      <c r="B351" s="9" cm="1">
        <f t="array" ref="B351">SUMPRODUCT((Tablo3[Personel Ad]=A351)*(Tablo3[Ürün Kar Tutarı]))</f>
        <v>0</v>
      </c>
      <c r="D351" s="14"/>
      <c r="F351" s="9" cm="1">
        <f t="array" ref="F351">SUMPRODUCT((Tablo3[Şehirler]=E351)*(Tablo3[Ürün Kar Tutarı]))</f>
        <v>0</v>
      </c>
      <c r="H351" s="14"/>
      <c r="J351" s="9" cm="1">
        <f t="array" ref="J351">SUMPRODUCT((Tablo3[Urun Ad]=I351)*(Tablo3[Ürün Kar Tutarı]))</f>
        <v>0</v>
      </c>
      <c r="L351" s="37"/>
    </row>
    <row r="352" spans="1:12" x14ac:dyDescent="0.25">
      <c r="A352" s="13"/>
      <c r="B352" s="9" cm="1">
        <f t="array" ref="B352">SUMPRODUCT((Tablo3[Personel Ad]=A352)*(Tablo3[Ürün Kar Tutarı]))</f>
        <v>0</v>
      </c>
      <c r="D352" s="14"/>
      <c r="F352" s="9" cm="1">
        <f t="array" ref="F352">SUMPRODUCT((Tablo3[Şehirler]=E352)*(Tablo3[Ürün Kar Tutarı]))</f>
        <v>0</v>
      </c>
      <c r="H352" s="14"/>
      <c r="J352" s="9" cm="1">
        <f t="array" ref="J352">SUMPRODUCT((Tablo3[Urun Ad]=I352)*(Tablo3[Ürün Kar Tutarı]))</f>
        <v>0</v>
      </c>
      <c r="L352" s="37"/>
    </row>
    <row r="353" spans="1:12" x14ac:dyDescent="0.25">
      <c r="A353" s="13"/>
      <c r="B353" s="9" cm="1">
        <f t="array" ref="B353">SUMPRODUCT((Tablo3[Personel Ad]=A353)*(Tablo3[Ürün Kar Tutarı]))</f>
        <v>0</v>
      </c>
      <c r="D353" s="14"/>
      <c r="F353" s="9" cm="1">
        <f t="array" ref="F353">SUMPRODUCT((Tablo3[Şehirler]=E353)*(Tablo3[Ürün Kar Tutarı]))</f>
        <v>0</v>
      </c>
      <c r="H353" s="14"/>
      <c r="J353" s="9" cm="1">
        <f t="array" ref="J353">SUMPRODUCT((Tablo3[Urun Ad]=I353)*(Tablo3[Ürün Kar Tutarı]))</f>
        <v>0</v>
      </c>
      <c r="L353" s="37"/>
    </row>
    <row r="354" spans="1:12" x14ac:dyDescent="0.25">
      <c r="A354" s="13"/>
      <c r="B354" s="9" cm="1">
        <f t="array" ref="B354">SUMPRODUCT((Tablo3[Personel Ad]=A354)*(Tablo3[Ürün Kar Tutarı]))</f>
        <v>0</v>
      </c>
      <c r="D354" s="14"/>
      <c r="F354" s="9" cm="1">
        <f t="array" ref="F354">SUMPRODUCT((Tablo3[Şehirler]=E354)*(Tablo3[Ürün Kar Tutarı]))</f>
        <v>0</v>
      </c>
      <c r="H354" s="14"/>
      <c r="J354" s="9" cm="1">
        <f t="array" ref="J354">SUMPRODUCT((Tablo3[Urun Ad]=I354)*(Tablo3[Ürün Kar Tutarı]))</f>
        <v>0</v>
      </c>
      <c r="L354" s="37"/>
    </row>
    <row r="355" spans="1:12" x14ac:dyDescent="0.25">
      <c r="A355" s="13"/>
      <c r="B355" s="9" cm="1">
        <f t="array" ref="B355">SUMPRODUCT((Tablo3[Personel Ad]=A355)*(Tablo3[Ürün Kar Tutarı]))</f>
        <v>0</v>
      </c>
      <c r="D355" s="14"/>
      <c r="F355" s="9" cm="1">
        <f t="array" ref="F355">SUMPRODUCT((Tablo3[Şehirler]=E355)*(Tablo3[Ürün Kar Tutarı]))</f>
        <v>0</v>
      </c>
      <c r="H355" s="14"/>
      <c r="J355" s="9" cm="1">
        <f t="array" ref="J355">SUMPRODUCT((Tablo3[Urun Ad]=I355)*(Tablo3[Ürün Kar Tutarı]))</f>
        <v>0</v>
      </c>
      <c r="L355" s="37"/>
    </row>
    <row r="356" spans="1:12" x14ac:dyDescent="0.25">
      <c r="A356" s="13"/>
      <c r="B356" s="9" cm="1">
        <f t="array" ref="B356">SUMPRODUCT((Tablo3[Personel Ad]=A356)*(Tablo3[Ürün Kar Tutarı]))</f>
        <v>0</v>
      </c>
      <c r="D356" s="14"/>
      <c r="F356" s="9" cm="1">
        <f t="array" ref="F356">SUMPRODUCT((Tablo3[Şehirler]=E356)*(Tablo3[Ürün Kar Tutarı]))</f>
        <v>0</v>
      </c>
      <c r="H356" s="14"/>
      <c r="J356" s="9" cm="1">
        <f t="array" ref="J356">SUMPRODUCT((Tablo3[Urun Ad]=I356)*(Tablo3[Ürün Kar Tutarı]))</f>
        <v>0</v>
      </c>
      <c r="L356" s="37"/>
    </row>
    <row r="357" spans="1:12" x14ac:dyDescent="0.25">
      <c r="A357" s="13"/>
      <c r="B357" s="9" cm="1">
        <f t="array" ref="B357">SUMPRODUCT((Tablo3[Personel Ad]=A357)*(Tablo3[Ürün Kar Tutarı]))</f>
        <v>0</v>
      </c>
      <c r="D357" s="14"/>
      <c r="F357" s="9" cm="1">
        <f t="array" ref="F357">SUMPRODUCT((Tablo3[Şehirler]=E357)*(Tablo3[Ürün Kar Tutarı]))</f>
        <v>0</v>
      </c>
      <c r="H357" s="14"/>
      <c r="J357" s="9" cm="1">
        <f t="array" ref="J357">SUMPRODUCT((Tablo3[Urun Ad]=I357)*(Tablo3[Ürün Kar Tutarı]))</f>
        <v>0</v>
      </c>
      <c r="L357" s="37"/>
    </row>
    <row r="358" spans="1:12" x14ac:dyDescent="0.25">
      <c r="A358" s="13"/>
      <c r="B358" s="9" cm="1">
        <f t="array" ref="B358">SUMPRODUCT((Tablo3[Personel Ad]=A358)*(Tablo3[Ürün Kar Tutarı]))</f>
        <v>0</v>
      </c>
      <c r="D358" s="14"/>
      <c r="F358" s="9" cm="1">
        <f t="array" ref="F358">SUMPRODUCT((Tablo3[Şehirler]=E358)*(Tablo3[Ürün Kar Tutarı]))</f>
        <v>0</v>
      </c>
      <c r="H358" s="14"/>
      <c r="J358" s="9" cm="1">
        <f t="array" ref="J358">SUMPRODUCT((Tablo3[Urun Ad]=I358)*(Tablo3[Ürün Kar Tutarı]))</f>
        <v>0</v>
      </c>
      <c r="L358" s="37"/>
    </row>
    <row r="359" spans="1:12" x14ac:dyDescent="0.25">
      <c r="A359" s="13"/>
      <c r="B359" s="9" cm="1">
        <f t="array" ref="B359">SUMPRODUCT((Tablo3[Personel Ad]=A359)*(Tablo3[Ürün Kar Tutarı]))</f>
        <v>0</v>
      </c>
      <c r="D359" s="14"/>
      <c r="F359" s="9" cm="1">
        <f t="array" ref="F359">SUMPRODUCT((Tablo3[Şehirler]=E359)*(Tablo3[Ürün Kar Tutarı]))</f>
        <v>0</v>
      </c>
      <c r="H359" s="14"/>
      <c r="J359" s="9" cm="1">
        <f t="array" ref="J359">SUMPRODUCT((Tablo3[Urun Ad]=I359)*(Tablo3[Ürün Kar Tutarı]))</f>
        <v>0</v>
      </c>
      <c r="L359" s="37"/>
    </row>
    <row r="360" spans="1:12" x14ac:dyDescent="0.25">
      <c r="A360" s="13"/>
      <c r="B360" s="9" cm="1">
        <f t="array" ref="B360">SUMPRODUCT((Tablo3[Personel Ad]=A360)*(Tablo3[Ürün Kar Tutarı]))</f>
        <v>0</v>
      </c>
      <c r="D360" s="14"/>
      <c r="F360" s="9" cm="1">
        <f t="array" ref="F360">SUMPRODUCT((Tablo3[Şehirler]=E360)*(Tablo3[Ürün Kar Tutarı]))</f>
        <v>0</v>
      </c>
      <c r="H360" s="14"/>
      <c r="J360" s="9" cm="1">
        <f t="array" ref="J360">SUMPRODUCT((Tablo3[Urun Ad]=I360)*(Tablo3[Ürün Kar Tutarı]))</f>
        <v>0</v>
      </c>
      <c r="L360" s="37"/>
    </row>
    <row r="361" spans="1:12" x14ac:dyDescent="0.25">
      <c r="A361" s="13"/>
      <c r="B361" s="9" cm="1">
        <f t="array" ref="B361">SUMPRODUCT((Tablo3[Personel Ad]=A361)*(Tablo3[Ürün Kar Tutarı]))</f>
        <v>0</v>
      </c>
      <c r="D361" s="14"/>
      <c r="F361" s="9" cm="1">
        <f t="array" ref="F361">SUMPRODUCT((Tablo3[Şehirler]=E361)*(Tablo3[Ürün Kar Tutarı]))</f>
        <v>0</v>
      </c>
      <c r="H361" s="14"/>
      <c r="J361" s="9" cm="1">
        <f t="array" ref="J361">SUMPRODUCT((Tablo3[Urun Ad]=I361)*(Tablo3[Ürün Kar Tutarı]))</f>
        <v>0</v>
      </c>
      <c r="L361" s="37"/>
    </row>
    <row r="362" spans="1:12" x14ac:dyDescent="0.25">
      <c r="A362" s="13"/>
      <c r="B362" s="9" cm="1">
        <f t="array" ref="B362">SUMPRODUCT((Tablo3[Personel Ad]=A362)*(Tablo3[Ürün Kar Tutarı]))</f>
        <v>0</v>
      </c>
      <c r="D362" s="14"/>
      <c r="F362" s="9" cm="1">
        <f t="array" ref="F362">SUMPRODUCT((Tablo3[Şehirler]=E362)*(Tablo3[Ürün Kar Tutarı]))</f>
        <v>0</v>
      </c>
      <c r="H362" s="14"/>
      <c r="J362" s="9" cm="1">
        <f t="array" ref="J362">SUMPRODUCT((Tablo3[Urun Ad]=I362)*(Tablo3[Ürün Kar Tutarı]))</f>
        <v>0</v>
      </c>
      <c r="L362" s="37"/>
    </row>
    <row r="363" spans="1:12" x14ac:dyDescent="0.25">
      <c r="A363" s="13"/>
      <c r="B363" s="9" cm="1">
        <f t="array" ref="B363">SUMPRODUCT((Tablo3[Personel Ad]=A363)*(Tablo3[Ürün Kar Tutarı]))</f>
        <v>0</v>
      </c>
      <c r="D363" s="14"/>
      <c r="F363" s="9" cm="1">
        <f t="array" ref="F363">SUMPRODUCT((Tablo3[Şehirler]=E363)*(Tablo3[Ürün Kar Tutarı]))</f>
        <v>0</v>
      </c>
      <c r="H363" s="14"/>
      <c r="J363" s="9" cm="1">
        <f t="array" ref="J363">SUMPRODUCT((Tablo3[Urun Ad]=I363)*(Tablo3[Ürün Kar Tutarı]))</f>
        <v>0</v>
      </c>
      <c r="L363" s="37"/>
    </row>
    <row r="364" spans="1:12" x14ac:dyDescent="0.25">
      <c r="A364" s="13"/>
      <c r="B364" s="9" cm="1">
        <f t="array" ref="B364">SUMPRODUCT((Tablo3[Personel Ad]=A364)*(Tablo3[Ürün Kar Tutarı]))</f>
        <v>0</v>
      </c>
      <c r="D364" s="14"/>
      <c r="F364" s="9" cm="1">
        <f t="array" ref="F364">SUMPRODUCT((Tablo3[Şehirler]=E364)*(Tablo3[Ürün Kar Tutarı]))</f>
        <v>0</v>
      </c>
      <c r="H364" s="14"/>
      <c r="J364" s="9" cm="1">
        <f t="array" ref="J364">SUMPRODUCT((Tablo3[Urun Ad]=I364)*(Tablo3[Ürün Kar Tutarı]))</f>
        <v>0</v>
      </c>
      <c r="L364" s="37"/>
    </row>
    <row r="365" spans="1:12" x14ac:dyDescent="0.25">
      <c r="A365" s="13"/>
      <c r="B365" s="9" cm="1">
        <f t="array" ref="B365">SUMPRODUCT((Tablo3[Personel Ad]=A365)*(Tablo3[Ürün Kar Tutarı]))</f>
        <v>0</v>
      </c>
      <c r="D365" s="14"/>
      <c r="F365" s="9" cm="1">
        <f t="array" ref="F365">SUMPRODUCT((Tablo3[Şehirler]=E365)*(Tablo3[Ürün Kar Tutarı]))</f>
        <v>0</v>
      </c>
      <c r="H365" s="14"/>
      <c r="J365" s="9" cm="1">
        <f t="array" ref="J365">SUMPRODUCT((Tablo3[Urun Ad]=I365)*(Tablo3[Ürün Kar Tutarı]))</f>
        <v>0</v>
      </c>
      <c r="L365" s="37"/>
    </row>
    <row r="366" spans="1:12" x14ac:dyDescent="0.25">
      <c r="A366" s="13"/>
      <c r="B366" s="9" cm="1">
        <f t="array" ref="B366">SUMPRODUCT((Tablo3[Personel Ad]=A366)*(Tablo3[Ürün Kar Tutarı]))</f>
        <v>0</v>
      </c>
      <c r="D366" s="14"/>
      <c r="F366" s="9" cm="1">
        <f t="array" ref="F366">SUMPRODUCT((Tablo3[Şehirler]=E366)*(Tablo3[Ürün Kar Tutarı]))</f>
        <v>0</v>
      </c>
      <c r="H366" s="14"/>
      <c r="J366" s="9" cm="1">
        <f t="array" ref="J366">SUMPRODUCT((Tablo3[Urun Ad]=I366)*(Tablo3[Ürün Kar Tutarı]))</f>
        <v>0</v>
      </c>
      <c r="L366" s="37"/>
    </row>
    <row r="367" spans="1:12" x14ac:dyDescent="0.25">
      <c r="A367" s="13"/>
      <c r="B367" s="9" cm="1">
        <f t="array" ref="B367">SUMPRODUCT((Tablo3[Personel Ad]=A367)*(Tablo3[Ürün Kar Tutarı]))</f>
        <v>0</v>
      </c>
      <c r="D367" s="14"/>
      <c r="F367" s="9" cm="1">
        <f t="array" ref="F367">SUMPRODUCT((Tablo3[Şehirler]=E367)*(Tablo3[Ürün Kar Tutarı]))</f>
        <v>0</v>
      </c>
      <c r="H367" s="14"/>
      <c r="J367" s="9" cm="1">
        <f t="array" ref="J367">SUMPRODUCT((Tablo3[Urun Ad]=I367)*(Tablo3[Ürün Kar Tutarı]))</f>
        <v>0</v>
      </c>
      <c r="L367" s="37"/>
    </row>
    <row r="368" spans="1:12" x14ac:dyDescent="0.25">
      <c r="A368" s="13"/>
      <c r="B368" s="9" cm="1">
        <f t="array" ref="B368">SUMPRODUCT((Tablo3[Personel Ad]=A368)*(Tablo3[Ürün Kar Tutarı]))</f>
        <v>0</v>
      </c>
      <c r="D368" s="14"/>
      <c r="F368" s="9" cm="1">
        <f t="array" ref="F368">SUMPRODUCT((Tablo3[Şehirler]=E368)*(Tablo3[Ürün Kar Tutarı]))</f>
        <v>0</v>
      </c>
      <c r="H368" s="14"/>
      <c r="J368" s="9" cm="1">
        <f t="array" ref="J368">SUMPRODUCT((Tablo3[Urun Ad]=I368)*(Tablo3[Ürün Kar Tutarı]))</f>
        <v>0</v>
      </c>
      <c r="L368" s="37"/>
    </row>
    <row r="369" spans="1:12" x14ac:dyDescent="0.25">
      <c r="A369" s="13"/>
      <c r="B369" s="9" cm="1">
        <f t="array" ref="B369">SUMPRODUCT((Tablo3[Personel Ad]=A369)*(Tablo3[Ürün Kar Tutarı]))</f>
        <v>0</v>
      </c>
      <c r="D369" s="14"/>
      <c r="F369" s="9" cm="1">
        <f t="array" ref="F369">SUMPRODUCT((Tablo3[Şehirler]=E369)*(Tablo3[Ürün Kar Tutarı]))</f>
        <v>0</v>
      </c>
      <c r="H369" s="14"/>
      <c r="J369" s="9" cm="1">
        <f t="array" ref="J369">SUMPRODUCT((Tablo3[Urun Ad]=I369)*(Tablo3[Ürün Kar Tutarı]))</f>
        <v>0</v>
      </c>
      <c r="L369" s="37"/>
    </row>
    <row r="370" spans="1:12" x14ac:dyDescent="0.25">
      <c r="A370" s="13"/>
      <c r="B370" s="9" cm="1">
        <f t="array" ref="B370">SUMPRODUCT((Tablo3[Personel Ad]=A370)*(Tablo3[Ürün Kar Tutarı]))</f>
        <v>0</v>
      </c>
      <c r="D370" s="14"/>
      <c r="F370" s="9" cm="1">
        <f t="array" ref="F370">SUMPRODUCT((Tablo3[Şehirler]=E370)*(Tablo3[Ürün Kar Tutarı]))</f>
        <v>0</v>
      </c>
      <c r="H370" s="14"/>
      <c r="J370" s="9" cm="1">
        <f t="array" ref="J370">SUMPRODUCT((Tablo3[Urun Ad]=I370)*(Tablo3[Ürün Kar Tutarı]))</f>
        <v>0</v>
      </c>
      <c r="L370" s="37"/>
    </row>
    <row r="371" spans="1:12" x14ac:dyDescent="0.25">
      <c r="A371" s="13"/>
      <c r="B371" s="9" cm="1">
        <f t="array" ref="B371">SUMPRODUCT((Tablo3[Personel Ad]=A371)*(Tablo3[Ürün Kar Tutarı]))</f>
        <v>0</v>
      </c>
      <c r="D371" s="14"/>
      <c r="F371" s="9" cm="1">
        <f t="array" ref="F371">SUMPRODUCT((Tablo3[Şehirler]=E371)*(Tablo3[Ürün Kar Tutarı]))</f>
        <v>0</v>
      </c>
      <c r="H371" s="14"/>
      <c r="J371" s="9" cm="1">
        <f t="array" ref="J371">SUMPRODUCT((Tablo3[Urun Ad]=I371)*(Tablo3[Ürün Kar Tutarı]))</f>
        <v>0</v>
      </c>
      <c r="L371" s="37"/>
    </row>
    <row r="372" spans="1:12" x14ac:dyDescent="0.25">
      <c r="A372" s="13"/>
      <c r="B372" s="9" cm="1">
        <f t="array" ref="B372">SUMPRODUCT((Tablo3[Personel Ad]=A372)*(Tablo3[Ürün Kar Tutarı]))</f>
        <v>0</v>
      </c>
      <c r="D372" s="14"/>
      <c r="F372" s="9" cm="1">
        <f t="array" ref="F372">SUMPRODUCT((Tablo3[Şehirler]=E372)*(Tablo3[Ürün Kar Tutarı]))</f>
        <v>0</v>
      </c>
      <c r="H372" s="14"/>
      <c r="J372" s="9" cm="1">
        <f t="array" ref="J372">SUMPRODUCT((Tablo3[Urun Ad]=I372)*(Tablo3[Ürün Kar Tutarı]))</f>
        <v>0</v>
      </c>
      <c r="L372" s="37"/>
    </row>
    <row r="373" spans="1:12" x14ac:dyDescent="0.25">
      <c r="A373" s="13"/>
      <c r="B373" s="9" cm="1">
        <f t="array" ref="B373">SUMPRODUCT((Tablo3[Personel Ad]=A373)*(Tablo3[Ürün Kar Tutarı]))</f>
        <v>0</v>
      </c>
      <c r="D373" s="14"/>
      <c r="F373" s="9" cm="1">
        <f t="array" ref="F373">SUMPRODUCT((Tablo3[Şehirler]=E373)*(Tablo3[Ürün Kar Tutarı]))</f>
        <v>0</v>
      </c>
      <c r="H373" s="14"/>
      <c r="J373" s="9" cm="1">
        <f t="array" ref="J373">SUMPRODUCT((Tablo3[Urun Ad]=I373)*(Tablo3[Ürün Kar Tutarı]))</f>
        <v>0</v>
      </c>
      <c r="L373" s="37"/>
    </row>
    <row r="374" spans="1:12" x14ac:dyDescent="0.25">
      <c r="A374" s="13"/>
      <c r="B374" s="9" cm="1">
        <f t="array" ref="B374">SUMPRODUCT((Tablo3[Personel Ad]=A374)*(Tablo3[Ürün Kar Tutarı]))</f>
        <v>0</v>
      </c>
      <c r="D374" s="14"/>
      <c r="F374" s="9" cm="1">
        <f t="array" ref="F374">SUMPRODUCT((Tablo3[Şehirler]=E374)*(Tablo3[Ürün Kar Tutarı]))</f>
        <v>0</v>
      </c>
      <c r="H374" s="14"/>
      <c r="J374" s="9" cm="1">
        <f t="array" ref="J374">SUMPRODUCT((Tablo3[Urun Ad]=I374)*(Tablo3[Ürün Kar Tutarı]))</f>
        <v>0</v>
      </c>
      <c r="L374" s="37"/>
    </row>
    <row r="375" spans="1:12" x14ac:dyDescent="0.25">
      <c r="A375" s="13"/>
      <c r="B375" s="9" cm="1">
        <f t="array" ref="B375">SUMPRODUCT((Tablo3[Personel Ad]=A375)*(Tablo3[Ürün Kar Tutarı]))</f>
        <v>0</v>
      </c>
      <c r="D375" s="14"/>
      <c r="F375" s="9" cm="1">
        <f t="array" ref="F375">SUMPRODUCT((Tablo3[Şehirler]=E375)*(Tablo3[Ürün Kar Tutarı]))</f>
        <v>0</v>
      </c>
      <c r="H375" s="14"/>
      <c r="J375" s="9" cm="1">
        <f t="array" ref="J375">SUMPRODUCT((Tablo3[Urun Ad]=I375)*(Tablo3[Ürün Kar Tutarı]))</f>
        <v>0</v>
      </c>
      <c r="L375" s="37"/>
    </row>
    <row r="376" spans="1:12" x14ac:dyDescent="0.25">
      <c r="A376" s="13"/>
      <c r="B376" s="9" cm="1">
        <f t="array" ref="B376">SUMPRODUCT((Tablo3[Personel Ad]=A376)*(Tablo3[Ürün Kar Tutarı]))</f>
        <v>0</v>
      </c>
      <c r="D376" s="14"/>
      <c r="F376" s="9" cm="1">
        <f t="array" ref="F376">SUMPRODUCT((Tablo3[Şehirler]=E376)*(Tablo3[Ürün Kar Tutarı]))</f>
        <v>0</v>
      </c>
      <c r="H376" s="14"/>
      <c r="J376" s="9" cm="1">
        <f t="array" ref="J376">SUMPRODUCT((Tablo3[Urun Ad]=I376)*(Tablo3[Ürün Kar Tutarı]))</f>
        <v>0</v>
      </c>
      <c r="L376" s="37"/>
    </row>
    <row r="377" spans="1:12" x14ac:dyDescent="0.25">
      <c r="A377" s="13"/>
      <c r="B377" s="9" cm="1">
        <f t="array" ref="B377">SUMPRODUCT((Tablo3[Personel Ad]=A377)*(Tablo3[Ürün Kar Tutarı]))</f>
        <v>0</v>
      </c>
      <c r="D377" s="14"/>
      <c r="F377" s="9" cm="1">
        <f t="array" ref="F377">SUMPRODUCT((Tablo3[Şehirler]=E377)*(Tablo3[Ürün Kar Tutarı]))</f>
        <v>0</v>
      </c>
      <c r="H377" s="14"/>
      <c r="J377" s="9" cm="1">
        <f t="array" ref="J377">SUMPRODUCT((Tablo3[Urun Ad]=I377)*(Tablo3[Ürün Kar Tutarı]))</f>
        <v>0</v>
      </c>
      <c r="L377" s="37"/>
    </row>
    <row r="378" spans="1:12" x14ac:dyDescent="0.25">
      <c r="A378" s="13"/>
      <c r="B378" s="9" cm="1">
        <f t="array" ref="B378">SUMPRODUCT((Tablo3[Personel Ad]=A378)*(Tablo3[Ürün Kar Tutarı]))</f>
        <v>0</v>
      </c>
      <c r="D378" s="14"/>
      <c r="F378" s="9" cm="1">
        <f t="array" ref="F378">SUMPRODUCT((Tablo3[Şehirler]=E378)*(Tablo3[Ürün Kar Tutarı]))</f>
        <v>0</v>
      </c>
      <c r="H378" s="14"/>
      <c r="J378" s="9" cm="1">
        <f t="array" ref="J378">SUMPRODUCT((Tablo3[Urun Ad]=I378)*(Tablo3[Ürün Kar Tutarı]))</f>
        <v>0</v>
      </c>
      <c r="L378" s="37"/>
    </row>
    <row r="379" spans="1:12" x14ac:dyDescent="0.25">
      <c r="A379" s="13"/>
      <c r="B379" s="9" cm="1">
        <f t="array" ref="B379">SUMPRODUCT((Tablo3[Personel Ad]=A379)*(Tablo3[Ürün Kar Tutarı]))</f>
        <v>0</v>
      </c>
      <c r="D379" s="14"/>
      <c r="F379" s="9" cm="1">
        <f t="array" ref="F379">SUMPRODUCT((Tablo3[Şehirler]=E379)*(Tablo3[Ürün Kar Tutarı]))</f>
        <v>0</v>
      </c>
      <c r="H379" s="14"/>
      <c r="J379" s="9" cm="1">
        <f t="array" ref="J379">SUMPRODUCT((Tablo3[Urun Ad]=I379)*(Tablo3[Ürün Kar Tutarı]))</f>
        <v>0</v>
      </c>
      <c r="L379" s="37"/>
    </row>
    <row r="380" spans="1:12" x14ac:dyDescent="0.25">
      <c r="A380" s="13"/>
      <c r="B380" s="9" cm="1">
        <f t="array" ref="B380">SUMPRODUCT((Tablo3[Personel Ad]=A380)*(Tablo3[Ürün Kar Tutarı]))</f>
        <v>0</v>
      </c>
      <c r="D380" s="14"/>
      <c r="F380" s="9" cm="1">
        <f t="array" ref="F380">SUMPRODUCT((Tablo3[Şehirler]=E380)*(Tablo3[Ürün Kar Tutarı]))</f>
        <v>0</v>
      </c>
      <c r="H380" s="14"/>
      <c r="J380" s="9" cm="1">
        <f t="array" ref="J380">SUMPRODUCT((Tablo3[Urun Ad]=I380)*(Tablo3[Ürün Kar Tutarı]))</f>
        <v>0</v>
      </c>
      <c r="L380" s="37"/>
    </row>
    <row r="381" spans="1:12" x14ac:dyDescent="0.25">
      <c r="A381" s="13"/>
      <c r="B381" s="9" cm="1">
        <f t="array" ref="B381">SUMPRODUCT((Tablo3[Personel Ad]=A381)*(Tablo3[Ürün Kar Tutarı]))</f>
        <v>0</v>
      </c>
      <c r="D381" s="14"/>
      <c r="F381" s="9" cm="1">
        <f t="array" ref="F381">SUMPRODUCT((Tablo3[Şehirler]=E381)*(Tablo3[Ürün Kar Tutarı]))</f>
        <v>0</v>
      </c>
      <c r="H381" s="14"/>
      <c r="J381" s="9" cm="1">
        <f t="array" ref="J381">SUMPRODUCT((Tablo3[Urun Ad]=I381)*(Tablo3[Ürün Kar Tutarı]))</f>
        <v>0</v>
      </c>
      <c r="L381" s="37"/>
    </row>
    <row r="382" spans="1:12" x14ac:dyDescent="0.25">
      <c r="A382" s="13"/>
      <c r="B382" s="9" cm="1">
        <f t="array" ref="B382">SUMPRODUCT((Tablo3[Personel Ad]=A382)*(Tablo3[Ürün Kar Tutarı]))</f>
        <v>0</v>
      </c>
      <c r="D382" s="14"/>
      <c r="F382" s="9" cm="1">
        <f t="array" ref="F382">SUMPRODUCT((Tablo3[Şehirler]=E382)*(Tablo3[Ürün Kar Tutarı]))</f>
        <v>0</v>
      </c>
      <c r="H382" s="14"/>
      <c r="J382" s="9" cm="1">
        <f t="array" ref="J382">SUMPRODUCT((Tablo3[Urun Ad]=I382)*(Tablo3[Ürün Kar Tutarı]))</f>
        <v>0</v>
      </c>
      <c r="L382" s="37"/>
    </row>
    <row r="383" spans="1:12" x14ac:dyDescent="0.25">
      <c r="A383" s="13"/>
      <c r="B383" s="9" cm="1">
        <f t="array" ref="B383">SUMPRODUCT((Tablo3[Personel Ad]=A383)*(Tablo3[Ürün Kar Tutarı]))</f>
        <v>0</v>
      </c>
      <c r="D383" s="14"/>
      <c r="F383" s="9" cm="1">
        <f t="array" ref="F383">SUMPRODUCT((Tablo3[Şehirler]=E383)*(Tablo3[Ürün Kar Tutarı]))</f>
        <v>0</v>
      </c>
      <c r="H383" s="14"/>
      <c r="J383" s="9" cm="1">
        <f t="array" ref="J383">SUMPRODUCT((Tablo3[Urun Ad]=I383)*(Tablo3[Ürün Kar Tutarı]))</f>
        <v>0</v>
      </c>
      <c r="L383" s="37"/>
    </row>
    <row r="384" spans="1:12" x14ac:dyDescent="0.25">
      <c r="A384" s="13"/>
      <c r="B384" s="9" cm="1">
        <f t="array" ref="B384">SUMPRODUCT((Tablo3[Personel Ad]=A384)*(Tablo3[Ürün Kar Tutarı]))</f>
        <v>0</v>
      </c>
      <c r="D384" s="14"/>
      <c r="F384" s="9" cm="1">
        <f t="array" ref="F384">SUMPRODUCT((Tablo3[Şehirler]=E384)*(Tablo3[Ürün Kar Tutarı]))</f>
        <v>0</v>
      </c>
      <c r="H384" s="14"/>
      <c r="J384" s="9" cm="1">
        <f t="array" ref="J384">SUMPRODUCT((Tablo3[Urun Ad]=I384)*(Tablo3[Ürün Kar Tutarı]))</f>
        <v>0</v>
      </c>
      <c r="L384" s="37"/>
    </row>
    <row r="385" spans="1:12" x14ac:dyDescent="0.25">
      <c r="A385" s="13"/>
      <c r="B385" s="9" cm="1">
        <f t="array" ref="B385">SUMPRODUCT((Tablo3[Personel Ad]=A385)*(Tablo3[Ürün Kar Tutarı]))</f>
        <v>0</v>
      </c>
      <c r="D385" s="14"/>
      <c r="F385" s="9" cm="1">
        <f t="array" ref="F385">SUMPRODUCT((Tablo3[Şehirler]=E385)*(Tablo3[Ürün Kar Tutarı]))</f>
        <v>0</v>
      </c>
      <c r="H385" s="14"/>
      <c r="J385" s="9" cm="1">
        <f t="array" ref="J385">SUMPRODUCT((Tablo3[Urun Ad]=I385)*(Tablo3[Ürün Kar Tutarı]))</f>
        <v>0</v>
      </c>
      <c r="L385" s="37"/>
    </row>
    <row r="386" spans="1:12" x14ac:dyDescent="0.25">
      <c r="A386" s="13"/>
      <c r="B386" s="9" cm="1">
        <f t="array" ref="B386">SUMPRODUCT((Tablo3[Personel Ad]=A386)*(Tablo3[Ürün Kar Tutarı]))</f>
        <v>0</v>
      </c>
      <c r="D386" s="14"/>
      <c r="F386" s="9" cm="1">
        <f t="array" ref="F386">SUMPRODUCT((Tablo3[Şehirler]=E386)*(Tablo3[Ürün Kar Tutarı]))</f>
        <v>0</v>
      </c>
      <c r="H386" s="14"/>
      <c r="J386" s="9" cm="1">
        <f t="array" ref="J386">SUMPRODUCT((Tablo3[Urun Ad]=I386)*(Tablo3[Ürün Kar Tutarı]))</f>
        <v>0</v>
      </c>
      <c r="L386" s="37"/>
    </row>
    <row r="387" spans="1:12" x14ac:dyDescent="0.25">
      <c r="A387" s="13"/>
      <c r="B387" s="9" cm="1">
        <f t="array" ref="B387">SUMPRODUCT((Tablo3[Personel Ad]=A387)*(Tablo3[Ürün Kar Tutarı]))</f>
        <v>0</v>
      </c>
      <c r="D387" s="14"/>
      <c r="F387" s="9" cm="1">
        <f t="array" ref="F387">SUMPRODUCT((Tablo3[Şehirler]=E387)*(Tablo3[Ürün Kar Tutarı]))</f>
        <v>0</v>
      </c>
      <c r="H387" s="14"/>
      <c r="J387" s="9" cm="1">
        <f t="array" ref="J387">SUMPRODUCT((Tablo3[Urun Ad]=I387)*(Tablo3[Ürün Kar Tutarı]))</f>
        <v>0</v>
      </c>
      <c r="L387" s="37"/>
    </row>
    <row r="388" spans="1:12" x14ac:dyDescent="0.25">
      <c r="A388" s="13"/>
      <c r="B388" s="9" cm="1">
        <f t="array" ref="B388">SUMPRODUCT((Tablo3[Personel Ad]=A388)*(Tablo3[Ürün Kar Tutarı]))</f>
        <v>0</v>
      </c>
      <c r="D388" s="14"/>
      <c r="F388" s="9" cm="1">
        <f t="array" ref="F388">SUMPRODUCT((Tablo3[Şehirler]=E388)*(Tablo3[Ürün Kar Tutarı]))</f>
        <v>0</v>
      </c>
      <c r="H388" s="14"/>
      <c r="J388" s="9" cm="1">
        <f t="array" ref="J388">SUMPRODUCT((Tablo3[Urun Ad]=I388)*(Tablo3[Ürün Kar Tutarı]))</f>
        <v>0</v>
      </c>
      <c r="L388" s="37"/>
    </row>
    <row r="389" spans="1:12" x14ac:dyDescent="0.25">
      <c r="A389" s="13"/>
      <c r="B389" s="9" cm="1">
        <f t="array" ref="B389">SUMPRODUCT((Tablo3[Personel Ad]=A389)*(Tablo3[Ürün Kar Tutarı]))</f>
        <v>0</v>
      </c>
      <c r="D389" s="14"/>
      <c r="F389" s="9" cm="1">
        <f t="array" ref="F389">SUMPRODUCT((Tablo3[Şehirler]=E389)*(Tablo3[Ürün Kar Tutarı]))</f>
        <v>0</v>
      </c>
      <c r="H389" s="14"/>
      <c r="J389" s="9" cm="1">
        <f t="array" ref="J389">SUMPRODUCT((Tablo3[Urun Ad]=I389)*(Tablo3[Ürün Kar Tutarı]))</f>
        <v>0</v>
      </c>
      <c r="L389" s="37"/>
    </row>
    <row r="390" spans="1:12" x14ac:dyDescent="0.25">
      <c r="A390" s="13"/>
      <c r="B390" s="9" cm="1">
        <f t="array" ref="B390">SUMPRODUCT((Tablo3[Personel Ad]=A390)*(Tablo3[Ürün Kar Tutarı]))</f>
        <v>0</v>
      </c>
      <c r="D390" s="14"/>
      <c r="F390" s="9" cm="1">
        <f t="array" ref="F390">SUMPRODUCT((Tablo3[Şehirler]=E390)*(Tablo3[Ürün Kar Tutarı]))</f>
        <v>0</v>
      </c>
      <c r="H390" s="14"/>
      <c r="J390" s="9" cm="1">
        <f t="array" ref="J390">SUMPRODUCT((Tablo3[Urun Ad]=I390)*(Tablo3[Ürün Kar Tutarı]))</f>
        <v>0</v>
      </c>
      <c r="L390" s="37"/>
    </row>
    <row r="391" spans="1:12" x14ac:dyDescent="0.25">
      <c r="A391" s="13"/>
      <c r="B391" s="9" cm="1">
        <f t="array" ref="B391">SUMPRODUCT((Tablo3[Personel Ad]=A391)*(Tablo3[Ürün Kar Tutarı]))</f>
        <v>0</v>
      </c>
      <c r="D391" s="14"/>
      <c r="F391" s="9" cm="1">
        <f t="array" ref="F391">SUMPRODUCT((Tablo3[Şehirler]=E391)*(Tablo3[Ürün Kar Tutarı]))</f>
        <v>0</v>
      </c>
      <c r="H391" s="14"/>
      <c r="J391" s="9" cm="1">
        <f t="array" ref="J391">SUMPRODUCT((Tablo3[Urun Ad]=I391)*(Tablo3[Ürün Kar Tutarı]))</f>
        <v>0</v>
      </c>
      <c r="L391" s="37"/>
    </row>
    <row r="392" spans="1:12" x14ac:dyDescent="0.25">
      <c r="A392" s="13"/>
      <c r="B392" s="9" cm="1">
        <f t="array" ref="B392">SUMPRODUCT((Tablo3[Personel Ad]=A392)*(Tablo3[Ürün Kar Tutarı]))</f>
        <v>0</v>
      </c>
      <c r="D392" s="14"/>
      <c r="F392" s="9" cm="1">
        <f t="array" ref="F392">SUMPRODUCT((Tablo3[Şehirler]=E392)*(Tablo3[Ürün Kar Tutarı]))</f>
        <v>0</v>
      </c>
      <c r="H392" s="14"/>
      <c r="J392" s="9" cm="1">
        <f t="array" ref="J392">SUMPRODUCT((Tablo3[Urun Ad]=I392)*(Tablo3[Ürün Kar Tutarı]))</f>
        <v>0</v>
      </c>
      <c r="L392" s="37"/>
    </row>
    <row r="393" spans="1:12" x14ac:dyDescent="0.25">
      <c r="A393" s="13"/>
      <c r="B393" s="9" cm="1">
        <f t="array" ref="B393">SUMPRODUCT((Tablo3[Personel Ad]=A393)*(Tablo3[Ürün Kar Tutarı]))</f>
        <v>0</v>
      </c>
      <c r="D393" s="14"/>
      <c r="F393" s="9" cm="1">
        <f t="array" ref="F393">SUMPRODUCT((Tablo3[Şehirler]=E393)*(Tablo3[Ürün Kar Tutarı]))</f>
        <v>0</v>
      </c>
      <c r="H393" s="14"/>
      <c r="J393" s="9" cm="1">
        <f t="array" ref="J393">SUMPRODUCT((Tablo3[Urun Ad]=I393)*(Tablo3[Ürün Kar Tutarı]))</f>
        <v>0</v>
      </c>
      <c r="L393" s="37"/>
    </row>
    <row r="394" spans="1:12" x14ac:dyDescent="0.25">
      <c r="A394" s="13"/>
      <c r="B394" s="9" cm="1">
        <f t="array" ref="B394">SUMPRODUCT((Tablo3[Personel Ad]=A394)*(Tablo3[Ürün Kar Tutarı]))</f>
        <v>0</v>
      </c>
      <c r="D394" s="14"/>
      <c r="F394" s="9" cm="1">
        <f t="array" ref="F394">SUMPRODUCT((Tablo3[Şehirler]=E394)*(Tablo3[Ürün Kar Tutarı]))</f>
        <v>0</v>
      </c>
      <c r="H394" s="14"/>
      <c r="J394" s="9" cm="1">
        <f t="array" ref="J394">SUMPRODUCT((Tablo3[Urun Ad]=I394)*(Tablo3[Ürün Kar Tutarı]))</f>
        <v>0</v>
      </c>
      <c r="L394" s="37"/>
    </row>
    <row r="395" spans="1:12" x14ac:dyDescent="0.25">
      <c r="A395" s="13"/>
      <c r="B395" s="9" cm="1">
        <f t="array" ref="B395">SUMPRODUCT((Tablo3[Personel Ad]=A395)*(Tablo3[Ürün Kar Tutarı]))</f>
        <v>0</v>
      </c>
      <c r="D395" s="14"/>
      <c r="F395" s="9" cm="1">
        <f t="array" ref="F395">SUMPRODUCT((Tablo3[Şehirler]=E395)*(Tablo3[Ürün Kar Tutarı]))</f>
        <v>0</v>
      </c>
      <c r="H395" s="14"/>
      <c r="J395" s="9" cm="1">
        <f t="array" ref="J395">SUMPRODUCT((Tablo3[Urun Ad]=I395)*(Tablo3[Ürün Kar Tutarı]))</f>
        <v>0</v>
      </c>
      <c r="L395" s="37"/>
    </row>
    <row r="396" spans="1:12" x14ac:dyDescent="0.25">
      <c r="A396" s="13"/>
      <c r="B396" s="9" cm="1">
        <f t="array" ref="B396">SUMPRODUCT((Tablo3[Personel Ad]=A396)*(Tablo3[Ürün Kar Tutarı]))</f>
        <v>0</v>
      </c>
      <c r="D396" s="14"/>
      <c r="F396" s="9" cm="1">
        <f t="array" ref="F396">SUMPRODUCT((Tablo3[Şehirler]=E396)*(Tablo3[Ürün Kar Tutarı]))</f>
        <v>0</v>
      </c>
      <c r="H396" s="14"/>
      <c r="J396" s="9" cm="1">
        <f t="array" ref="J396">SUMPRODUCT((Tablo3[Urun Ad]=I396)*(Tablo3[Ürün Kar Tutarı]))</f>
        <v>0</v>
      </c>
      <c r="L396" s="37"/>
    </row>
    <row r="397" spans="1:12" x14ac:dyDescent="0.25">
      <c r="A397" s="13"/>
      <c r="B397" s="9" cm="1">
        <f t="array" ref="B397">SUMPRODUCT((Tablo3[Personel Ad]=A397)*(Tablo3[Ürün Kar Tutarı]))</f>
        <v>0</v>
      </c>
      <c r="D397" s="14"/>
      <c r="F397" s="9" cm="1">
        <f t="array" ref="F397">SUMPRODUCT((Tablo3[Şehirler]=E397)*(Tablo3[Ürün Kar Tutarı]))</f>
        <v>0</v>
      </c>
      <c r="H397" s="14"/>
      <c r="J397" s="9" cm="1">
        <f t="array" ref="J397">SUMPRODUCT((Tablo3[Urun Ad]=I397)*(Tablo3[Ürün Kar Tutarı]))</f>
        <v>0</v>
      </c>
      <c r="L397" s="37"/>
    </row>
    <row r="398" spans="1:12" x14ac:dyDescent="0.25">
      <c r="A398" s="13"/>
      <c r="B398" s="9" cm="1">
        <f t="array" ref="B398">SUMPRODUCT((Tablo3[Personel Ad]=A398)*(Tablo3[Ürün Kar Tutarı]))</f>
        <v>0</v>
      </c>
      <c r="D398" s="14"/>
      <c r="F398" s="9" cm="1">
        <f t="array" ref="F398">SUMPRODUCT((Tablo3[Şehirler]=E398)*(Tablo3[Ürün Kar Tutarı]))</f>
        <v>0</v>
      </c>
      <c r="H398" s="14"/>
      <c r="J398" s="9" cm="1">
        <f t="array" ref="J398">SUMPRODUCT((Tablo3[Urun Ad]=I398)*(Tablo3[Ürün Kar Tutarı]))</f>
        <v>0</v>
      </c>
      <c r="L398" s="37"/>
    </row>
    <row r="399" spans="1:12" x14ac:dyDescent="0.25">
      <c r="A399" s="13"/>
      <c r="B399" s="9" cm="1">
        <f t="array" ref="B399">SUMPRODUCT((Tablo3[Personel Ad]=A399)*(Tablo3[Ürün Kar Tutarı]))</f>
        <v>0</v>
      </c>
      <c r="D399" s="14"/>
      <c r="F399" s="9" cm="1">
        <f t="array" ref="F399">SUMPRODUCT((Tablo3[Şehirler]=E399)*(Tablo3[Ürün Kar Tutarı]))</f>
        <v>0</v>
      </c>
      <c r="H399" s="14"/>
      <c r="J399" s="9" cm="1">
        <f t="array" ref="J399">SUMPRODUCT((Tablo3[Urun Ad]=I399)*(Tablo3[Ürün Kar Tutarı]))</f>
        <v>0</v>
      </c>
      <c r="L399" s="37"/>
    </row>
    <row r="400" spans="1:12" x14ac:dyDescent="0.25">
      <c r="A400" s="13"/>
      <c r="B400" s="9" cm="1">
        <f t="array" ref="B400">SUMPRODUCT((Tablo3[Personel Ad]=A400)*(Tablo3[Ürün Kar Tutarı]))</f>
        <v>0</v>
      </c>
      <c r="D400" s="14"/>
      <c r="F400" s="9" cm="1">
        <f t="array" ref="F400">SUMPRODUCT((Tablo3[Şehirler]=E400)*(Tablo3[Ürün Kar Tutarı]))</f>
        <v>0</v>
      </c>
      <c r="H400" s="14"/>
      <c r="J400" s="9" cm="1">
        <f t="array" ref="J400">SUMPRODUCT((Tablo3[Urun Ad]=I400)*(Tablo3[Ürün Kar Tutarı]))</f>
        <v>0</v>
      </c>
      <c r="L400" s="37"/>
    </row>
    <row r="401" spans="1:12" x14ac:dyDescent="0.25">
      <c r="A401" s="13"/>
      <c r="B401" s="9" cm="1">
        <f t="array" ref="B401">SUMPRODUCT((Tablo3[Personel Ad]=A401)*(Tablo3[Ürün Kar Tutarı]))</f>
        <v>0</v>
      </c>
      <c r="D401" s="14"/>
      <c r="F401" s="9" cm="1">
        <f t="array" ref="F401">SUMPRODUCT((Tablo3[Şehirler]=E401)*(Tablo3[Ürün Kar Tutarı]))</f>
        <v>0</v>
      </c>
      <c r="H401" s="14"/>
      <c r="J401" s="9" cm="1">
        <f t="array" ref="J401">SUMPRODUCT((Tablo3[Urun Ad]=I401)*(Tablo3[Ürün Kar Tutarı]))</f>
        <v>0</v>
      </c>
      <c r="L401" s="37"/>
    </row>
    <row r="402" spans="1:12" x14ac:dyDescent="0.25">
      <c r="A402" s="13"/>
      <c r="B402" s="9" cm="1">
        <f t="array" ref="B402">SUMPRODUCT((Tablo3[Personel Ad]=A402)*(Tablo3[Ürün Kar Tutarı]))</f>
        <v>0</v>
      </c>
      <c r="D402" s="14"/>
      <c r="F402" s="9" cm="1">
        <f t="array" ref="F402">SUMPRODUCT((Tablo3[Şehirler]=E402)*(Tablo3[Ürün Kar Tutarı]))</f>
        <v>0</v>
      </c>
      <c r="H402" s="14"/>
      <c r="J402" s="9" cm="1">
        <f t="array" ref="J402">SUMPRODUCT((Tablo3[Urun Ad]=I402)*(Tablo3[Ürün Kar Tutarı]))</f>
        <v>0</v>
      </c>
      <c r="L402" s="37"/>
    </row>
    <row r="403" spans="1:12" x14ac:dyDescent="0.25">
      <c r="A403" s="13"/>
      <c r="B403" s="9" cm="1">
        <f t="array" ref="B403">SUMPRODUCT((Tablo3[Personel Ad]=A403)*(Tablo3[Ürün Kar Tutarı]))</f>
        <v>0</v>
      </c>
      <c r="D403" s="14"/>
      <c r="F403" s="9" cm="1">
        <f t="array" ref="F403">SUMPRODUCT((Tablo3[Şehirler]=E403)*(Tablo3[Ürün Kar Tutarı]))</f>
        <v>0</v>
      </c>
      <c r="H403" s="14"/>
      <c r="J403" s="9" cm="1">
        <f t="array" ref="J403">SUMPRODUCT((Tablo3[Urun Ad]=I403)*(Tablo3[Ürün Kar Tutarı]))</f>
        <v>0</v>
      </c>
      <c r="L403" s="37"/>
    </row>
    <row r="404" spans="1:12" x14ac:dyDescent="0.25">
      <c r="A404" s="13"/>
      <c r="B404" s="9" cm="1">
        <f t="array" ref="B404">SUMPRODUCT((Tablo3[Personel Ad]=A404)*(Tablo3[Ürün Kar Tutarı]))</f>
        <v>0</v>
      </c>
      <c r="D404" s="14"/>
      <c r="F404" s="9" cm="1">
        <f t="array" ref="F404">SUMPRODUCT((Tablo3[Şehirler]=E404)*(Tablo3[Ürün Kar Tutarı]))</f>
        <v>0</v>
      </c>
      <c r="H404" s="14"/>
      <c r="J404" s="9" cm="1">
        <f t="array" ref="J404">SUMPRODUCT((Tablo3[Urun Ad]=I404)*(Tablo3[Ürün Kar Tutarı]))</f>
        <v>0</v>
      </c>
      <c r="L404" s="37"/>
    </row>
    <row r="405" spans="1:12" x14ac:dyDescent="0.25">
      <c r="A405" s="13"/>
      <c r="B405" s="9" cm="1">
        <f t="array" ref="B405">SUMPRODUCT((Tablo3[Personel Ad]=A405)*(Tablo3[Ürün Kar Tutarı]))</f>
        <v>0</v>
      </c>
      <c r="D405" s="14"/>
      <c r="F405" s="9" cm="1">
        <f t="array" ref="F405">SUMPRODUCT((Tablo3[Şehirler]=E405)*(Tablo3[Ürün Kar Tutarı]))</f>
        <v>0</v>
      </c>
      <c r="H405" s="14"/>
      <c r="J405" s="9" cm="1">
        <f t="array" ref="J405">SUMPRODUCT((Tablo3[Urun Ad]=I405)*(Tablo3[Ürün Kar Tutarı]))</f>
        <v>0</v>
      </c>
      <c r="L405" s="37"/>
    </row>
    <row r="406" spans="1:12" x14ac:dyDescent="0.25">
      <c r="A406" s="13"/>
      <c r="B406" s="9" cm="1">
        <f t="array" ref="B406">SUMPRODUCT((Tablo3[Personel Ad]=A406)*(Tablo3[Ürün Kar Tutarı]))</f>
        <v>0</v>
      </c>
      <c r="D406" s="14"/>
      <c r="F406" s="9" cm="1">
        <f t="array" ref="F406">SUMPRODUCT((Tablo3[Şehirler]=E406)*(Tablo3[Ürün Kar Tutarı]))</f>
        <v>0</v>
      </c>
      <c r="H406" s="14"/>
      <c r="J406" s="9" cm="1">
        <f t="array" ref="J406">SUMPRODUCT((Tablo3[Urun Ad]=I406)*(Tablo3[Ürün Kar Tutarı]))</f>
        <v>0</v>
      </c>
      <c r="L406" s="37"/>
    </row>
    <row r="407" spans="1:12" x14ac:dyDescent="0.25">
      <c r="A407" s="13"/>
      <c r="B407" s="9" cm="1">
        <f t="array" ref="B407">SUMPRODUCT((Tablo3[Personel Ad]=A407)*(Tablo3[Ürün Kar Tutarı]))</f>
        <v>0</v>
      </c>
      <c r="D407" s="14"/>
      <c r="F407" s="9" cm="1">
        <f t="array" ref="F407">SUMPRODUCT((Tablo3[Şehirler]=E407)*(Tablo3[Ürün Kar Tutarı]))</f>
        <v>0</v>
      </c>
      <c r="H407" s="14"/>
      <c r="J407" s="9" cm="1">
        <f t="array" ref="J407">SUMPRODUCT((Tablo3[Urun Ad]=I407)*(Tablo3[Ürün Kar Tutarı]))</f>
        <v>0</v>
      </c>
      <c r="L407" s="37"/>
    </row>
    <row r="408" spans="1:12" x14ac:dyDescent="0.25">
      <c r="A408" s="13"/>
      <c r="B408" s="9" cm="1">
        <f t="array" ref="B408">SUMPRODUCT((Tablo3[Personel Ad]=A408)*(Tablo3[Ürün Kar Tutarı]))</f>
        <v>0</v>
      </c>
      <c r="D408" s="14"/>
      <c r="F408" s="9" cm="1">
        <f t="array" ref="F408">SUMPRODUCT((Tablo3[Şehirler]=E408)*(Tablo3[Ürün Kar Tutarı]))</f>
        <v>0</v>
      </c>
      <c r="H408" s="14"/>
      <c r="J408" s="9" cm="1">
        <f t="array" ref="J408">SUMPRODUCT((Tablo3[Urun Ad]=I408)*(Tablo3[Ürün Kar Tutarı]))</f>
        <v>0</v>
      </c>
      <c r="L408" s="37"/>
    </row>
    <row r="409" spans="1:12" x14ac:dyDescent="0.25">
      <c r="A409" s="13"/>
      <c r="B409" s="9" cm="1">
        <f t="array" ref="B409">SUMPRODUCT((Tablo3[Personel Ad]=A409)*(Tablo3[Ürün Kar Tutarı]))</f>
        <v>0</v>
      </c>
      <c r="D409" s="14"/>
      <c r="F409" s="9" cm="1">
        <f t="array" ref="F409">SUMPRODUCT((Tablo3[Şehirler]=E409)*(Tablo3[Ürün Kar Tutarı]))</f>
        <v>0</v>
      </c>
      <c r="H409" s="14"/>
      <c r="J409" s="9" cm="1">
        <f t="array" ref="J409">SUMPRODUCT((Tablo3[Urun Ad]=I409)*(Tablo3[Ürün Kar Tutarı]))</f>
        <v>0</v>
      </c>
      <c r="L409" s="37"/>
    </row>
    <row r="410" spans="1:12" x14ac:dyDescent="0.25">
      <c r="A410" s="13"/>
      <c r="B410" s="9" cm="1">
        <f t="array" ref="B410">SUMPRODUCT((Tablo3[Personel Ad]=A410)*(Tablo3[Ürün Kar Tutarı]))</f>
        <v>0</v>
      </c>
      <c r="D410" s="14"/>
      <c r="F410" s="9" cm="1">
        <f t="array" ref="F410">SUMPRODUCT((Tablo3[Şehirler]=E410)*(Tablo3[Ürün Kar Tutarı]))</f>
        <v>0</v>
      </c>
      <c r="H410" s="14"/>
      <c r="J410" s="9" cm="1">
        <f t="array" ref="J410">SUMPRODUCT((Tablo3[Urun Ad]=I410)*(Tablo3[Ürün Kar Tutarı]))</f>
        <v>0</v>
      </c>
      <c r="L410" s="37"/>
    </row>
    <row r="411" spans="1:12" x14ac:dyDescent="0.25">
      <c r="A411" s="13"/>
      <c r="B411" s="9" cm="1">
        <f t="array" ref="B411">SUMPRODUCT((Tablo3[Personel Ad]=A411)*(Tablo3[Ürün Kar Tutarı]))</f>
        <v>0</v>
      </c>
      <c r="D411" s="14"/>
      <c r="F411" s="9" cm="1">
        <f t="array" ref="F411">SUMPRODUCT((Tablo3[Şehirler]=E411)*(Tablo3[Ürün Kar Tutarı]))</f>
        <v>0</v>
      </c>
      <c r="H411" s="14"/>
      <c r="J411" s="9" cm="1">
        <f t="array" ref="J411">SUMPRODUCT((Tablo3[Urun Ad]=I411)*(Tablo3[Ürün Kar Tutarı]))</f>
        <v>0</v>
      </c>
      <c r="L411" s="37"/>
    </row>
    <row r="412" spans="1:12" x14ac:dyDescent="0.25">
      <c r="A412" s="13"/>
      <c r="B412" s="9" cm="1">
        <f t="array" ref="B412">SUMPRODUCT((Tablo3[Personel Ad]=A412)*(Tablo3[Ürün Kar Tutarı]))</f>
        <v>0</v>
      </c>
      <c r="D412" s="14"/>
      <c r="F412" s="9" cm="1">
        <f t="array" ref="F412">SUMPRODUCT((Tablo3[Şehirler]=E412)*(Tablo3[Ürün Kar Tutarı]))</f>
        <v>0</v>
      </c>
      <c r="H412" s="14"/>
      <c r="J412" s="9" cm="1">
        <f t="array" ref="J412">SUMPRODUCT((Tablo3[Urun Ad]=I412)*(Tablo3[Ürün Kar Tutarı]))</f>
        <v>0</v>
      </c>
      <c r="L412" s="37"/>
    </row>
    <row r="413" spans="1:12" x14ac:dyDescent="0.25">
      <c r="A413" s="13"/>
      <c r="B413" s="9" cm="1">
        <f t="array" ref="B413">SUMPRODUCT((Tablo3[Personel Ad]=A413)*(Tablo3[Ürün Kar Tutarı]))</f>
        <v>0</v>
      </c>
      <c r="D413" s="14"/>
      <c r="F413" s="9" cm="1">
        <f t="array" ref="F413">SUMPRODUCT((Tablo3[Şehirler]=E413)*(Tablo3[Ürün Kar Tutarı]))</f>
        <v>0</v>
      </c>
      <c r="H413" s="14"/>
      <c r="J413" s="9" cm="1">
        <f t="array" ref="J413">SUMPRODUCT((Tablo3[Urun Ad]=I413)*(Tablo3[Ürün Kar Tutarı]))</f>
        <v>0</v>
      </c>
      <c r="L413" s="37"/>
    </row>
    <row r="414" spans="1:12" x14ac:dyDescent="0.25">
      <c r="A414" s="13"/>
      <c r="B414" s="9" cm="1">
        <f t="array" ref="B414">SUMPRODUCT((Tablo3[Personel Ad]=A414)*(Tablo3[Ürün Kar Tutarı]))</f>
        <v>0</v>
      </c>
      <c r="D414" s="14"/>
      <c r="F414" s="9" cm="1">
        <f t="array" ref="F414">SUMPRODUCT((Tablo3[Şehirler]=E414)*(Tablo3[Ürün Kar Tutarı]))</f>
        <v>0</v>
      </c>
      <c r="H414" s="14"/>
      <c r="J414" s="9" cm="1">
        <f t="array" ref="J414">SUMPRODUCT((Tablo3[Urun Ad]=I414)*(Tablo3[Ürün Kar Tutarı]))</f>
        <v>0</v>
      </c>
      <c r="L414" s="37"/>
    </row>
    <row r="415" spans="1:12" x14ac:dyDescent="0.25">
      <c r="A415" s="13"/>
      <c r="B415" s="9" cm="1">
        <f t="array" ref="B415">SUMPRODUCT((Tablo3[Personel Ad]=A415)*(Tablo3[Ürün Kar Tutarı]))</f>
        <v>0</v>
      </c>
      <c r="D415" s="14"/>
      <c r="F415" s="9" cm="1">
        <f t="array" ref="F415">SUMPRODUCT((Tablo3[Şehirler]=E415)*(Tablo3[Ürün Kar Tutarı]))</f>
        <v>0</v>
      </c>
      <c r="H415" s="14"/>
      <c r="J415" s="9" cm="1">
        <f t="array" ref="J415">SUMPRODUCT((Tablo3[Urun Ad]=I415)*(Tablo3[Ürün Kar Tutarı]))</f>
        <v>0</v>
      </c>
      <c r="L415" s="37"/>
    </row>
    <row r="416" spans="1:12" x14ac:dyDescent="0.25">
      <c r="A416" s="13"/>
      <c r="B416" s="9" cm="1">
        <f t="array" ref="B416">SUMPRODUCT((Tablo3[Personel Ad]=A416)*(Tablo3[Ürün Kar Tutarı]))</f>
        <v>0</v>
      </c>
      <c r="D416" s="14"/>
      <c r="F416" s="9" cm="1">
        <f t="array" ref="F416">SUMPRODUCT((Tablo3[Şehirler]=E416)*(Tablo3[Ürün Kar Tutarı]))</f>
        <v>0</v>
      </c>
      <c r="H416" s="14"/>
      <c r="J416" s="9" cm="1">
        <f t="array" ref="J416">SUMPRODUCT((Tablo3[Urun Ad]=I416)*(Tablo3[Ürün Kar Tutarı]))</f>
        <v>0</v>
      </c>
      <c r="L416" s="37"/>
    </row>
    <row r="417" spans="1:12" x14ac:dyDescent="0.25">
      <c r="A417" s="13"/>
      <c r="B417" s="9" cm="1">
        <f t="array" ref="B417">SUMPRODUCT((Tablo3[Personel Ad]=A417)*(Tablo3[Ürün Kar Tutarı]))</f>
        <v>0</v>
      </c>
      <c r="D417" s="14"/>
      <c r="F417" s="9" cm="1">
        <f t="array" ref="F417">SUMPRODUCT((Tablo3[Şehirler]=E417)*(Tablo3[Ürün Kar Tutarı]))</f>
        <v>0</v>
      </c>
      <c r="H417" s="14"/>
      <c r="J417" s="9" cm="1">
        <f t="array" ref="J417">SUMPRODUCT((Tablo3[Urun Ad]=I417)*(Tablo3[Ürün Kar Tutarı]))</f>
        <v>0</v>
      </c>
      <c r="L417" s="37"/>
    </row>
    <row r="418" spans="1:12" x14ac:dyDescent="0.25">
      <c r="A418" s="13"/>
      <c r="B418" s="9" cm="1">
        <f t="array" ref="B418">SUMPRODUCT((Tablo3[Personel Ad]=A418)*(Tablo3[Ürün Kar Tutarı]))</f>
        <v>0</v>
      </c>
      <c r="D418" s="14"/>
      <c r="F418" s="9" cm="1">
        <f t="array" ref="F418">SUMPRODUCT((Tablo3[Şehirler]=E418)*(Tablo3[Ürün Kar Tutarı]))</f>
        <v>0</v>
      </c>
      <c r="H418" s="14"/>
      <c r="J418" s="9" cm="1">
        <f t="array" ref="J418">SUMPRODUCT((Tablo3[Urun Ad]=I418)*(Tablo3[Ürün Kar Tutarı]))</f>
        <v>0</v>
      </c>
      <c r="L418" s="37"/>
    </row>
    <row r="419" spans="1:12" x14ac:dyDescent="0.25">
      <c r="A419" s="13"/>
      <c r="B419" s="9" cm="1">
        <f t="array" ref="B419">SUMPRODUCT((Tablo3[Personel Ad]=A419)*(Tablo3[Ürün Kar Tutarı]))</f>
        <v>0</v>
      </c>
      <c r="D419" s="14"/>
      <c r="F419" s="9" cm="1">
        <f t="array" ref="F419">SUMPRODUCT((Tablo3[Şehirler]=E419)*(Tablo3[Ürün Kar Tutarı]))</f>
        <v>0</v>
      </c>
      <c r="H419" s="14"/>
      <c r="J419" s="9" cm="1">
        <f t="array" ref="J419">SUMPRODUCT((Tablo3[Urun Ad]=I419)*(Tablo3[Ürün Kar Tutarı]))</f>
        <v>0</v>
      </c>
      <c r="L419" s="37"/>
    </row>
    <row r="420" spans="1:12" x14ac:dyDescent="0.25">
      <c r="A420" s="13"/>
      <c r="B420" s="9" cm="1">
        <f t="array" ref="B420">SUMPRODUCT((Tablo3[Personel Ad]=A420)*(Tablo3[Ürün Kar Tutarı]))</f>
        <v>0</v>
      </c>
      <c r="D420" s="14"/>
      <c r="F420" s="9" cm="1">
        <f t="array" ref="F420">SUMPRODUCT((Tablo3[Şehirler]=E420)*(Tablo3[Ürün Kar Tutarı]))</f>
        <v>0</v>
      </c>
      <c r="H420" s="14"/>
      <c r="J420" s="9" cm="1">
        <f t="array" ref="J420">SUMPRODUCT((Tablo3[Urun Ad]=I420)*(Tablo3[Ürün Kar Tutarı]))</f>
        <v>0</v>
      </c>
      <c r="L420" s="37"/>
    </row>
    <row r="421" spans="1:12" x14ac:dyDescent="0.25">
      <c r="A421" s="13"/>
      <c r="B421" s="9" cm="1">
        <f t="array" ref="B421">SUMPRODUCT((Tablo3[Personel Ad]=A421)*(Tablo3[Ürün Kar Tutarı]))</f>
        <v>0</v>
      </c>
      <c r="D421" s="14"/>
      <c r="F421" s="9" cm="1">
        <f t="array" ref="F421">SUMPRODUCT((Tablo3[Şehirler]=E421)*(Tablo3[Ürün Kar Tutarı]))</f>
        <v>0</v>
      </c>
      <c r="H421" s="14"/>
      <c r="J421" s="9" cm="1">
        <f t="array" ref="J421">SUMPRODUCT((Tablo3[Urun Ad]=I421)*(Tablo3[Ürün Kar Tutarı]))</f>
        <v>0</v>
      </c>
      <c r="L421" s="37"/>
    </row>
    <row r="422" spans="1:12" x14ac:dyDescent="0.25">
      <c r="A422" s="13"/>
      <c r="B422" s="9" cm="1">
        <f t="array" ref="B422">SUMPRODUCT((Tablo3[Personel Ad]=A422)*(Tablo3[Ürün Kar Tutarı]))</f>
        <v>0</v>
      </c>
      <c r="D422" s="14"/>
      <c r="F422" s="9" cm="1">
        <f t="array" ref="F422">SUMPRODUCT((Tablo3[Şehirler]=E422)*(Tablo3[Ürün Kar Tutarı]))</f>
        <v>0</v>
      </c>
      <c r="H422" s="14"/>
      <c r="J422" s="9" cm="1">
        <f t="array" ref="J422">SUMPRODUCT((Tablo3[Urun Ad]=I422)*(Tablo3[Ürün Kar Tutarı]))</f>
        <v>0</v>
      </c>
      <c r="L422" s="37"/>
    </row>
    <row r="423" spans="1:12" x14ac:dyDescent="0.25">
      <c r="A423" s="13"/>
      <c r="B423" s="9" cm="1">
        <f t="array" ref="B423">SUMPRODUCT((Tablo3[Personel Ad]=A423)*(Tablo3[Ürün Kar Tutarı]))</f>
        <v>0</v>
      </c>
      <c r="D423" s="14"/>
      <c r="F423" s="9" cm="1">
        <f t="array" ref="F423">SUMPRODUCT((Tablo3[Şehirler]=E423)*(Tablo3[Ürün Kar Tutarı]))</f>
        <v>0</v>
      </c>
      <c r="H423" s="14"/>
      <c r="J423" s="9" cm="1">
        <f t="array" ref="J423">SUMPRODUCT((Tablo3[Urun Ad]=I423)*(Tablo3[Ürün Kar Tutarı]))</f>
        <v>0</v>
      </c>
      <c r="L423" s="37"/>
    </row>
    <row r="424" spans="1:12" x14ac:dyDescent="0.25">
      <c r="A424" s="13"/>
      <c r="B424" s="9" cm="1">
        <f t="array" ref="B424">SUMPRODUCT((Tablo3[Personel Ad]=A424)*(Tablo3[Ürün Kar Tutarı]))</f>
        <v>0</v>
      </c>
      <c r="D424" s="14"/>
      <c r="F424" s="9" cm="1">
        <f t="array" ref="F424">SUMPRODUCT((Tablo3[Şehirler]=E424)*(Tablo3[Ürün Kar Tutarı]))</f>
        <v>0</v>
      </c>
      <c r="H424" s="14"/>
      <c r="J424" s="9" cm="1">
        <f t="array" ref="J424">SUMPRODUCT((Tablo3[Urun Ad]=I424)*(Tablo3[Ürün Kar Tutarı]))</f>
        <v>0</v>
      </c>
      <c r="L424" s="37"/>
    </row>
    <row r="425" spans="1:12" x14ac:dyDescent="0.25">
      <c r="A425" s="13"/>
      <c r="B425" s="9" cm="1">
        <f t="array" ref="B425">SUMPRODUCT((Tablo3[Personel Ad]=A425)*(Tablo3[Ürün Kar Tutarı]))</f>
        <v>0</v>
      </c>
      <c r="D425" s="14"/>
      <c r="F425" s="9" cm="1">
        <f t="array" ref="F425">SUMPRODUCT((Tablo3[Şehirler]=E425)*(Tablo3[Ürün Kar Tutarı]))</f>
        <v>0</v>
      </c>
      <c r="H425" s="14"/>
      <c r="J425" s="9" cm="1">
        <f t="array" ref="J425">SUMPRODUCT((Tablo3[Urun Ad]=I425)*(Tablo3[Ürün Kar Tutarı]))</f>
        <v>0</v>
      </c>
      <c r="L425" s="37"/>
    </row>
    <row r="426" spans="1:12" x14ac:dyDescent="0.25">
      <c r="A426" s="13"/>
      <c r="B426" s="9" cm="1">
        <f t="array" ref="B426">SUMPRODUCT((Tablo3[Personel Ad]=A426)*(Tablo3[Ürün Kar Tutarı]))</f>
        <v>0</v>
      </c>
      <c r="D426" s="14"/>
      <c r="F426" s="9" cm="1">
        <f t="array" ref="F426">SUMPRODUCT((Tablo3[Şehirler]=E426)*(Tablo3[Ürün Kar Tutarı]))</f>
        <v>0</v>
      </c>
      <c r="H426" s="14"/>
      <c r="J426" s="9" cm="1">
        <f t="array" ref="J426">SUMPRODUCT((Tablo3[Urun Ad]=I426)*(Tablo3[Ürün Kar Tutarı]))</f>
        <v>0</v>
      </c>
      <c r="L426" s="37"/>
    </row>
    <row r="427" spans="1:12" x14ac:dyDescent="0.25">
      <c r="A427" s="13"/>
      <c r="B427" s="9" cm="1">
        <f t="array" ref="B427">SUMPRODUCT((Tablo3[Personel Ad]=A427)*(Tablo3[Ürün Kar Tutarı]))</f>
        <v>0</v>
      </c>
      <c r="D427" s="14"/>
      <c r="F427" s="9" cm="1">
        <f t="array" ref="F427">SUMPRODUCT((Tablo3[Şehirler]=E427)*(Tablo3[Ürün Kar Tutarı]))</f>
        <v>0</v>
      </c>
      <c r="H427" s="14"/>
      <c r="J427" s="9" cm="1">
        <f t="array" ref="J427">SUMPRODUCT((Tablo3[Urun Ad]=I427)*(Tablo3[Ürün Kar Tutarı]))</f>
        <v>0</v>
      </c>
      <c r="L427" s="37"/>
    </row>
    <row r="428" spans="1:12" x14ac:dyDescent="0.25">
      <c r="A428" s="13"/>
      <c r="B428" s="9" cm="1">
        <f t="array" ref="B428">SUMPRODUCT((Tablo3[Personel Ad]=A428)*(Tablo3[Ürün Kar Tutarı]))</f>
        <v>0</v>
      </c>
      <c r="D428" s="14"/>
      <c r="F428" s="9" cm="1">
        <f t="array" ref="F428">SUMPRODUCT((Tablo3[Şehirler]=E428)*(Tablo3[Ürün Kar Tutarı]))</f>
        <v>0</v>
      </c>
      <c r="H428" s="14"/>
      <c r="J428" s="9" cm="1">
        <f t="array" ref="J428">SUMPRODUCT((Tablo3[Urun Ad]=I428)*(Tablo3[Ürün Kar Tutarı]))</f>
        <v>0</v>
      </c>
      <c r="L428" s="37"/>
    </row>
    <row r="429" spans="1:12" x14ac:dyDescent="0.25">
      <c r="A429" s="13"/>
      <c r="B429" s="9" cm="1">
        <f t="array" ref="B429">SUMPRODUCT((Tablo3[Personel Ad]=A429)*(Tablo3[Ürün Kar Tutarı]))</f>
        <v>0</v>
      </c>
      <c r="D429" s="14"/>
      <c r="F429" s="9" cm="1">
        <f t="array" ref="F429">SUMPRODUCT((Tablo3[Şehirler]=E429)*(Tablo3[Ürün Kar Tutarı]))</f>
        <v>0</v>
      </c>
      <c r="H429" s="14"/>
      <c r="J429" s="9" cm="1">
        <f t="array" ref="J429">SUMPRODUCT((Tablo3[Urun Ad]=I429)*(Tablo3[Ürün Kar Tutarı]))</f>
        <v>0</v>
      </c>
      <c r="L429" s="37"/>
    </row>
    <row r="430" spans="1:12" x14ac:dyDescent="0.25">
      <c r="A430" s="13"/>
      <c r="B430" s="9" cm="1">
        <f t="array" ref="B430">SUMPRODUCT((Tablo3[Personel Ad]=A430)*(Tablo3[Ürün Kar Tutarı]))</f>
        <v>0</v>
      </c>
      <c r="D430" s="14"/>
      <c r="F430" s="9" cm="1">
        <f t="array" ref="F430">SUMPRODUCT((Tablo3[Şehirler]=E430)*(Tablo3[Ürün Kar Tutarı]))</f>
        <v>0</v>
      </c>
      <c r="H430" s="14"/>
      <c r="J430" s="9" cm="1">
        <f t="array" ref="J430">SUMPRODUCT((Tablo3[Urun Ad]=I430)*(Tablo3[Ürün Kar Tutarı]))</f>
        <v>0</v>
      </c>
      <c r="L430" s="37"/>
    </row>
    <row r="431" spans="1:12" x14ac:dyDescent="0.25">
      <c r="A431" s="13"/>
      <c r="B431" s="9" cm="1">
        <f t="array" ref="B431">SUMPRODUCT((Tablo3[Personel Ad]=A431)*(Tablo3[Ürün Kar Tutarı]))</f>
        <v>0</v>
      </c>
      <c r="D431" s="14"/>
      <c r="F431" s="9" cm="1">
        <f t="array" ref="F431">SUMPRODUCT((Tablo3[Şehirler]=E431)*(Tablo3[Ürün Kar Tutarı]))</f>
        <v>0</v>
      </c>
      <c r="H431" s="14"/>
      <c r="J431" s="9" cm="1">
        <f t="array" ref="J431">SUMPRODUCT((Tablo3[Urun Ad]=I431)*(Tablo3[Ürün Kar Tutarı]))</f>
        <v>0</v>
      </c>
      <c r="L431" s="37"/>
    </row>
    <row r="432" spans="1:12" x14ac:dyDescent="0.25">
      <c r="A432" s="13"/>
      <c r="B432" s="9" cm="1">
        <f t="array" ref="B432">SUMPRODUCT((Tablo3[Personel Ad]=A432)*(Tablo3[Ürün Kar Tutarı]))</f>
        <v>0</v>
      </c>
      <c r="D432" s="14"/>
      <c r="F432" s="9" cm="1">
        <f t="array" ref="F432">SUMPRODUCT((Tablo3[Şehirler]=E432)*(Tablo3[Ürün Kar Tutarı]))</f>
        <v>0</v>
      </c>
      <c r="H432" s="14"/>
      <c r="J432" s="9" cm="1">
        <f t="array" ref="J432">SUMPRODUCT((Tablo3[Urun Ad]=I432)*(Tablo3[Ürün Kar Tutarı]))</f>
        <v>0</v>
      </c>
      <c r="L432" s="37"/>
    </row>
    <row r="433" spans="1:12" x14ac:dyDescent="0.25">
      <c r="A433" s="13"/>
      <c r="B433" s="9" cm="1">
        <f t="array" ref="B433">SUMPRODUCT((Tablo3[Personel Ad]=A433)*(Tablo3[Ürün Kar Tutarı]))</f>
        <v>0</v>
      </c>
      <c r="D433" s="14"/>
      <c r="F433" s="9" cm="1">
        <f t="array" ref="F433">SUMPRODUCT((Tablo3[Şehirler]=E433)*(Tablo3[Ürün Kar Tutarı]))</f>
        <v>0</v>
      </c>
      <c r="H433" s="14"/>
      <c r="J433" s="9" cm="1">
        <f t="array" ref="J433">SUMPRODUCT((Tablo3[Urun Ad]=I433)*(Tablo3[Ürün Kar Tutarı]))</f>
        <v>0</v>
      </c>
      <c r="L433" s="37"/>
    </row>
    <row r="434" spans="1:12" x14ac:dyDescent="0.25">
      <c r="A434" s="13"/>
      <c r="B434" s="9" cm="1">
        <f t="array" ref="B434">SUMPRODUCT((Tablo3[Personel Ad]=A434)*(Tablo3[Ürün Kar Tutarı]))</f>
        <v>0</v>
      </c>
      <c r="D434" s="14"/>
      <c r="F434" s="9" cm="1">
        <f t="array" ref="F434">SUMPRODUCT((Tablo3[Şehirler]=E434)*(Tablo3[Ürün Kar Tutarı]))</f>
        <v>0</v>
      </c>
      <c r="H434" s="14"/>
      <c r="J434" s="9" cm="1">
        <f t="array" ref="J434">SUMPRODUCT((Tablo3[Urun Ad]=I434)*(Tablo3[Ürün Kar Tutarı]))</f>
        <v>0</v>
      </c>
      <c r="L434" s="37"/>
    </row>
    <row r="435" spans="1:12" x14ac:dyDescent="0.25">
      <c r="A435" s="13"/>
      <c r="B435" s="9" cm="1">
        <f t="array" ref="B435">SUMPRODUCT((Tablo3[Personel Ad]=A435)*(Tablo3[Ürün Kar Tutarı]))</f>
        <v>0</v>
      </c>
      <c r="D435" s="14"/>
      <c r="F435" s="9" cm="1">
        <f t="array" ref="F435">SUMPRODUCT((Tablo3[Şehirler]=E435)*(Tablo3[Ürün Kar Tutarı]))</f>
        <v>0</v>
      </c>
      <c r="H435" s="14"/>
      <c r="J435" s="9" cm="1">
        <f t="array" ref="J435">SUMPRODUCT((Tablo3[Urun Ad]=I435)*(Tablo3[Ürün Kar Tutarı]))</f>
        <v>0</v>
      </c>
      <c r="L435" s="37"/>
    </row>
    <row r="436" spans="1:12" x14ac:dyDescent="0.25">
      <c r="A436" s="13"/>
      <c r="B436" s="9" cm="1">
        <f t="array" ref="B436">SUMPRODUCT((Tablo3[Personel Ad]=A436)*(Tablo3[Ürün Kar Tutarı]))</f>
        <v>0</v>
      </c>
      <c r="D436" s="14"/>
      <c r="F436" s="9" cm="1">
        <f t="array" ref="F436">SUMPRODUCT((Tablo3[Şehirler]=E436)*(Tablo3[Ürün Kar Tutarı]))</f>
        <v>0</v>
      </c>
      <c r="H436" s="14"/>
      <c r="J436" s="9" cm="1">
        <f t="array" ref="J436">SUMPRODUCT((Tablo3[Urun Ad]=I436)*(Tablo3[Ürün Kar Tutarı]))</f>
        <v>0</v>
      </c>
      <c r="L436" s="37"/>
    </row>
    <row r="437" spans="1:12" x14ac:dyDescent="0.25">
      <c r="A437" s="13"/>
      <c r="B437" s="9" cm="1">
        <f t="array" ref="B437">SUMPRODUCT((Tablo3[Personel Ad]=A437)*(Tablo3[Ürün Kar Tutarı]))</f>
        <v>0</v>
      </c>
      <c r="D437" s="14"/>
      <c r="F437" s="9" cm="1">
        <f t="array" ref="F437">SUMPRODUCT((Tablo3[Şehirler]=E437)*(Tablo3[Ürün Kar Tutarı]))</f>
        <v>0</v>
      </c>
      <c r="H437" s="14"/>
      <c r="J437" s="9" cm="1">
        <f t="array" ref="J437">SUMPRODUCT((Tablo3[Urun Ad]=I437)*(Tablo3[Ürün Kar Tutarı]))</f>
        <v>0</v>
      </c>
      <c r="L437" s="37"/>
    </row>
    <row r="438" spans="1:12" x14ac:dyDescent="0.25">
      <c r="A438" s="13"/>
      <c r="B438" s="9" cm="1">
        <f t="array" ref="B438">SUMPRODUCT((Tablo3[Personel Ad]=A438)*(Tablo3[Ürün Kar Tutarı]))</f>
        <v>0</v>
      </c>
      <c r="D438" s="14"/>
      <c r="F438" s="9" cm="1">
        <f t="array" ref="F438">SUMPRODUCT((Tablo3[Şehirler]=E438)*(Tablo3[Ürün Kar Tutarı]))</f>
        <v>0</v>
      </c>
      <c r="H438" s="14"/>
      <c r="J438" s="9" cm="1">
        <f t="array" ref="J438">SUMPRODUCT((Tablo3[Urun Ad]=I438)*(Tablo3[Ürün Kar Tutarı]))</f>
        <v>0</v>
      </c>
      <c r="L438" s="37"/>
    </row>
    <row r="439" spans="1:12" x14ac:dyDescent="0.25">
      <c r="A439" s="13"/>
      <c r="B439" s="9" cm="1">
        <f t="array" ref="B439">SUMPRODUCT((Tablo3[Personel Ad]=A439)*(Tablo3[Ürün Kar Tutarı]))</f>
        <v>0</v>
      </c>
      <c r="D439" s="14"/>
      <c r="F439" s="9" cm="1">
        <f t="array" ref="F439">SUMPRODUCT((Tablo3[Şehirler]=E439)*(Tablo3[Ürün Kar Tutarı]))</f>
        <v>0</v>
      </c>
      <c r="H439" s="14"/>
      <c r="J439" s="9" cm="1">
        <f t="array" ref="J439">SUMPRODUCT((Tablo3[Urun Ad]=I439)*(Tablo3[Ürün Kar Tutarı]))</f>
        <v>0</v>
      </c>
      <c r="L439" s="37"/>
    </row>
    <row r="440" spans="1:12" x14ac:dyDescent="0.25">
      <c r="A440" s="13"/>
      <c r="B440" s="9" cm="1">
        <f t="array" ref="B440">SUMPRODUCT((Tablo3[Personel Ad]=A440)*(Tablo3[Ürün Kar Tutarı]))</f>
        <v>0</v>
      </c>
      <c r="D440" s="14"/>
      <c r="F440" s="9" cm="1">
        <f t="array" ref="F440">SUMPRODUCT((Tablo3[Şehirler]=E440)*(Tablo3[Ürün Kar Tutarı]))</f>
        <v>0</v>
      </c>
      <c r="H440" s="14"/>
      <c r="J440" s="9" cm="1">
        <f t="array" ref="J440">SUMPRODUCT((Tablo3[Urun Ad]=I440)*(Tablo3[Ürün Kar Tutarı]))</f>
        <v>0</v>
      </c>
      <c r="L440" s="37"/>
    </row>
    <row r="441" spans="1:12" x14ac:dyDescent="0.25">
      <c r="A441" s="13"/>
      <c r="B441" s="9" cm="1">
        <f t="array" ref="B441">SUMPRODUCT((Tablo3[Personel Ad]=A441)*(Tablo3[Ürün Kar Tutarı]))</f>
        <v>0</v>
      </c>
      <c r="D441" s="14"/>
      <c r="F441" s="9" cm="1">
        <f t="array" ref="F441">SUMPRODUCT((Tablo3[Şehirler]=E441)*(Tablo3[Ürün Kar Tutarı]))</f>
        <v>0</v>
      </c>
      <c r="H441" s="14"/>
      <c r="J441" s="9" cm="1">
        <f t="array" ref="J441">SUMPRODUCT((Tablo3[Urun Ad]=I441)*(Tablo3[Ürün Kar Tutarı]))</f>
        <v>0</v>
      </c>
      <c r="L441" s="37"/>
    </row>
    <row r="442" spans="1:12" x14ac:dyDescent="0.25">
      <c r="A442" s="13"/>
      <c r="B442" s="9" cm="1">
        <f t="array" ref="B442">SUMPRODUCT((Tablo3[Personel Ad]=A442)*(Tablo3[Ürün Kar Tutarı]))</f>
        <v>0</v>
      </c>
      <c r="D442" s="14"/>
      <c r="F442" s="9" cm="1">
        <f t="array" ref="F442">SUMPRODUCT((Tablo3[Şehirler]=E442)*(Tablo3[Ürün Kar Tutarı]))</f>
        <v>0</v>
      </c>
      <c r="H442" s="14"/>
      <c r="J442" s="9" cm="1">
        <f t="array" ref="J442">SUMPRODUCT((Tablo3[Urun Ad]=I442)*(Tablo3[Ürün Kar Tutarı]))</f>
        <v>0</v>
      </c>
      <c r="L442" s="37"/>
    </row>
    <row r="443" spans="1:12" x14ac:dyDescent="0.25">
      <c r="A443" s="13"/>
      <c r="B443" s="9" cm="1">
        <f t="array" ref="B443">SUMPRODUCT((Tablo3[Personel Ad]=A443)*(Tablo3[Ürün Kar Tutarı]))</f>
        <v>0</v>
      </c>
      <c r="D443" s="14"/>
      <c r="F443" s="9" cm="1">
        <f t="array" ref="F443">SUMPRODUCT((Tablo3[Şehirler]=E443)*(Tablo3[Ürün Kar Tutarı]))</f>
        <v>0</v>
      </c>
      <c r="H443" s="14"/>
      <c r="J443" s="9" cm="1">
        <f t="array" ref="J443">SUMPRODUCT((Tablo3[Urun Ad]=I443)*(Tablo3[Ürün Kar Tutarı]))</f>
        <v>0</v>
      </c>
      <c r="L443" s="37"/>
    </row>
    <row r="444" spans="1:12" x14ac:dyDescent="0.25">
      <c r="A444" s="13"/>
      <c r="B444" s="9" cm="1">
        <f t="array" ref="B444">SUMPRODUCT((Tablo3[Personel Ad]=A444)*(Tablo3[Ürün Kar Tutarı]))</f>
        <v>0</v>
      </c>
      <c r="D444" s="14"/>
      <c r="F444" s="9" cm="1">
        <f t="array" ref="F444">SUMPRODUCT((Tablo3[Şehirler]=E444)*(Tablo3[Ürün Kar Tutarı]))</f>
        <v>0</v>
      </c>
      <c r="H444" s="14"/>
      <c r="J444" s="9" cm="1">
        <f t="array" ref="J444">SUMPRODUCT((Tablo3[Urun Ad]=I444)*(Tablo3[Ürün Kar Tutarı]))</f>
        <v>0</v>
      </c>
      <c r="L444" s="37"/>
    </row>
    <row r="445" spans="1:12" x14ac:dyDescent="0.25">
      <c r="A445" s="13"/>
      <c r="B445" s="9" cm="1">
        <f t="array" ref="B445">SUMPRODUCT((Tablo3[Personel Ad]=A445)*(Tablo3[Ürün Kar Tutarı]))</f>
        <v>0</v>
      </c>
      <c r="D445" s="14"/>
      <c r="F445" s="9" cm="1">
        <f t="array" ref="F445">SUMPRODUCT((Tablo3[Şehirler]=E445)*(Tablo3[Ürün Kar Tutarı]))</f>
        <v>0</v>
      </c>
      <c r="H445" s="14"/>
      <c r="J445" s="9" cm="1">
        <f t="array" ref="J445">SUMPRODUCT((Tablo3[Urun Ad]=I445)*(Tablo3[Ürün Kar Tutarı]))</f>
        <v>0</v>
      </c>
      <c r="L445" s="37"/>
    </row>
    <row r="446" spans="1:12" x14ac:dyDescent="0.25">
      <c r="A446" s="13"/>
      <c r="B446" s="9" cm="1">
        <f t="array" ref="B446">SUMPRODUCT((Tablo3[Personel Ad]=A446)*(Tablo3[Ürün Kar Tutarı]))</f>
        <v>0</v>
      </c>
      <c r="D446" s="14"/>
      <c r="F446" s="9" cm="1">
        <f t="array" ref="F446">SUMPRODUCT((Tablo3[Şehirler]=E446)*(Tablo3[Ürün Kar Tutarı]))</f>
        <v>0</v>
      </c>
      <c r="H446" s="14"/>
      <c r="J446" s="9" cm="1">
        <f t="array" ref="J446">SUMPRODUCT((Tablo3[Urun Ad]=I446)*(Tablo3[Ürün Kar Tutarı]))</f>
        <v>0</v>
      </c>
      <c r="L446" s="37"/>
    </row>
    <row r="447" spans="1:12" x14ac:dyDescent="0.25">
      <c r="A447" s="13"/>
      <c r="B447" s="9" cm="1">
        <f t="array" ref="B447">SUMPRODUCT((Tablo3[Personel Ad]=A447)*(Tablo3[Ürün Kar Tutarı]))</f>
        <v>0</v>
      </c>
      <c r="D447" s="14"/>
      <c r="F447" s="9" cm="1">
        <f t="array" ref="F447">SUMPRODUCT((Tablo3[Şehirler]=E447)*(Tablo3[Ürün Kar Tutarı]))</f>
        <v>0</v>
      </c>
      <c r="H447" s="14"/>
      <c r="J447" s="9" cm="1">
        <f t="array" ref="J447">SUMPRODUCT((Tablo3[Urun Ad]=I447)*(Tablo3[Ürün Kar Tutarı]))</f>
        <v>0</v>
      </c>
      <c r="L447" s="37"/>
    </row>
    <row r="448" spans="1:12" x14ac:dyDescent="0.25">
      <c r="A448" s="13"/>
      <c r="B448" s="9" cm="1">
        <f t="array" ref="B448">SUMPRODUCT((Tablo3[Personel Ad]=A448)*(Tablo3[Ürün Kar Tutarı]))</f>
        <v>0</v>
      </c>
      <c r="D448" s="14"/>
      <c r="F448" s="9" cm="1">
        <f t="array" ref="F448">SUMPRODUCT((Tablo3[Şehirler]=E448)*(Tablo3[Ürün Kar Tutarı]))</f>
        <v>0</v>
      </c>
      <c r="H448" s="14"/>
      <c r="J448" s="9" cm="1">
        <f t="array" ref="J448">SUMPRODUCT((Tablo3[Urun Ad]=I448)*(Tablo3[Ürün Kar Tutarı]))</f>
        <v>0</v>
      </c>
      <c r="L448" s="37"/>
    </row>
    <row r="449" spans="1:12" x14ac:dyDescent="0.25">
      <c r="A449" s="13"/>
      <c r="B449" s="9" cm="1">
        <f t="array" ref="B449">SUMPRODUCT((Tablo3[Personel Ad]=A449)*(Tablo3[Ürün Kar Tutarı]))</f>
        <v>0</v>
      </c>
      <c r="D449" s="14"/>
      <c r="F449" s="9" cm="1">
        <f t="array" ref="F449">SUMPRODUCT((Tablo3[Şehirler]=E449)*(Tablo3[Ürün Kar Tutarı]))</f>
        <v>0</v>
      </c>
      <c r="H449" s="14"/>
      <c r="J449" s="9" cm="1">
        <f t="array" ref="J449">SUMPRODUCT((Tablo3[Urun Ad]=I449)*(Tablo3[Ürün Kar Tutarı]))</f>
        <v>0</v>
      </c>
      <c r="L449" s="37"/>
    </row>
    <row r="450" spans="1:12" x14ac:dyDescent="0.25">
      <c r="A450" s="13"/>
      <c r="B450" s="9" cm="1">
        <f t="array" ref="B450">SUMPRODUCT((Tablo3[Personel Ad]=A450)*(Tablo3[Ürün Kar Tutarı]))</f>
        <v>0</v>
      </c>
      <c r="D450" s="14"/>
      <c r="F450" s="9" cm="1">
        <f t="array" ref="F450">SUMPRODUCT((Tablo3[Şehirler]=E450)*(Tablo3[Ürün Kar Tutarı]))</f>
        <v>0</v>
      </c>
      <c r="H450" s="14"/>
      <c r="J450" s="9" cm="1">
        <f t="array" ref="J450">SUMPRODUCT((Tablo3[Urun Ad]=I450)*(Tablo3[Ürün Kar Tutarı]))</f>
        <v>0</v>
      </c>
      <c r="L450" s="37"/>
    </row>
    <row r="451" spans="1:12" x14ac:dyDescent="0.25">
      <c r="A451" s="13"/>
      <c r="B451" s="9" cm="1">
        <f t="array" ref="B451">SUMPRODUCT((Tablo3[Personel Ad]=A451)*(Tablo3[Ürün Kar Tutarı]))</f>
        <v>0</v>
      </c>
      <c r="D451" s="14"/>
      <c r="F451" s="9" cm="1">
        <f t="array" ref="F451">SUMPRODUCT((Tablo3[Şehirler]=E451)*(Tablo3[Ürün Kar Tutarı]))</f>
        <v>0</v>
      </c>
      <c r="H451" s="14"/>
      <c r="J451" s="9" cm="1">
        <f t="array" ref="J451">SUMPRODUCT((Tablo3[Urun Ad]=I451)*(Tablo3[Ürün Kar Tutarı]))</f>
        <v>0</v>
      </c>
      <c r="L451" s="37"/>
    </row>
    <row r="452" spans="1:12" x14ac:dyDescent="0.25">
      <c r="A452" s="13"/>
      <c r="B452" s="9" cm="1">
        <f t="array" ref="B452">SUMPRODUCT((Tablo3[Personel Ad]=A452)*(Tablo3[Ürün Kar Tutarı]))</f>
        <v>0</v>
      </c>
      <c r="D452" s="14"/>
      <c r="F452" s="9" cm="1">
        <f t="array" ref="F452">SUMPRODUCT((Tablo3[Şehirler]=E452)*(Tablo3[Ürün Kar Tutarı]))</f>
        <v>0</v>
      </c>
      <c r="H452" s="14"/>
      <c r="J452" s="9" cm="1">
        <f t="array" ref="J452">SUMPRODUCT((Tablo3[Urun Ad]=I452)*(Tablo3[Ürün Kar Tutarı]))</f>
        <v>0</v>
      </c>
      <c r="L452" s="37"/>
    </row>
    <row r="453" spans="1:12" x14ac:dyDescent="0.25">
      <c r="A453" s="13"/>
      <c r="B453" s="9" cm="1">
        <f t="array" ref="B453">SUMPRODUCT((Tablo3[Personel Ad]=A453)*(Tablo3[Ürün Kar Tutarı]))</f>
        <v>0</v>
      </c>
      <c r="D453" s="14"/>
      <c r="F453" s="9" cm="1">
        <f t="array" ref="F453">SUMPRODUCT((Tablo3[Şehirler]=E453)*(Tablo3[Ürün Kar Tutarı]))</f>
        <v>0</v>
      </c>
      <c r="H453" s="14"/>
      <c r="J453" s="9" cm="1">
        <f t="array" ref="J453">SUMPRODUCT((Tablo3[Urun Ad]=I453)*(Tablo3[Ürün Kar Tutarı]))</f>
        <v>0</v>
      </c>
      <c r="L453" s="37"/>
    </row>
    <row r="454" spans="1:12" x14ac:dyDescent="0.25">
      <c r="A454" s="13"/>
      <c r="B454" s="9" cm="1">
        <f t="array" ref="B454">SUMPRODUCT((Tablo3[Personel Ad]=A454)*(Tablo3[Ürün Kar Tutarı]))</f>
        <v>0</v>
      </c>
      <c r="D454" s="14"/>
      <c r="F454" s="9" cm="1">
        <f t="array" ref="F454">SUMPRODUCT((Tablo3[Şehirler]=E454)*(Tablo3[Ürün Kar Tutarı]))</f>
        <v>0</v>
      </c>
      <c r="H454" s="14"/>
      <c r="J454" s="9" cm="1">
        <f t="array" ref="J454">SUMPRODUCT((Tablo3[Urun Ad]=I454)*(Tablo3[Ürün Kar Tutarı]))</f>
        <v>0</v>
      </c>
      <c r="L454" s="37"/>
    </row>
    <row r="455" spans="1:12" x14ac:dyDescent="0.25">
      <c r="A455" s="13"/>
      <c r="B455" s="9" cm="1">
        <f t="array" ref="B455">SUMPRODUCT((Tablo3[Personel Ad]=A455)*(Tablo3[Ürün Kar Tutarı]))</f>
        <v>0</v>
      </c>
      <c r="D455" s="14"/>
      <c r="F455" s="9" cm="1">
        <f t="array" ref="F455">SUMPRODUCT((Tablo3[Şehirler]=E455)*(Tablo3[Ürün Kar Tutarı]))</f>
        <v>0</v>
      </c>
      <c r="H455" s="14"/>
      <c r="J455" s="9" cm="1">
        <f t="array" ref="J455">SUMPRODUCT((Tablo3[Urun Ad]=I455)*(Tablo3[Ürün Kar Tutarı]))</f>
        <v>0</v>
      </c>
      <c r="L455" s="37"/>
    </row>
    <row r="456" spans="1:12" x14ac:dyDescent="0.25">
      <c r="A456" s="13"/>
      <c r="B456" s="9" cm="1">
        <f t="array" ref="B456">SUMPRODUCT((Tablo3[Personel Ad]=A456)*(Tablo3[Ürün Kar Tutarı]))</f>
        <v>0</v>
      </c>
      <c r="D456" s="14"/>
      <c r="F456" s="9" cm="1">
        <f t="array" ref="F456">SUMPRODUCT((Tablo3[Şehirler]=E456)*(Tablo3[Ürün Kar Tutarı]))</f>
        <v>0</v>
      </c>
      <c r="H456" s="14"/>
      <c r="J456" s="9" cm="1">
        <f t="array" ref="J456">SUMPRODUCT((Tablo3[Urun Ad]=I456)*(Tablo3[Ürün Kar Tutarı]))</f>
        <v>0</v>
      </c>
      <c r="L456" s="37"/>
    </row>
    <row r="457" spans="1:12" x14ac:dyDescent="0.25">
      <c r="A457" s="13"/>
      <c r="B457" s="9" cm="1">
        <f t="array" ref="B457">SUMPRODUCT((Tablo3[Personel Ad]=A457)*(Tablo3[Ürün Kar Tutarı]))</f>
        <v>0</v>
      </c>
      <c r="D457" s="14"/>
      <c r="F457" s="9" cm="1">
        <f t="array" ref="F457">SUMPRODUCT((Tablo3[Şehirler]=E457)*(Tablo3[Ürün Kar Tutarı]))</f>
        <v>0</v>
      </c>
      <c r="H457" s="14"/>
      <c r="J457" s="9" cm="1">
        <f t="array" ref="J457">SUMPRODUCT((Tablo3[Urun Ad]=I457)*(Tablo3[Ürün Kar Tutarı]))</f>
        <v>0</v>
      </c>
      <c r="L457" s="37"/>
    </row>
    <row r="458" spans="1:12" x14ac:dyDescent="0.25">
      <c r="A458" s="13"/>
      <c r="B458" s="9" cm="1">
        <f t="array" ref="B458">SUMPRODUCT((Tablo3[Personel Ad]=A458)*(Tablo3[Ürün Kar Tutarı]))</f>
        <v>0</v>
      </c>
      <c r="D458" s="14"/>
      <c r="F458" s="9" cm="1">
        <f t="array" ref="F458">SUMPRODUCT((Tablo3[Şehirler]=E458)*(Tablo3[Ürün Kar Tutarı]))</f>
        <v>0</v>
      </c>
      <c r="H458" s="14"/>
      <c r="J458" s="9" cm="1">
        <f t="array" ref="J458">SUMPRODUCT((Tablo3[Urun Ad]=I458)*(Tablo3[Ürün Kar Tutarı]))</f>
        <v>0</v>
      </c>
      <c r="L458" s="37"/>
    </row>
    <row r="459" spans="1:12" x14ac:dyDescent="0.25">
      <c r="A459" s="13"/>
      <c r="B459" s="9" cm="1">
        <f t="array" ref="B459">SUMPRODUCT((Tablo3[Personel Ad]=A459)*(Tablo3[Ürün Kar Tutarı]))</f>
        <v>0</v>
      </c>
      <c r="D459" s="14"/>
      <c r="F459" s="9" cm="1">
        <f t="array" ref="F459">SUMPRODUCT((Tablo3[Şehirler]=E459)*(Tablo3[Ürün Kar Tutarı]))</f>
        <v>0</v>
      </c>
      <c r="H459" s="14"/>
      <c r="J459" s="9" cm="1">
        <f t="array" ref="J459">SUMPRODUCT((Tablo3[Urun Ad]=I459)*(Tablo3[Ürün Kar Tutarı]))</f>
        <v>0</v>
      </c>
      <c r="L459" s="37"/>
    </row>
    <row r="460" spans="1:12" x14ac:dyDescent="0.25">
      <c r="A460" s="13"/>
      <c r="B460" s="9" cm="1">
        <f t="array" ref="B460">SUMPRODUCT((Tablo3[Personel Ad]=A460)*(Tablo3[Ürün Kar Tutarı]))</f>
        <v>0</v>
      </c>
      <c r="D460" s="14"/>
      <c r="F460" s="9" cm="1">
        <f t="array" ref="F460">SUMPRODUCT((Tablo3[Şehirler]=E460)*(Tablo3[Ürün Kar Tutarı]))</f>
        <v>0</v>
      </c>
      <c r="H460" s="14"/>
      <c r="J460" s="9" cm="1">
        <f t="array" ref="J460">SUMPRODUCT((Tablo3[Urun Ad]=I460)*(Tablo3[Ürün Kar Tutarı]))</f>
        <v>0</v>
      </c>
      <c r="L460" s="37"/>
    </row>
    <row r="461" spans="1:12" x14ac:dyDescent="0.25">
      <c r="A461" s="13"/>
      <c r="B461" s="9" cm="1">
        <f t="array" ref="B461">SUMPRODUCT((Tablo3[Personel Ad]=A461)*(Tablo3[Ürün Kar Tutarı]))</f>
        <v>0</v>
      </c>
      <c r="D461" s="14"/>
      <c r="F461" s="9" cm="1">
        <f t="array" ref="F461">SUMPRODUCT((Tablo3[Şehirler]=E461)*(Tablo3[Ürün Kar Tutarı]))</f>
        <v>0</v>
      </c>
      <c r="H461" s="14"/>
      <c r="J461" s="9" cm="1">
        <f t="array" ref="J461">SUMPRODUCT((Tablo3[Urun Ad]=I461)*(Tablo3[Ürün Kar Tutarı]))</f>
        <v>0</v>
      </c>
      <c r="L461" s="37"/>
    </row>
    <row r="462" spans="1:12" x14ac:dyDescent="0.25">
      <c r="A462" s="13"/>
      <c r="B462" s="9" cm="1">
        <f t="array" ref="B462">SUMPRODUCT((Tablo3[Personel Ad]=A462)*(Tablo3[Ürün Kar Tutarı]))</f>
        <v>0</v>
      </c>
      <c r="D462" s="14"/>
      <c r="F462" s="9" cm="1">
        <f t="array" ref="F462">SUMPRODUCT((Tablo3[Şehirler]=E462)*(Tablo3[Ürün Kar Tutarı]))</f>
        <v>0</v>
      </c>
      <c r="H462" s="14"/>
      <c r="J462" s="9" cm="1">
        <f t="array" ref="J462">SUMPRODUCT((Tablo3[Urun Ad]=I462)*(Tablo3[Ürün Kar Tutarı]))</f>
        <v>0</v>
      </c>
      <c r="L462" s="37"/>
    </row>
    <row r="463" spans="1:12" x14ac:dyDescent="0.25">
      <c r="A463" s="13"/>
      <c r="B463" s="9" cm="1">
        <f t="array" ref="B463">SUMPRODUCT((Tablo3[Personel Ad]=A463)*(Tablo3[Ürün Kar Tutarı]))</f>
        <v>0</v>
      </c>
      <c r="D463" s="14"/>
      <c r="F463" s="9" cm="1">
        <f t="array" ref="F463">SUMPRODUCT((Tablo3[Şehirler]=E463)*(Tablo3[Ürün Kar Tutarı]))</f>
        <v>0</v>
      </c>
      <c r="H463" s="14"/>
      <c r="J463" s="9" cm="1">
        <f t="array" ref="J463">SUMPRODUCT((Tablo3[Urun Ad]=I463)*(Tablo3[Ürün Kar Tutarı]))</f>
        <v>0</v>
      </c>
      <c r="L463" s="37"/>
    </row>
    <row r="464" spans="1:12" x14ac:dyDescent="0.25">
      <c r="A464" s="13"/>
      <c r="B464" s="9" cm="1">
        <f t="array" ref="B464">SUMPRODUCT((Tablo3[Personel Ad]=A464)*(Tablo3[Ürün Kar Tutarı]))</f>
        <v>0</v>
      </c>
      <c r="D464" s="14"/>
      <c r="F464" s="9" cm="1">
        <f t="array" ref="F464">SUMPRODUCT((Tablo3[Şehirler]=E464)*(Tablo3[Ürün Kar Tutarı]))</f>
        <v>0</v>
      </c>
      <c r="H464" s="14"/>
      <c r="J464" s="9" cm="1">
        <f t="array" ref="J464">SUMPRODUCT((Tablo3[Urun Ad]=I464)*(Tablo3[Ürün Kar Tutarı]))</f>
        <v>0</v>
      </c>
      <c r="L464" s="37"/>
    </row>
    <row r="465" spans="1:12" x14ac:dyDescent="0.25">
      <c r="A465" s="13"/>
      <c r="B465" s="9" cm="1">
        <f t="array" ref="B465">SUMPRODUCT((Tablo3[Personel Ad]=A465)*(Tablo3[Ürün Kar Tutarı]))</f>
        <v>0</v>
      </c>
      <c r="D465" s="14"/>
      <c r="F465" s="9" cm="1">
        <f t="array" ref="F465">SUMPRODUCT((Tablo3[Şehirler]=E465)*(Tablo3[Ürün Kar Tutarı]))</f>
        <v>0</v>
      </c>
      <c r="H465" s="14"/>
      <c r="J465" s="9" cm="1">
        <f t="array" ref="J465">SUMPRODUCT((Tablo3[Urun Ad]=I465)*(Tablo3[Ürün Kar Tutarı]))</f>
        <v>0</v>
      </c>
      <c r="L465" s="37"/>
    </row>
    <row r="466" spans="1:12" x14ac:dyDescent="0.25">
      <c r="A466" s="13"/>
      <c r="B466" s="9" cm="1">
        <f t="array" ref="B466">SUMPRODUCT((Tablo3[Personel Ad]=A466)*(Tablo3[Ürün Kar Tutarı]))</f>
        <v>0</v>
      </c>
      <c r="D466" s="14"/>
      <c r="F466" s="9" cm="1">
        <f t="array" ref="F466">SUMPRODUCT((Tablo3[Şehirler]=E466)*(Tablo3[Ürün Kar Tutarı]))</f>
        <v>0</v>
      </c>
      <c r="H466" s="14"/>
      <c r="J466" s="9" cm="1">
        <f t="array" ref="J466">SUMPRODUCT((Tablo3[Urun Ad]=I466)*(Tablo3[Ürün Kar Tutarı]))</f>
        <v>0</v>
      </c>
      <c r="L466" s="37"/>
    </row>
    <row r="467" spans="1:12" x14ac:dyDescent="0.25">
      <c r="A467" s="13"/>
      <c r="B467" s="9" cm="1">
        <f t="array" ref="B467">SUMPRODUCT((Tablo3[Personel Ad]=A467)*(Tablo3[Ürün Kar Tutarı]))</f>
        <v>0</v>
      </c>
      <c r="D467" s="14"/>
      <c r="F467" s="9" cm="1">
        <f t="array" ref="F467">SUMPRODUCT((Tablo3[Şehirler]=E467)*(Tablo3[Ürün Kar Tutarı]))</f>
        <v>0</v>
      </c>
      <c r="H467" s="14"/>
      <c r="J467" s="9" cm="1">
        <f t="array" ref="J467">SUMPRODUCT((Tablo3[Urun Ad]=I467)*(Tablo3[Ürün Kar Tutarı]))</f>
        <v>0</v>
      </c>
      <c r="L467" s="37"/>
    </row>
    <row r="468" spans="1:12" x14ac:dyDescent="0.25">
      <c r="A468" s="13"/>
      <c r="B468" s="9" cm="1">
        <f t="array" ref="B468">SUMPRODUCT((Tablo3[Personel Ad]=A468)*(Tablo3[Ürün Kar Tutarı]))</f>
        <v>0</v>
      </c>
      <c r="D468" s="14"/>
      <c r="F468" s="9" cm="1">
        <f t="array" ref="F468">SUMPRODUCT((Tablo3[Şehirler]=E468)*(Tablo3[Ürün Kar Tutarı]))</f>
        <v>0</v>
      </c>
      <c r="H468" s="14"/>
      <c r="J468" s="9" cm="1">
        <f t="array" ref="J468">SUMPRODUCT((Tablo3[Urun Ad]=I468)*(Tablo3[Ürün Kar Tutarı]))</f>
        <v>0</v>
      </c>
      <c r="L468" s="37"/>
    </row>
    <row r="469" spans="1:12" x14ac:dyDescent="0.25">
      <c r="A469" s="13"/>
      <c r="B469" s="9" cm="1">
        <f t="array" ref="B469">SUMPRODUCT((Tablo3[Personel Ad]=A469)*(Tablo3[Ürün Kar Tutarı]))</f>
        <v>0</v>
      </c>
      <c r="D469" s="14"/>
      <c r="F469" s="9" cm="1">
        <f t="array" ref="F469">SUMPRODUCT((Tablo3[Şehirler]=E469)*(Tablo3[Ürün Kar Tutarı]))</f>
        <v>0</v>
      </c>
      <c r="H469" s="14"/>
      <c r="J469" s="9" cm="1">
        <f t="array" ref="J469">SUMPRODUCT((Tablo3[Urun Ad]=I469)*(Tablo3[Ürün Kar Tutarı]))</f>
        <v>0</v>
      </c>
      <c r="L469" s="37"/>
    </row>
    <row r="470" spans="1:12" x14ac:dyDescent="0.25">
      <c r="A470" s="13"/>
      <c r="B470" s="9" cm="1">
        <f t="array" ref="B470">SUMPRODUCT((Tablo3[Personel Ad]=A470)*(Tablo3[Ürün Kar Tutarı]))</f>
        <v>0</v>
      </c>
      <c r="D470" s="14"/>
      <c r="F470" s="9" cm="1">
        <f t="array" ref="F470">SUMPRODUCT((Tablo3[Şehirler]=E470)*(Tablo3[Ürün Kar Tutarı]))</f>
        <v>0</v>
      </c>
      <c r="H470" s="14"/>
      <c r="J470" s="9" cm="1">
        <f t="array" ref="J470">SUMPRODUCT((Tablo3[Urun Ad]=I470)*(Tablo3[Ürün Kar Tutarı]))</f>
        <v>0</v>
      </c>
      <c r="L470" s="37"/>
    </row>
    <row r="471" spans="1:12" x14ac:dyDescent="0.25">
      <c r="A471" s="13"/>
      <c r="B471" s="9" cm="1">
        <f t="array" ref="B471">SUMPRODUCT((Tablo3[Personel Ad]=A471)*(Tablo3[Ürün Kar Tutarı]))</f>
        <v>0</v>
      </c>
      <c r="D471" s="14"/>
      <c r="F471" s="9" cm="1">
        <f t="array" ref="F471">SUMPRODUCT((Tablo3[Şehirler]=E471)*(Tablo3[Ürün Kar Tutarı]))</f>
        <v>0</v>
      </c>
      <c r="H471" s="14"/>
      <c r="J471" s="9" cm="1">
        <f t="array" ref="J471">SUMPRODUCT((Tablo3[Urun Ad]=I471)*(Tablo3[Ürün Kar Tutarı]))</f>
        <v>0</v>
      </c>
      <c r="L471" s="37"/>
    </row>
    <row r="472" spans="1:12" x14ac:dyDescent="0.25">
      <c r="A472" s="13"/>
      <c r="B472" s="9" cm="1">
        <f t="array" ref="B472">SUMPRODUCT((Tablo3[Personel Ad]=A472)*(Tablo3[Ürün Kar Tutarı]))</f>
        <v>0</v>
      </c>
      <c r="D472" s="14"/>
      <c r="F472" s="9" cm="1">
        <f t="array" ref="F472">SUMPRODUCT((Tablo3[Şehirler]=E472)*(Tablo3[Ürün Kar Tutarı]))</f>
        <v>0</v>
      </c>
      <c r="H472" s="14"/>
      <c r="J472" s="9" cm="1">
        <f t="array" ref="J472">SUMPRODUCT((Tablo3[Urun Ad]=I472)*(Tablo3[Ürün Kar Tutarı]))</f>
        <v>0</v>
      </c>
      <c r="L472" s="37"/>
    </row>
    <row r="473" spans="1:12" x14ac:dyDescent="0.25">
      <c r="A473" s="13"/>
      <c r="B473" s="9" cm="1">
        <f t="array" ref="B473">SUMPRODUCT((Tablo3[Personel Ad]=A473)*(Tablo3[Ürün Kar Tutarı]))</f>
        <v>0</v>
      </c>
      <c r="D473" s="14"/>
      <c r="F473" s="9" cm="1">
        <f t="array" ref="F473">SUMPRODUCT((Tablo3[Şehirler]=E473)*(Tablo3[Ürün Kar Tutarı]))</f>
        <v>0</v>
      </c>
      <c r="H473" s="14"/>
      <c r="J473" s="9" cm="1">
        <f t="array" ref="J473">SUMPRODUCT((Tablo3[Urun Ad]=I473)*(Tablo3[Ürün Kar Tutarı]))</f>
        <v>0</v>
      </c>
      <c r="L473" s="37"/>
    </row>
    <row r="474" spans="1:12" x14ac:dyDescent="0.25">
      <c r="A474" s="13"/>
      <c r="B474" s="9" cm="1">
        <f t="array" ref="B474">SUMPRODUCT((Tablo3[Personel Ad]=A474)*(Tablo3[Ürün Kar Tutarı]))</f>
        <v>0</v>
      </c>
      <c r="D474" s="14"/>
      <c r="F474" s="9" cm="1">
        <f t="array" ref="F474">SUMPRODUCT((Tablo3[Şehirler]=E474)*(Tablo3[Ürün Kar Tutarı]))</f>
        <v>0</v>
      </c>
      <c r="H474" s="14"/>
      <c r="J474" s="9" cm="1">
        <f t="array" ref="J474">SUMPRODUCT((Tablo3[Urun Ad]=I474)*(Tablo3[Ürün Kar Tutarı]))</f>
        <v>0</v>
      </c>
      <c r="L474" s="37"/>
    </row>
    <row r="475" spans="1:12" x14ac:dyDescent="0.25">
      <c r="A475" s="13"/>
      <c r="B475" s="9" cm="1">
        <f t="array" ref="B475">SUMPRODUCT((Tablo3[Personel Ad]=A475)*(Tablo3[Ürün Kar Tutarı]))</f>
        <v>0</v>
      </c>
      <c r="D475" s="14"/>
      <c r="F475" s="9" cm="1">
        <f t="array" ref="F475">SUMPRODUCT((Tablo3[Şehirler]=E475)*(Tablo3[Ürün Kar Tutarı]))</f>
        <v>0</v>
      </c>
      <c r="H475" s="14"/>
      <c r="J475" s="9" cm="1">
        <f t="array" ref="J475">SUMPRODUCT((Tablo3[Urun Ad]=I475)*(Tablo3[Ürün Kar Tutarı]))</f>
        <v>0</v>
      </c>
      <c r="L475" s="37"/>
    </row>
    <row r="476" spans="1:12" x14ac:dyDescent="0.25">
      <c r="A476" s="13"/>
      <c r="B476" s="9" cm="1">
        <f t="array" ref="B476">SUMPRODUCT((Tablo3[Personel Ad]=A476)*(Tablo3[Ürün Kar Tutarı]))</f>
        <v>0</v>
      </c>
      <c r="D476" s="14"/>
      <c r="F476" s="9" cm="1">
        <f t="array" ref="F476">SUMPRODUCT((Tablo3[Şehirler]=E476)*(Tablo3[Ürün Kar Tutarı]))</f>
        <v>0</v>
      </c>
      <c r="H476" s="14"/>
      <c r="J476" s="9" cm="1">
        <f t="array" ref="J476">SUMPRODUCT((Tablo3[Urun Ad]=I476)*(Tablo3[Ürün Kar Tutarı]))</f>
        <v>0</v>
      </c>
      <c r="L476" s="37"/>
    </row>
    <row r="477" spans="1:12" x14ac:dyDescent="0.25">
      <c r="A477" s="13"/>
      <c r="B477" s="9" cm="1">
        <f t="array" ref="B477">SUMPRODUCT((Tablo3[Personel Ad]=A477)*(Tablo3[Ürün Kar Tutarı]))</f>
        <v>0</v>
      </c>
      <c r="D477" s="14"/>
      <c r="F477" s="9" cm="1">
        <f t="array" ref="F477">SUMPRODUCT((Tablo3[Şehirler]=E477)*(Tablo3[Ürün Kar Tutarı]))</f>
        <v>0</v>
      </c>
      <c r="H477" s="14"/>
      <c r="J477" s="9" cm="1">
        <f t="array" ref="J477">SUMPRODUCT((Tablo3[Urun Ad]=I477)*(Tablo3[Ürün Kar Tutarı]))</f>
        <v>0</v>
      </c>
      <c r="L477" s="37"/>
    </row>
    <row r="478" spans="1:12" x14ac:dyDescent="0.25">
      <c r="A478" s="13"/>
      <c r="B478" s="9" cm="1">
        <f t="array" ref="B478">SUMPRODUCT((Tablo3[Personel Ad]=A478)*(Tablo3[Ürün Kar Tutarı]))</f>
        <v>0</v>
      </c>
      <c r="D478" s="14"/>
      <c r="F478" s="9" cm="1">
        <f t="array" ref="F478">SUMPRODUCT((Tablo3[Şehirler]=E478)*(Tablo3[Ürün Kar Tutarı]))</f>
        <v>0</v>
      </c>
      <c r="H478" s="14"/>
      <c r="J478" s="9" cm="1">
        <f t="array" ref="J478">SUMPRODUCT((Tablo3[Urun Ad]=I478)*(Tablo3[Ürün Kar Tutarı]))</f>
        <v>0</v>
      </c>
      <c r="L478" s="37"/>
    </row>
    <row r="479" spans="1:12" x14ac:dyDescent="0.25">
      <c r="A479" s="13"/>
      <c r="B479" s="9" cm="1">
        <f t="array" ref="B479">SUMPRODUCT((Tablo3[Personel Ad]=A479)*(Tablo3[Ürün Kar Tutarı]))</f>
        <v>0</v>
      </c>
      <c r="D479" s="14"/>
      <c r="F479" s="9" cm="1">
        <f t="array" ref="F479">SUMPRODUCT((Tablo3[Şehirler]=E479)*(Tablo3[Ürün Kar Tutarı]))</f>
        <v>0</v>
      </c>
      <c r="H479" s="14"/>
      <c r="J479" s="9" cm="1">
        <f t="array" ref="J479">SUMPRODUCT((Tablo3[Urun Ad]=I479)*(Tablo3[Ürün Kar Tutarı]))</f>
        <v>0</v>
      </c>
      <c r="L479" s="37"/>
    </row>
    <row r="480" spans="1:12" x14ac:dyDescent="0.25">
      <c r="A480" s="13"/>
      <c r="B480" s="9" cm="1">
        <f t="array" ref="B480">SUMPRODUCT((Tablo3[Personel Ad]=A480)*(Tablo3[Ürün Kar Tutarı]))</f>
        <v>0</v>
      </c>
      <c r="D480" s="14"/>
      <c r="F480" s="9" cm="1">
        <f t="array" ref="F480">SUMPRODUCT((Tablo3[Şehirler]=E480)*(Tablo3[Ürün Kar Tutarı]))</f>
        <v>0</v>
      </c>
      <c r="H480" s="14"/>
      <c r="J480" s="9" cm="1">
        <f t="array" ref="J480">SUMPRODUCT((Tablo3[Urun Ad]=I480)*(Tablo3[Ürün Kar Tutarı]))</f>
        <v>0</v>
      </c>
      <c r="L480" s="37"/>
    </row>
    <row r="481" spans="1:12" x14ac:dyDescent="0.25">
      <c r="A481" s="13"/>
      <c r="B481" s="9" cm="1">
        <f t="array" ref="B481">SUMPRODUCT((Tablo3[Personel Ad]=A481)*(Tablo3[Ürün Kar Tutarı]))</f>
        <v>0</v>
      </c>
      <c r="D481" s="14"/>
      <c r="F481" s="9" cm="1">
        <f t="array" ref="F481">SUMPRODUCT((Tablo3[Şehirler]=E481)*(Tablo3[Ürün Kar Tutarı]))</f>
        <v>0</v>
      </c>
      <c r="H481" s="14"/>
      <c r="J481" s="9" cm="1">
        <f t="array" ref="J481">SUMPRODUCT((Tablo3[Urun Ad]=I481)*(Tablo3[Ürün Kar Tutarı]))</f>
        <v>0</v>
      </c>
      <c r="L481" s="37"/>
    </row>
    <row r="482" spans="1:12" x14ac:dyDescent="0.25">
      <c r="A482" s="13"/>
      <c r="B482" s="9" cm="1">
        <f t="array" ref="B482">SUMPRODUCT((Tablo3[Personel Ad]=A482)*(Tablo3[Ürün Kar Tutarı]))</f>
        <v>0</v>
      </c>
      <c r="D482" s="14"/>
      <c r="F482" s="9" cm="1">
        <f t="array" ref="F482">SUMPRODUCT((Tablo3[Şehirler]=E482)*(Tablo3[Ürün Kar Tutarı]))</f>
        <v>0</v>
      </c>
      <c r="H482" s="14"/>
      <c r="J482" s="9" cm="1">
        <f t="array" ref="J482">SUMPRODUCT((Tablo3[Urun Ad]=I482)*(Tablo3[Ürün Kar Tutarı]))</f>
        <v>0</v>
      </c>
      <c r="L482" s="37"/>
    </row>
    <row r="483" spans="1:12" x14ac:dyDescent="0.25">
      <c r="A483" s="13"/>
      <c r="B483" s="9" cm="1">
        <f t="array" ref="B483">SUMPRODUCT((Tablo3[Personel Ad]=A483)*(Tablo3[Ürün Kar Tutarı]))</f>
        <v>0</v>
      </c>
      <c r="D483" s="14"/>
      <c r="F483" s="9" cm="1">
        <f t="array" ref="F483">SUMPRODUCT((Tablo3[Şehirler]=E483)*(Tablo3[Ürün Kar Tutarı]))</f>
        <v>0</v>
      </c>
      <c r="H483" s="14"/>
      <c r="J483" s="9" cm="1">
        <f t="array" ref="J483">SUMPRODUCT((Tablo3[Urun Ad]=I483)*(Tablo3[Ürün Kar Tutarı]))</f>
        <v>0</v>
      </c>
      <c r="L483" s="37"/>
    </row>
    <row r="484" spans="1:12" x14ac:dyDescent="0.25">
      <c r="A484" s="13"/>
      <c r="B484" s="9" cm="1">
        <f t="array" ref="B484">SUMPRODUCT((Tablo3[Personel Ad]=A484)*(Tablo3[Ürün Kar Tutarı]))</f>
        <v>0</v>
      </c>
      <c r="D484" s="14"/>
      <c r="F484" s="9" cm="1">
        <f t="array" ref="F484">SUMPRODUCT((Tablo3[Şehirler]=E484)*(Tablo3[Ürün Kar Tutarı]))</f>
        <v>0</v>
      </c>
      <c r="H484" s="14"/>
      <c r="J484" s="9" cm="1">
        <f t="array" ref="J484">SUMPRODUCT((Tablo3[Urun Ad]=I484)*(Tablo3[Ürün Kar Tutarı]))</f>
        <v>0</v>
      </c>
      <c r="L484" s="37"/>
    </row>
    <row r="485" spans="1:12" x14ac:dyDescent="0.25">
      <c r="A485" s="13"/>
      <c r="B485" s="9" cm="1">
        <f t="array" ref="B485">SUMPRODUCT((Tablo3[Personel Ad]=A485)*(Tablo3[Ürün Kar Tutarı]))</f>
        <v>0</v>
      </c>
      <c r="D485" s="14"/>
      <c r="F485" s="9" cm="1">
        <f t="array" ref="F485">SUMPRODUCT((Tablo3[Şehirler]=E485)*(Tablo3[Ürün Kar Tutarı]))</f>
        <v>0</v>
      </c>
      <c r="H485" s="14"/>
      <c r="J485" s="9" cm="1">
        <f t="array" ref="J485">SUMPRODUCT((Tablo3[Urun Ad]=I485)*(Tablo3[Ürün Kar Tutarı]))</f>
        <v>0</v>
      </c>
      <c r="L485" s="37"/>
    </row>
    <row r="486" spans="1:12" x14ac:dyDescent="0.25">
      <c r="A486" s="13"/>
      <c r="B486" s="9" cm="1">
        <f t="array" ref="B486">SUMPRODUCT((Tablo3[Personel Ad]=A486)*(Tablo3[Ürün Kar Tutarı]))</f>
        <v>0</v>
      </c>
      <c r="D486" s="14"/>
      <c r="F486" s="9" cm="1">
        <f t="array" ref="F486">SUMPRODUCT((Tablo3[Şehirler]=E486)*(Tablo3[Ürün Kar Tutarı]))</f>
        <v>0</v>
      </c>
      <c r="H486" s="14"/>
      <c r="J486" s="9" cm="1">
        <f t="array" ref="J486">SUMPRODUCT((Tablo3[Urun Ad]=I486)*(Tablo3[Ürün Kar Tutarı]))</f>
        <v>0</v>
      </c>
      <c r="L486" s="37"/>
    </row>
    <row r="487" spans="1:12" x14ac:dyDescent="0.25">
      <c r="A487" s="13"/>
      <c r="B487" s="9" cm="1">
        <f t="array" ref="B487">SUMPRODUCT((Tablo3[Personel Ad]=A487)*(Tablo3[Ürün Kar Tutarı]))</f>
        <v>0</v>
      </c>
      <c r="D487" s="14"/>
      <c r="F487" s="9" cm="1">
        <f t="array" ref="F487">SUMPRODUCT((Tablo3[Şehirler]=E487)*(Tablo3[Ürün Kar Tutarı]))</f>
        <v>0</v>
      </c>
      <c r="H487" s="14"/>
      <c r="J487" s="9" cm="1">
        <f t="array" ref="J487">SUMPRODUCT((Tablo3[Urun Ad]=I487)*(Tablo3[Ürün Kar Tutarı]))</f>
        <v>0</v>
      </c>
      <c r="L487" s="37"/>
    </row>
    <row r="488" spans="1:12" x14ac:dyDescent="0.25">
      <c r="A488" s="13"/>
      <c r="B488" s="9" cm="1">
        <f t="array" ref="B488">SUMPRODUCT((Tablo3[Personel Ad]=A488)*(Tablo3[Ürün Kar Tutarı]))</f>
        <v>0</v>
      </c>
      <c r="D488" s="14"/>
      <c r="F488" s="9" cm="1">
        <f t="array" ref="F488">SUMPRODUCT((Tablo3[Şehirler]=E488)*(Tablo3[Ürün Kar Tutarı]))</f>
        <v>0</v>
      </c>
      <c r="H488" s="14"/>
      <c r="J488" s="9" cm="1">
        <f t="array" ref="J488">SUMPRODUCT((Tablo3[Urun Ad]=I488)*(Tablo3[Ürün Kar Tutarı]))</f>
        <v>0</v>
      </c>
      <c r="L488" s="37"/>
    </row>
    <row r="489" spans="1:12" x14ac:dyDescent="0.25">
      <c r="A489" s="13"/>
      <c r="B489" s="9" cm="1">
        <f t="array" ref="B489">SUMPRODUCT((Tablo3[Personel Ad]=A489)*(Tablo3[Ürün Kar Tutarı]))</f>
        <v>0</v>
      </c>
      <c r="D489" s="14"/>
      <c r="F489" s="9" cm="1">
        <f t="array" ref="F489">SUMPRODUCT((Tablo3[Şehirler]=E489)*(Tablo3[Ürün Kar Tutarı]))</f>
        <v>0</v>
      </c>
      <c r="H489" s="14"/>
      <c r="J489" s="9" cm="1">
        <f t="array" ref="J489">SUMPRODUCT((Tablo3[Urun Ad]=I489)*(Tablo3[Ürün Kar Tutarı]))</f>
        <v>0</v>
      </c>
      <c r="L489" s="37"/>
    </row>
    <row r="490" spans="1:12" x14ac:dyDescent="0.25">
      <c r="A490" s="13"/>
      <c r="B490" s="9" cm="1">
        <f t="array" ref="B490">SUMPRODUCT((Tablo3[Personel Ad]=A490)*(Tablo3[Ürün Kar Tutarı]))</f>
        <v>0</v>
      </c>
      <c r="D490" s="14"/>
      <c r="F490" s="9" cm="1">
        <f t="array" ref="F490">SUMPRODUCT((Tablo3[Şehirler]=E490)*(Tablo3[Ürün Kar Tutarı]))</f>
        <v>0</v>
      </c>
      <c r="H490" s="14"/>
      <c r="J490" s="9" cm="1">
        <f t="array" ref="J490">SUMPRODUCT((Tablo3[Urun Ad]=I490)*(Tablo3[Ürün Kar Tutarı]))</f>
        <v>0</v>
      </c>
      <c r="L490" s="37"/>
    </row>
    <row r="491" spans="1:12" x14ac:dyDescent="0.25">
      <c r="A491" s="13"/>
      <c r="B491" s="9" cm="1">
        <f t="array" ref="B491">SUMPRODUCT((Tablo3[Personel Ad]=A491)*(Tablo3[Ürün Kar Tutarı]))</f>
        <v>0</v>
      </c>
      <c r="D491" s="14"/>
      <c r="F491" s="9" cm="1">
        <f t="array" ref="F491">SUMPRODUCT((Tablo3[Şehirler]=E491)*(Tablo3[Ürün Kar Tutarı]))</f>
        <v>0</v>
      </c>
      <c r="H491" s="14"/>
      <c r="J491" s="9" cm="1">
        <f t="array" ref="J491">SUMPRODUCT((Tablo3[Urun Ad]=I491)*(Tablo3[Ürün Kar Tutarı]))</f>
        <v>0</v>
      </c>
      <c r="L491" s="37"/>
    </row>
    <row r="492" spans="1:12" x14ac:dyDescent="0.25">
      <c r="A492" s="13"/>
      <c r="B492" s="9" cm="1">
        <f t="array" ref="B492">SUMPRODUCT((Tablo3[Personel Ad]=A492)*(Tablo3[Ürün Kar Tutarı]))</f>
        <v>0</v>
      </c>
      <c r="D492" s="14"/>
      <c r="F492" s="9" cm="1">
        <f t="array" ref="F492">SUMPRODUCT((Tablo3[Şehirler]=E492)*(Tablo3[Ürün Kar Tutarı]))</f>
        <v>0</v>
      </c>
      <c r="H492" s="14"/>
      <c r="J492" s="9" cm="1">
        <f t="array" ref="J492">SUMPRODUCT((Tablo3[Urun Ad]=I492)*(Tablo3[Ürün Kar Tutarı]))</f>
        <v>0</v>
      </c>
      <c r="L492" s="37"/>
    </row>
    <row r="493" spans="1:12" x14ac:dyDescent="0.25">
      <c r="A493" s="13"/>
      <c r="B493" s="9" cm="1">
        <f t="array" ref="B493">SUMPRODUCT((Tablo3[Personel Ad]=A493)*(Tablo3[Ürün Kar Tutarı]))</f>
        <v>0</v>
      </c>
      <c r="D493" s="14"/>
      <c r="F493" s="9" cm="1">
        <f t="array" ref="F493">SUMPRODUCT((Tablo3[Şehirler]=E493)*(Tablo3[Ürün Kar Tutarı]))</f>
        <v>0</v>
      </c>
      <c r="H493" s="14"/>
      <c r="J493" s="9" cm="1">
        <f t="array" ref="J493">SUMPRODUCT((Tablo3[Urun Ad]=I493)*(Tablo3[Ürün Kar Tutarı]))</f>
        <v>0</v>
      </c>
      <c r="L493" s="37"/>
    </row>
    <row r="494" spans="1:12" x14ac:dyDescent="0.25">
      <c r="A494" s="13"/>
      <c r="B494" s="9" cm="1">
        <f t="array" ref="B494">SUMPRODUCT((Tablo3[Personel Ad]=A494)*(Tablo3[Ürün Kar Tutarı]))</f>
        <v>0</v>
      </c>
      <c r="D494" s="14"/>
      <c r="F494" s="9" cm="1">
        <f t="array" ref="F494">SUMPRODUCT((Tablo3[Şehirler]=E494)*(Tablo3[Ürün Kar Tutarı]))</f>
        <v>0</v>
      </c>
      <c r="H494" s="14"/>
      <c r="J494" s="9" cm="1">
        <f t="array" ref="J494">SUMPRODUCT((Tablo3[Urun Ad]=I494)*(Tablo3[Ürün Kar Tutarı]))</f>
        <v>0</v>
      </c>
      <c r="L494" s="37"/>
    </row>
    <row r="495" spans="1:12" x14ac:dyDescent="0.25">
      <c r="A495" s="13"/>
      <c r="B495" s="9" cm="1">
        <f t="array" ref="B495">SUMPRODUCT((Tablo3[Personel Ad]=A495)*(Tablo3[Ürün Kar Tutarı]))</f>
        <v>0</v>
      </c>
      <c r="D495" s="14"/>
      <c r="F495" s="9" cm="1">
        <f t="array" ref="F495">SUMPRODUCT((Tablo3[Şehirler]=E495)*(Tablo3[Ürün Kar Tutarı]))</f>
        <v>0</v>
      </c>
      <c r="H495" s="14"/>
      <c r="J495" s="9" cm="1">
        <f t="array" ref="J495">SUMPRODUCT((Tablo3[Urun Ad]=I495)*(Tablo3[Ürün Kar Tutarı]))</f>
        <v>0</v>
      </c>
      <c r="L495" s="37"/>
    </row>
    <row r="496" spans="1:12" x14ac:dyDescent="0.25">
      <c r="A496" s="13"/>
      <c r="B496" s="9" cm="1">
        <f t="array" ref="B496">SUMPRODUCT((Tablo3[Personel Ad]=A496)*(Tablo3[Ürün Kar Tutarı]))</f>
        <v>0</v>
      </c>
      <c r="D496" s="14"/>
      <c r="F496" s="9" cm="1">
        <f t="array" ref="F496">SUMPRODUCT((Tablo3[Şehirler]=E496)*(Tablo3[Ürün Kar Tutarı]))</f>
        <v>0</v>
      </c>
      <c r="H496" s="14"/>
      <c r="J496" s="9" cm="1">
        <f t="array" ref="J496">SUMPRODUCT((Tablo3[Urun Ad]=I496)*(Tablo3[Ürün Kar Tutarı]))</f>
        <v>0</v>
      </c>
      <c r="L496" s="37"/>
    </row>
    <row r="497" spans="1:12" x14ac:dyDescent="0.25">
      <c r="A497" s="13"/>
      <c r="B497" s="9" cm="1">
        <f t="array" ref="B497">SUMPRODUCT((Tablo3[Personel Ad]=A497)*(Tablo3[Ürün Kar Tutarı]))</f>
        <v>0</v>
      </c>
      <c r="D497" s="14"/>
      <c r="F497" s="9" cm="1">
        <f t="array" ref="F497">SUMPRODUCT((Tablo3[Şehirler]=E497)*(Tablo3[Ürün Kar Tutarı]))</f>
        <v>0</v>
      </c>
      <c r="H497" s="14"/>
      <c r="J497" s="9" cm="1">
        <f t="array" ref="J497">SUMPRODUCT((Tablo3[Urun Ad]=I497)*(Tablo3[Ürün Kar Tutarı]))</f>
        <v>0</v>
      </c>
      <c r="L497" s="37"/>
    </row>
    <row r="498" spans="1:12" x14ac:dyDescent="0.25">
      <c r="A498" s="13"/>
      <c r="B498" s="9" cm="1">
        <f t="array" ref="B498">SUMPRODUCT((Tablo3[Personel Ad]=A498)*(Tablo3[Ürün Kar Tutarı]))</f>
        <v>0</v>
      </c>
      <c r="D498" s="14"/>
      <c r="F498" s="9" cm="1">
        <f t="array" ref="F498">SUMPRODUCT((Tablo3[Şehirler]=E498)*(Tablo3[Ürün Kar Tutarı]))</f>
        <v>0</v>
      </c>
      <c r="H498" s="14"/>
      <c r="J498" s="9" cm="1">
        <f t="array" ref="J498">SUMPRODUCT((Tablo3[Urun Ad]=I498)*(Tablo3[Ürün Kar Tutarı]))</f>
        <v>0</v>
      </c>
      <c r="L498" s="37"/>
    </row>
    <row r="499" spans="1:12" x14ac:dyDescent="0.25">
      <c r="A499" s="13"/>
      <c r="B499" s="9" cm="1">
        <f t="array" ref="B499">SUMPRODUCT((Tablo3[Personel Ad]=A499)*(Tablo3[Ürün Kar Tutarı]))</f>
        <v>0</v>
      </c>
      <c r="D499" s="14"/>
      <c r="F499" s="9" cm="1">
        <f t="array" ref="F499">SUMPRODUCT((Tablo3[Şehirler]=E499)*(Tablo3[Ürün Kar Tutarı]))</f>
        <v>0</v>
      </c>
      <c r="H499" s="14"/>
      <c r="J499" s="9" cm="1">
        <f t="array" ref="J499">SUMPRODUCT((Tablo3[Urun Ad]=I499)*(Tablo3[Ürün Kar Tutarı]))</f>
        <v>0</v>
      </c>
      <c r="L499" s="37"/>
    </row>
    <row r="500" spans="1:12" x14ac:dyDescent="0.25">
      <c r="A500" s="13"/>
      <c r="B500" s="9" cm="1">
        <f t="array" ref="B500">SUMPRODUCT((Tablo3[Personel Ad]=A500)*(Tablo3[Ürün Kar Tutarı]))</f>
        <v>0</v>
      </c>
      <c r="D500" s="14"/>
      <c r="F500" s="9" cm="1">
        <f t="array" ref="F500">SUMPRODUCT((Tablo3[Şehirler]=E500)*(Tablo3[Ürün Kar Tutarı]))</f>
        <v>0</v>
      </c>
      <c r="H500" s="14"/>
      <c r="J500" s="9" cm="1">
        <f t="array" ref="J500">SUMPRODUCT((Tablo3[Urun Ad]=I500)*(Tablo3[Ürün Kar Tutarı]))</f>
        <v>0</v>
      </c>
      <c r="L500" s="37"/>
    </row>
    <row r="501" spans="1:12" x14ac:dyDescent="0.25">
      <c r="A501" s="13"/>
      <c r="B501" s="9" cm="1">
        <f t="array" ref="B501">SUMPRODUCT((Tablo3[Personel Ad]=A501)*(Tablo3[Ürün Kar Tutarı]))</f>
        <v>0</v>
      </c>
      <c r="D501" s="14"/>
      <c r="F501" s="9" cm="1">
        <f t="array" ref="F501">SUMPRODUCT((Tablo3[Şehirler]=E501)*(Tablo3[Ürün Kar Tutarı]))</f>
        <v>0</v>
      </c>
      <c r="H501" s="14"/>
      <c r="J501" s="9" cm="1">
        <f t="array" ref="J501">SUMPRODUCT((Tablo3[Urun Ad]=I501)*(Tablo3[Ürün Kar Tutarı]))</f>
        <v>0</v>
      </c>
      <c r="L501" s="37"/>
    </row>
    <row r="502" spans="1:12" x14ac:dyDescent="0.25">
      <c r="A502" s="13"/>
      <c r="B502" s="9" cm="1">
        <f t="array" ref="B502">SUMPRODUCT((Tablo3[Personel Ad]=A502)*(Tablo3[Ürün Kar Tutarı]))</f>
        <v>0</v>
      </c>
      <c r="D502" s="14"/>
      <c r="F502" s="9" cm="1">
        <f t="array" ref="F502">SUMPRODUCT((Tablo3[Şehirler]=E502)*(Tablo3[Ürün Kar Tutarı]))</f>
        <v>0</v>
      </c>
      <c r="H502" s="14"/>
      <c r="J502" s="9" cm="1">
        <f t="array" ref="J502">SUMPRODUCT((Tablo3[Urun Ad]=I502)*(Tablo3[Ürün Kar Tutarı]))</f>
        <v>0</v>
      </c>
      <c r="L502" s="37"/>
    </row>
    <row r="503" spans="1:12" x14ac:dyDescent="0.25">
      <c r="A503" s="13"/>
      <c r="B503" s="9" cm="1">
        <f t="array" ref="B503">SUMPRODUCT((Tablo3[Personel Ad]=A503)*(Tablo3[Ürün Kar Tutarı]))</f>
        <v>0</v>
      </c>
      <c r="D503" s="14"/>
      <c r="F503" s="9" cm="1">
        <f t="array" ref="F503">SUMPRODUCT((Tablo3[Şehirler]=E503)*(Tablo3[Ürün Kar Tutarı]))</f>
        <v>0</v>
      </c>
      <c r="H503" s="14"/>
      <c r="J503" s="9" cm="1">
        <f t="array" ref="J503">SUMPRODUCT((Tablo3[Urun Ad]=I503)*(Tablo3[Ürün Kar Tutarı]))</f>
        <v>0</v>
      </c>
      <c r="L503" s="37"/>
    </row>
    <row r="504" spans="1:12" x14ac:dyDescent="0.25">
      <c r="A504" s="13"/>
      <c r="B504" s="9" cm="1">
        <f t="array" ref="B504">SUMPRODUCT((Tablo3[Personel Ad]=A504)*(Tablo3[Ürün Kar Tutarı]))</f>
        <v>0</v>
      </c>
      <c r="D504" s="14"/>
      <c r="F504" s="9" cm="1">
        <f t="array" ref="F504">SUMPRODUCT((Tablo3[Şehirler]=E504)*(Tablo3[Ürün Kar Tutarı]))</f>
        <v>0</v>
      </c>
      <c r="H504" s="14"/>
      <c r="J504" s="9" cm="1">
        <f t="array" ref="J504">SUMPRODUCT((Tablo3[Urun Ad]=I504)*(Tablo3[Ürün Kar Tutarı]))</f>
        <v>0</v>
      </c>
      <c r="L504" s="37"/>
    </row>
    <row r="505" spans="1:12" x14ac:dyDescent="0.25">
      <c r="A505" s="13"/>
      <c r="B505" s="9" cm="1">
        <f t="array" ref="B505">SUMPRODUCT((Tablo3[Personel Ad]=A505)*(Tablo3[Ürün Kar Tutarı]))</f>
        <v>0</v>
      </c>
      <c r="D505" s="14"/>
      <c r="F505" s="9" cm="1">
        <f t="array" ref="F505">SUMPRODUCT((Tablo3[Şehirler]=E505)*(Tablo3[Ürün Kar Tutarı]))</f>
        <v>0</v>
      </c>
      <c r="H505" s="14"/>
      <c r="J505" s="9" cm="1">
        <f t="array" ref="J505">SUMPRODUCT((Tablo3[Urun Ad]=I505)*(Tablo3[Ürün Kar Tutarı]))</f>
        <v>0</v>
      </c>
      <c r="L505" s="37"/>
    </row>
    <row r="506" spans="1:12" x14ac:dyDescent="0.25">
      <c r="A506" s="13"/>
      <c r="B506" s="9" cm="1">
        <f t="array" ref="B506">SUMPRODUCT((Tablo3[Personel Ad]=A506)*(Tablo3[Ürün Kar Tutarı]))</f>
        <v>0</v>
      </c>
      <c r="D506" s="14"/>
      <c r="F506" s="9" cm="1">
        <f t="array" ref="F506">SUMPRODUCT((Tablo3[Şehirler]=E506)*(Tablo3[Ürün Kar Tutarı]))</f>
        <v>0</v>
      </c>
      <c r="H506" s="14"/>
      <c r="J506" s="9" cm="1">
        <f t="array" ref="J506">SUMPRODUCT((Tablo3[Urun Ad]=I506)*(Tablo3[Ürün Kar Tutarı]))</f>
        <v>0</v>
      </c>
      <c r="L506" s="37"/>
    </row>
    <row r="507" spans="1:12" x14ac:dyDescent="0.25">
      <c r="A507" s="13"/>
      <c r="B507" s="9" cm="1">
        <f t="array" ref="B507">SUMPRODUCT((Tablo3[Personel Ad]=A507)*(Tablo3[Ürün Kar Tutarı]))</f>
        <v>0</v>
      </c>
      <c r="D507" s="14"/>
      <c r="F507" s="9" cm="1">
        <f t="array" ref="F507">SUMPRODUCT((Tablo3[Şehirler]=E507)*(Tablo3[Ürün Kar Tutarı]))</f>
        <v>0</v>
      </c>
      <c r="H507" s="14"/>
      <c r="J507" s="9" cm="1">
        <f t="array" ref="J507">SUMPRODUCT((Tablo3[Urun Ad]=I507)*(Tablo3[Ürün Kar Tutarı]))</f>
        <v>0</v>
      </c>
      <c r="L507" s="37"/>
    </row>
    <row r="508" spans="1:12" x14ac:dyDescent="0.25">
      <c r="A508" s="13"/>
      <c r="B508" s="9" cm="1">
        <f t="array" ref="B508">SUMPRODUCT((Tablo3[Personel Ad]=A508)*(Tablo3[Ürün Kar Tutarı]))</f>
        <v>0</v>
      </c>
      <c r="D508" s="14"/>
      <c r="F508" s="9" cm="1">
        <f t="array" ref="F508">SUMPRODUCT((Tablo3[Şehirler]=E508)*(Tablo3[Ürün Kar Tutarı]))</f>
        <v>0</v>
      </c>
      <c r="H508" s="14"/>
      <c r="J508" s="9" cm="1">
        <f t="array" ref="J508">SUMPRODUCT((Tablo3[Urun Ad]=I508)*(Tablo3[Ürün Kar Tutarı]))</f>
        <v>0</v>
      </c>
      <c r="L508" s="37"/>
    </row>
    <row r="509" spans="1:12" x14ac:dyDescent="0.25">
      <c r="A509" s="13"/>
      <c r="B509" s="9" cm="1">
        <f t="array" ref="B509">SUMPRODUCT((Tablo3[Personel Ad]=A509)*(Tablo3[Ürün Kar Tutarı]))</f>
        <v>0</v>
      </c>
      <c r="D509" s="14"/>
      <c r="F509" s="9" cm="1">
        <f t="array" ref="F509">SUMPRODUCT((Tablo3[Şehirler]=E509)*(Tablo3[Ürün Kar Tutarı]))</f>
        <v>0</v>
      </c>
      <c r="H509" s="14"/>
      <c r="J509" s="9" cm="1">
        <f t="array" ref="J509">SUMPRODUCT((Tablo3[Urun Ad]=I509)*(Tablo3[Ürün Kar Tutarı]))</f>
        <v>0</v>
      </c>
      <c r="L509" s="37"/>
    </row>
    <row r="510" spans="1:12" x14ac:dyDescent="0.25">
      <c r="A510" s="13"/>
      <c r="B510" s="9" cm="1">
        <f t="array" ref="B510">SUMPRODUCT((Tablo3[Personel Ad]=A510)*(Tablo3[Ürün Kar Tutarı]))</f>
        <v>0</v>
      </c>
      <c r="D510" s="14"/>
      <c r="F510" s="9" cm="1">
        <f t="array" ref="F510">SUMPRODUCT((Tablo3[Şehirler]=E510)*(Tablo3[Ürün Kar Tutarı]))</f>
        <v>0</v>
      </c>
      <c r="H510" s="14"/>
      <c r="J510" s="9" cm="1">
        <f t="array" ref="J510">SUMPRODUCT((Tablo3[Urun Ad]=I510)*(Tablo3[Ürün Kar Tutarı]))</f>
        <v>0</v>
      </c>
      <c r="L510" s="37"/>
    </row>
    <row r="511" spans="1:12" x14ac:dyDescent="0.25">
      <c r="A511" s="13"/>
      <c r="B511" s="9" cm="1">
        <f t="array" ref="B511">SUMPRODUCT((Tablo3[Personel Ad]=A511)*(Tablo3[Ürün Kar Tutarı]))</f>
        <v>0</v>
      </c>
      <c r="D511" s="14"/>
      <c r="F511" s="9" cm="1">
        <f t="array" ref="F511">SUMPRODUCT((Tablo3[Şehirler]=E511)*(Tablo3[Ürün Kar Tutarı]))</f>
        <v>0</v>
      </c>
      <c r="H511" s="14"/>
      <c r="J511" s="9" cm="1">
        <f t="array" ref="J511">SUMPRODUCT((Tablo3[Urun Ad]=I511)*(Tablo3[Ürün Kar Tutarı]))</f>
        <v>0</v>
      </c>
      <c r="L511" s="37"/>
    </row>
    <row r="512" spans="1:12" x14ac:dyDescent="0.25">
      <c r="A512" s="13"/>
      <c r="B512" s="9" cm="1">
        <f t="array" ref="B512">SUMPRODUCT((Tablo3[Personel Ad]=A512)*(Tablo3[Ürün Kar Tutarı]))</f>
        <v>0</v>
      </c>
      <c r="D512" s="14"/>
      <c r="F512" s="9" cm="1">
        <f t="array" ref="F512">SUMPRODUCT((Tablo3[Şehirler]=E512)*(Tablo3[Ürün Kar Tutarı]))</f>
        <v>0</v>
      </c>
      <c r="H512" s="14"/>
      <c r="J512" s="9" cm="1">
        <f t="array" ref="J512">SUMPRODUCT((Tablo3[Urun Ad]=I512)*(Tablo3[Ürün Kar Tutarı]))</f>
        <v>0</v>
      </c>
      <c r="L512" s="37"/>
    </row>
    <row r="513" spans="1:12" x14ac:dyDescent="0.25">
      <c r="A513" s="13"/>
      <c r="B513" s="9" cm="1">
        <f t="array" ref="B513">SUMPRODUCT((Tablo3[Personel Ad]=A513)*(Tablo3[Ürün Kar Tutarı]))</f>
        <v>0</v>
      </c>
      <c r="D513" s="14"/>
      <c r="F513" s="9" cm="1">
        <f t="array" ref="F513">SUMPRODUCT((Tablo3[Şehirler]=E513)*(Tablo3[Ürün Kar Tutarı]))</f>
        <v>0</v>
      </c>
      <c r="H513" s="14"/>
      <c r="J513" s="9" cm="1">
        <f t="array" ref="J513">SUMPRODUCT((Tablo3[Urun Ad]=I513)*(Tablo3[Ürün Kar Tutarı]))</f>
        <v>0</v>
      </c>
      <c r="L513" s="37"/>
    </row>
    <row r="514" spans="1:12" x14ac:dyDescent="0.25">
      <c r="A514" s="13"/>
      <c r="B514" s="9" cm="1">
        <f t="array" ref="B514">SUMPRODUCT((Tablo3[Personel Ad]=A514)*(Tablo3[Ürün Kar Tutarı]))</f>
        <v>0</v>
      </c>
      <c r="D514" s="14"/>
      <c r="F514" s="9" cm="1">
        <f t="array" ref="F514">SUMPRODUCT((Tablo3[Şehirler]=E514)*(Tablo3[Ürün Kar Tutarı]))</f>
        <v>0</v>
      </c>
      <c r="H514" s="14"/>
      <c r="J514" s="9" cm="1">
        <f t="array" ref="J514">SUMPRODUCT((Tablo3[Urun Ad]=I514)*(Tablo3[Ürün Kar Tutarı]))</f>
        <v>0</v>
      </c>
      <c r="L514" s="37"/>
    </row>
    <row r="515" spans="1:12" x14ac:dyDescent="0.25">
      <c r="A515" s="13"/>
      <c r="B515" s="9" cm="1">
        <f t="array" ref="B515">SUMPRODUCT((Tablo3[Personel Ad]=A515)*(Tablo3[Ürün Kar Tutarı]))</f>
        <v>0</v>
      </c>
      <c r="D515" s="14"/>
      <c r="F515" s="9" cm="1">
        <f t="array" ref="F515">SUMPRODUCT((Tablo3[Şehirler]=E515)*(Tablo3[Ürün Kar Tutarı]))</f>
        <v>0</v>
      </c>
      <c r="H515" s="14"/>
      <c r="J515" s="9" cm="1">
        <f t="array" ref="J515">SUMPRODUCT((Tablo3[Urun Ad]=I515)*(Tablo3[Ürün Kar Tutarı]))</f>
        <v>0</v>
      </c>
      <c r="L515" s="37"/>
    </row>
    <row r="516" spans="1:12" x14ac:dyDescent="0.25">
      <c r="A516" s="13"/>
      <c r="B516" s="9" cm="1">
        <f t="array" ref="B516">SUMPRODUCT((Tablo3[Personel Ad]=A516)*(Tablo3[Ürün Kar Tutarı]))</f>
        <v>0</v>
      </c>
      <c r="D516" s="14"/>
      <c r="F516" s="9" cm="1">
        <f t="array" ref="F516">SUMPRODUCT((Tablo3[Şehirler]=E516)*(Tablo3[Ürün Kar Tutarı]))</f>
        <v>0</v>
      </c>
      <c r="H516" s="14"/>
      <c r="J516" s="9" cm="1">
        <f t="array" ref="J516">SUMPRODUCT((Tablo3[Urun Ad]=I516)*(Tablo3[Ürün Kar Tutarı]))</f>
        <v>0</v>
      </c>
      <c r="L516" s="37"/>
    </row>
    <row r="517" spans="1:12" x14ac:dyDescent="0.25">
      <c r="A517" s="13"/>
      <c r="B517" s="9" cm="1">
        <f t="array" ref="B517">SUMPRODUCT((Tablo3[Personel Ad]=A517)*(Tablo3[Ürün Kar Tutarı]))</f>
        <v>0</v>
      </c>
      <c r="D517" s="14"/>
      <c r="F517" s="9" cm="1">
        <f t="array" ref="F517">SUMPRODUCT((Tablo3[Şehirler]=E517)*(Tablo3[Ürün Kar Tutarı]))</f>
        <v>0</v>
      </c>
      <c r="H517" s="14"/>
      <c r="J517" s="9" cm="1">
        <f t="array" ref="J517">SUMPRODUCT((Tablo3[Urun Ad]=I517)*(Tablo3[Ürün Kar Tutarı]))</f>
        <v>0</v>
      </c>
      <c r="L517" s="37"/>
    </row>
    <row r="518" spans="1:12" x14ac:dyDescent="0.25">
      <c r="A518" s="13"/>
      <c r="B518" s="9" cm="1">
        <f t="array" ref="B518">SUMPRODUCT((Tablo3[Personel Ad]=A518)*(Tablo3[Ürün Kar Tutarı]))</f>
        <v>0</v>
      </c>
      <c r="D518" s="14"/>
      <c r="F518" s="9" cm="1">
        <f t="array" ref="F518">SUMPRODUCT((Tablo3[Şehirler]=E518)*(Tablo3[Ürün Kar Tutarı]))</f>
        <v>0</v>
      </c>
      <c r="H518" s="14"/>
      <c r="J518" s="9" cm="1">
        <f t="array" ref="J518">SUMPRODUCT((Tablo3[Urun Ad]=I518)*(Tablo3[Ürün Kar Tutarı]))</f>
        <v>0</v>
      </c>
      <c r="L518" s="37"/>
    </row>
    <row r="519" spans="1:12" x14ac:dyDescent="0.25">
      <c r="A519" s="13"/>
      <c r="B519" s="9" cm="1">
        <f t="array" ref="B519">SUMPRODUCT((Tablo3[Personel Ad]=A519)*(Tablo3[Ürün Kar Tutarı]))</f>
        <v>0</v>
      </c>
      <c r="D519" s="14"/>
      <c r="F519" s="9" cm="1">
        <f t="array" ref="F519">SUMPRODUCT((Tablo3[Şehirler]=E519)*(Tablo3[Ürün Kar Tutarı]))</f>
        <v>0</v>
      </c>
      <c r="H519" s="14"/>
      <c r="J519" s="9" cm="1">
        <f t="array" ref="J519">SUMPRODUCT((Tablo3[Urun Ad]=I519)*(Tablo3[Ürün Kar Tutarı]))</f>
        <v>0</v>
      </c>
      <c r="L519" s="37"/>
    </row>
    <row r="520" spans="1:12" x14ac:dyDescent="0.25">
      <c r="A520" s="13"/>
      <c r="B520" s="9" cm="1">
        <f t="array" ref="B520">SUMPRODUCT((Tablo3[Personel Ad]=A520)*(Tablo3[Ürün Kar Tutarı]))</f>
        <v>0</v>
      </c>
      <c r="D520" s="14"/>
      <c r="F520" s="9" cm="1">
        <f t="array" ref="F520">SUMPRODUCT((Tablo3[Şehirler]=E520)*(Tablo3[Ürün Kar Tutarı]))</f>
        <v>0</v>
      </c>
      <c r="H520" s="14"/>
      <c r="J520" s="9" cm="1">
        <f t="array" ref="J520">SUMPRODUCT((Tablo3[Urun Ad]=I520)*(Tablo3[Ürün Kar Tutarı]))</f>
        <v>0</v>
      </c>
      <c r="L520" s="37"/>
    </row>
    <row r="521" spans="1:12" x14ac:dyDescent="0.25">
      <c r="A521" s="13"/>
      <c r="B521" s="9" cm="1">
        <f t="array" ref="B521">SUMPRODUCT((Tablo3[Personel Ad]=A521)*(Tablo3[Ürün Kar Tutarı]))</f>
        <v>0</v>
      </c>
      <c r="D521" s="14"/>
      <c r="F521" s="9" cm="1">
        <f t="array" ref="F521">SUMPRODUCT((Tablo3[Şehirler]=E521)*(Tablo3[Ürün Kar Tutarı]))</f>
        <v>0</v>
      </c>
      <c r="H521" s="14"/>
      <c r="J521" s="9" cm="1">
        <f t="array" ref="J521">SUMPRODUCT((Tablo3[Urun Ad]=I521)*(Tablo3[Ürün Kar Tutarı]))</f>
        <v>0</v>
      </c>
      <c r="L521" s="37"/>
    </row>
    <row r="522" spans="1:12" x14ac:dyDescent="0.25">
      <c r="A522" s="13"/>
      <c r="B522" s="9" cm="1">
        <f t="array" ref="B522">SUMPRODUCT((Tablo3[Personel Ad]=A522)*(Tablo3[Ürün Kar Tutarı]))</f>
        <v>0</v>
      </c>
      <c r="D522" s="14"/>
      <c r="F522" s="9" cm="1">
        <f t="array" ref="F522">SUMPRODUCT((Tablo3[Şehirler]=E522)*(Tablo3[Ürün Kar Tutarı]))</f>
        <v>0</v>
      </c>
      <c r="H522" s="14"/>
      <c r="J522" s="9" cm="1">
        <f t="array" ref="J522">SUMPRODUCT((Tablo3[Urun Ad]=I522)*(Tablo3[Ürün Kar Tutarı]))</f>
        <v>0</v>
      </c>
      <c r="L522" s="37"/>
    </row>
    <row r="523" spans="1:12" x14ac:dyDescent="0.25">
      <c r="A523" s="13"/>
      <c r="B523" s="9" cm="1">
        <f t="array" ref="B523">SUMPRODUCT((Tablo3[Personel Ad]=A523)*(Tablo3[Ürün Kar Tutarı]))</f>
        <v>0</v>
      </c>
      <c r="D523" s="14"/>
      <c r="F523" s="9" cm="1">
        <f t="array" ref="F523">SUMPRODUCT((Tablo3[Şehirler]=E523)*(Tablo3[Ürün Kar Tutarı]))</f>
        <v>0</v>
      </c>
      <c r="H523" s="14"/>
      <c r="J523" s="9" cm="1">
        <f t="array" ref="J523">SUMPRODUCT((Tablo3[Urun Ad]=I523)*(Tablo3[Ürün Kar Tutarı]))</f>
        <v>0</v>
      </c>
      <c r="L523" s="37"/>
    </row>
    <row r="524" spans="1:12" x14ac:dyDescent="0.25">
      <c r="A524" s="13"/>
      <c r="B524" s="9" cm="1">
        <f t="array" ref="B524">SUMPRODUCT((Tablo3[Personel Ad]=A524)*(Tablo3[Ürün Kar Tutarı]))</f>
        <v>0</v>
      </c>
      <c r="D524" s="14"/>
      <c r="F524" s="9" cm="1">
        <f t="array" ref="F524">SUMPRODUCT((Tablo3[Şehirler]=E524)*(Tablo3[Ürün Kar Tutarı]))</f>
        <v>0</v>
      </c>
      <c r="H524" s="14"/>
      <c r="J524" s="9" cm="1">
        <f t="array" ref="J524">SUMPRODUCT((Tablo3[Urun Ad]=I524)*(Tablo3[Ürün Kar Tutarı]))</f>
        <v>0</v>
      </c>
      <c r="L524" s="37"/>
    </row>
    <row r="525" spans="1:12" x14ac:dyDescent="0.25">
      <c r="A525" s="13"/>
      <c r="B525" s="9" cm="1">
        <f t="array" ref="B525">SUMPRODUCT((Tablo3[Personel Ad]=A525)*(Tablo3[Ürün Kar Tutarı]))</f>
        <v>0</v>
      </c>
      <c r="D525" s="14"/>
      <c r="F525" s="9" cm="1">
        <f t="array" ref="F525">SUMPRODUCT((Tablo3[Şehirler]=E525)*(Tablo3[Ürün Kar Tutarı]))</f>
        <v>0</v>
      </c>
      <c r="H525" s="14"/>
      <c r="J525" s="9" cm="1">
        <f t="array" ref="J525">SUMPRODUCT((Tablo3[Urun Ad]=I525)*(Tablo3[Ürün Kar Tutarı]))</f>
        <v>0</v>
      </c>
      <c r="L525" s="37"/>
    </row>
    <row r="526" spans="1:12" x14ac:dyDescent="0.25">
      <c r="A526" s="13"/>
      <c r="B526" s="9" cm="1">
        <f t="array" ref="B526">SUMPRODUCT((Tablo3[Personel Ad]=A526)*(Tablo3[Ürün Kar Tutarı]))</f>
        <v>0</v>
      </c>
      <c r="D526" s="14"/>
      <c r="F526" s="9" cm="1">
        <f t="array" ref="F526">SUMPRODUCT((Tablo3[Şehirler]=E526)*(Tablo3[Ürün Kar Tutarı]))</f>
        <v>0</v>
      </c>
      <c r="H526" s="14"/>
      <c r="J526" s="9" cm="1">
        <f t="array" ref="J526">SUMPRODUCT((Tablo3[Urun Ad]=I526)*(Tablo3[Ürün Kar Tutarı]))</f>
        <v>0</v>
      </c>
      <c r="L526" s="37"/>
    </row>
    <row r="527" spans="1:12" x14ac:dyDescent="0.25">
      <c r="A527" s="13"/>
      <c r="B527" s="9" cm="1">
        <f t="array" ref="B527">SUMPRODUCT((Tablo3[Personel Ad]=A527)*(Tablo3[Ürün Kar Tutarı]))</f>
        <v>0</v>
      </c>
      <c r="D527" s="14"/>
      <c r="F527" s="9" cm="1">
        <f t="array" ref="F527">SUMPRODUCT((Tablo3[Şehirler]=E527)*(Tablo3[Ürün Kar Tutarı]))</f>
        <v>0</v>
      </c>
      <c r="H527" s="14"/>
      <c r="J527" s="9" cm="1">
        <f t="array" ref="J527">SUMPRODUCT((Tablo3[Urun Ad]=I527)*(Tablo3[Ürün Kar Tutarı]))</f>
        <v>0</v>
      </c>
      <c r="L527" s="37"/>
    </row>
    <row r="528" spans="1:12" x14ac:dyDescent="0.25">
      <c r="A528" s="13"/>
      <c r="B528" s="9" cm="1">
        <f t="array" ref="B528">SUMPRODUCT((Tablo3[Personel Ad]=A528)*(Tablo3[Ürün Kar Tutarı]))</f>
        <v>0</v>
      </c>
      <c r="D528" s="14"/>
      <c r="F528" s="9" cm="1">
        <f t="array" ref="F528">SUMPRODUCT((Tablo3[Şehirler]=E528)*(Tablo3[Ürün Kar Tutarı]))</f>
        <v>0</v>
      </c>
      <c r="H528" s="14"/>
      <c r="J528" s="9" cm="1">
        <f t="array" ref="J528">SUMPRODUCT((Tablo3[Urun Ad]=I528)*(Tablo3[Ürün Kar Tutarı]))</f>
        <v>0</v>
      </c>
      <c r="L528" s="37"/>
    </row>
    <row r="529" spans="1:12" x14ac:dyDescent="0.25">
      <c r="A529" s="13"/>
      <c r="B529" s="9" cm="1">
        <f t="array" ref="B529">SUMPRODUCT((Tablo3[Personel Ad]=A529)*(Tablo3[Ürün Kar Tutarı]))</f>
        <v>0</v>
      </c>
      <c r="D529" s="14"/>
      <c r="F529" s="9" cm="1">
        <f t="array" ref="F529">SUMPRODUCT((Tablo3[Şehirler]=E529)*(Tablo3[Ürün Kar Tutarı]))</f>
        <v>0</v>
      </c>
      <c r="H529" s="14"/>
      <c r="J529" s="9" cm="1">
        <f t="array" ref="J529">SUMPRODUCT((Tablo3[Urun Ad]=I529)*(Tablo3[Ürün Kar Tutarı]))</f>
        <v>0</v>
      </c>
      <c r="L529" s="37"/>
    </row>
    <row r="530" spans="1:12" x14ac:dyDescent="0.25">
      <c r="A530" s="13"/>
      <c r="B530" s="9" cm="1">
        <f t="array" ref="B530">SUMPRODUCT((Tablo3[Personel Ad]=A530)*(Tablo3[Ürün Kar Tutarı]))</f>
        <v>0</v>
      </c>
      <c r="D530" s="14"/>
      <c r="F530" s="9" cm="1">
        <f t="array" ref="F530">SUMPRODUCT((Tablo3[Şehirler]=E530)*(Tablo3[Ürün Kar Tutarı]))</f>
        <v>0</v>
      </c>
      <c r="H530" s="14"/>
      <c r="J530" s="9" cm="1">
        <f t="array" ref="J530">SUMPRODUCT((Tablo3[Urun Ad]=I530)*(Tablo3[Ürün Kar Tutarı]))</f>
        <v>0</v>
      </c>
      <c r="L530" s="37"/>
    </row>
    <row r="531" spans="1:12" x14ac:dyDescent="0.25">
      <c r="A531" s="13"/>
      <c r="B531" s="9" cm="1">
        <f t="array" ref="B531">SUMPRODUCT((Tablo3[Personel Ad]=A531)*(Tablo3[Ürün Kar Tutarı]))</f>
        <v>0</v>
      </c>
      <c r="D531" s="14"/>
      <c r="F531" s="9" cm="1">
        <f t="array" ref="F531">SUMPRODUCT((Tablo3[Şehirler]=E531)*(Tablo3[Ürün Kar Tutarı]))</f>
        <v>0</v>
      </c>
      <c r="H531" s="14"/>
      <c r="J531" s="9" cm="1">
        <f t="array" ref="J531">SUMPRODUCT((Tablo3[Urun Ad]=I531)*(Tablo3[Ürün Kar Tutarı]))</f>
        <v>0</v>
      </c>
      <c r="L531" s="37"/>
    </row>
    <row r="532" spans="1:12" x14ac:dyDescent="0.25">
      <c r="A532" s="13"/>
      <c r="B532" s="9" cm="1">
        <f t="array" ref="B532">SUMPRODUCT((Tablo3[Personel Ad]=A532)*(Tablo3[Ürün Kar Tutarı]))</f>
        <v>0</v>
      </c>
      <c r="D532" s="14"/>
      <c r="F532" s="9" cm="1">
        <f t="array" ref="F532">SUMPRODUCT((Tablo3[Şehirler]=E532)*(Tablo3[Ürün Kar Tutarı]))</f>
        <v>0</v>
      </c>
      <c r="H532" s="14"/>
      <c r="J532" s="9" cm="1">
        <f t="array" ref="J532">SUMPRODUCT((Tablo3[Urun Ad]=I532)*(Tablo3[Ürün Kar Tutarı]))</f>
        <v>0</v>
      </c>
      <c r="L532" s="37"/>
    </row>
    <row r="533" spans="1:12" x14ac:dyDescent="0.25">
      <c r="A533" s="13"/>
      <c r="B533" s="9" cm="1">
        <f t="array" ref="B533">SUMPRODUCT((Tablo3[Personel Ad]=A533)*(Tablo3[Ürün Kar Tutarı]))</f>
        <v>0</v>
      </c>
      <c r="D533" s="14"/>
      <c r="F533" s="9" cm="1">
        <f t="array" ref="F533">SUMPRODUCT((Tablo3[Şehirler]=E533)*(Tablo3[Ürün Kar Tutarı]))</f>
        <v>0</v>
      </c>
      <c r="H533" s="14"/>
      <c r="J533" s="9" cm="1">
        <f t="array" ref="J533">SUMPRODUCT((Tablo3[Urun Ad]=I533)*(Tablo3[Ürün Kar Tutarı]))</f>
        <v>0</v>
      </c>
      <c r="L533" s="37"/>
    </row>
    <row r="534" spans="1:12" x14ac:dyDescent="0.25">
      <c r="A534" s="13"/>
      <c r="B534" s="9" cm="1">
        <f t="array" ref="B534">SUMPRODUCT((Tablo3[Personel Ad]=A534)*(Tablo3[Ürün Kar Tutarı]))</f>
        <v>0</v>
      </c>
      <c r="D534" s="14"/>
      <c r="F534" s="9" cm="1">
        <f t="array" ref="F534">SUMPRODUCT((Tablo3[Şehirler]=E534)*(Tablo3[Ürün Kar Tutarı]))</f>
        <v>0</v>
      </c>
      <c r="H534" s="14"/>
      <c r="J534" s="9" cm="1">
        <f t="array" ref="J534">SUMPRODUCT((Tablo3[Urun Ad]=I534)*(Tablo3[Ürün Kar Tutarı]))</f>
        <v>0</v>
      </c>
      <c r="L534" s="37"/>
    </row>
    <row r="535" spans="1:12" x14ac:dyDescent="0.25">
      <c r="A535" s="13"/>
      <c r="B535" s="9" cm="1">
        <f t="array" ref="B535">SUMPRODUCT((Tablo3[Personel Ad]=A535)*(Tablo3[Ürün Kar Tutarı]))</f>
        <v>0</v>
      </c>
      <c r="D535" s="14"/>
      <c r="F535" s="9" cm="1">
        <f t="array" ref="F535">SUMPRODUCT((Tablo3[Şehirler]=E535)*(Tablo3[Ürün Kar Tutarı]))</f>
        <v>0</v>
      </c>
      <c r="H535" s="14"/>
      <c r="J535" s="9" cm="1">
        <f t="array" ref="J535">SUMPRODUCT((Tablo3[Urun Ad]=I535)*(Tablo3[Ürün Kar Tutarı]))</f>
        <v>0</v>
      </c>
      <c r="L535" s="37"/>
    </row>
    <row r="536" spans="1:12" x14ac:dyDescent="0.25">
      <c r="A536" s="13"/>
      <c r="B536" s="9" cm="1">
        <f t="array" ref="B536">SUMPRODUCT((Tablo3[Personel Ad]=A536)*(Tablo3[Ürün Kar Tutarı]))</f>
        <v>0</v>
      </c>
      <c r="D536" s="14"/>
      <c r="F536" s="9" cm="1">
        <f t="array" ref="F536">SUMPRODUCT((Tablo3[Şehirler]=E536)*(Tablo3[Ürün Kar Tutarı]))</f>
        <v>0</v>
      </c>
      <c r="H536" s="14"/>
      <c r="J536" s="9" cm="1">
        <f t="array" ref="J536">SUMPRODUCT((Tablo3[Urun Ad]=I536)*(Tablo3[Ürün Kar Tutarı]))</f>
        <v>0</v>
      </c>
      <c r="L536" s="37"/>
    </row>
    <row r="537" spans="1:12" x14ac:dyDescent="0.25">
      <c r="A537" s="13"/>
      <c r="B537" s="9" cm="1">
        <f t="array" ref="B537">SUMPRODUCT((Tablo3[Personel Ad]=A537)*(Tablo3[Ürün Kar Tutarı]))</f>
        <v>0</v>
      </c>
      <c r="D537" s="14"/>
      <c r="F537" s="9" cm="1">
        <f t="array" ref="F537">SUMPRODUCT((Tablo3[Şehirler]=E537)*(Tablo3[Ürün Kar Tutarı]))</f>
        <v>0</v>
      </c>
      <c r="H537" s="14"/>
      <c r="J537" s="9" cm="1">
        <f t="array" ref="J537">SUMPRODUCT((Tablo3[Urun Ad]=I537)*(Tablo3[Ürün Kar Tutarı]))</f>
        <v>0</v>
      </c>
      <c r="L537" s="37"/>
    </row>
    <row r="538" spans="1:12" x14ac:dyDescent="0.25">
      <c r="A538" s="13"/>
      <c r="B538" s="9" cm="1">
        <f t="array" ref="B538">SUMPRODUCT((Tablo3[Personel Ad]=A538)*(Tablo3[Ürün Kar Tutarı]))</f>
        <v>0</v>
      </c>
      <c r="D538" s="14"/>
      <c r="F538" s="9" cm="1">
        <f t="array" ref="F538">SUMPRODUCT((Tablo3[Şehirler]=E538)*(Tablo3[Ürün Kar Tutarı]))</f>
        <v>0</v>
      </c>
      <c r="H538" s="14"/>
      <c r="J538" s="9" cm="1">
        <f t="array" ref="J538">SUMPRODUCT((Tablo3[Urun Ad]=I538)*(Tablo3[Ürün Kar Tutarı]))</f>
        <v>0</v>
      </c>
      <c r="L538" s="37"/>
    </row>
    <row r="539" spans="1:12" x14ac:dyDescent="0.25">
      <c r="A539" s="13"/>
      <c r="B539" s="9" cm="1">
        <f t="array" ref="B539">SUMPRODUCT((Tablo3[Personel Ad]=A539)*(Tablo3[Ürün Kar Tutarı]))</f>
        <v>0</v>
      </c>
      <c r="D539" s="14"/>
      <c r="F539" s="9" cm="1">
        <f t="array" ref="F539">SUMPRODUCT((Tablo3[Şehirler]=E539)*(Tablo3[Ürün Kar Tutarı]))</f>
        <v>0</v>
      </c>
      <c r="H539" s="14"/>
      <c r="J539" s="9" cm="1">
        <f t="array" ref="J539">SUMPRODUCT((Tablo3[Urun Ad]=I539)*(Tablo3[Ürün Kar Tutarı]))</f>
        <v>0</v>
      </c>
      <c r="L539" s="37"/>
    </row>
    <row r="540" spans="1:12" x14ac:dyDescent="0.25">
      <c r="A540" s="13"/>
      <c r="B540" s="9" cm="1">
        <f t="array" ref="B540">SUMPRODUCT((Tablo3[Personel Ad]=A540)*(Tablo3[Ürün Kar Tutarı]))</f>
        <v>0</v>
      </c>
      <c r="D540" s="14"/>
      <c r="F540" s="9" cm="1">
        <f t="array" ref="F540">SUMPRODUCT((Tablo3[Şehirler]=E540)*(Tablo3[Ürün Kar Tutarı]))</f>
        <v>0</v>
      </c>
      <c r="H540" s="14"/>
      <c r="J540" s="9" cm="1">
        <f t="array" ref="J540">SUMPRODUCT((Tablo3[Urun Ad]=I540)*(Tablo3[Ürün Kar Tutarı]))</f>
        <v>0</v>
      </c>
      <c r="L540" s="37"/>
    </row>
    <row r="541" spans="1:12" x14ac:dyDescent="0.25">
      <c r="A541" s="13"/>
      <c r="B541" s="9" cm="1">
        <f t="array" ref="B541">SUMPRODUCT((Tablo3[Personel Ad]=A541)*(Tablo3[Ürün Kar Tutarı]))</f>
        <v>0</v>
      </c>
      <c r="D541" s="14"/>
      <c r="F541" s="9" cm="1">
        <f t="array" ref="F541">SUMPRODUCT((Tablo3[Şehirler]=E541)*(Tablo3[Ürün Kar Tutarı]))</f>
        <v>0</v>
      </c>
      <c r="H541" s="14"/>
      <c r="J541" s="9" cm="1">
        <f t="array" ref="J541">SUMPRODUCT((Tablo3[Urun Ad]=I541)*(Tablo3[Ürün Kar Tutarı]))</f>
        <v>0</v>
      </c>
      <c r="L541" s="37"/>
    </row>
    <row r="542" spans="1:12" x14ac:dyDescent="0.25">
      <c r="A542" s="13"/>
      <c r="B542" s="9" cm="1">
        <f t="array" ref="B542">SUMPRODUCT((Tablo3[Personel Ad]=A542)*(Tablo3[Ürün Kar Tutarı]))</f>
        <v>0</v>
      </c>
      <c r="D542" s="14"/>
      <c r="F542" s="9" cm="1">
        <f t="array" ref="F542">SUMPRODUCT((Tablo3[Şehirler]=E542)*(Tablo3[Ürün Kar Tutarı]))</f>
        <v>0</v>
      </c>
      <c r="H542" s="14"/>
      <c r="J542" s="9" cm="1">
        <f t="array" ref="J542">SUMPRODUCT((Tablo3[Urun Ad]=I542)*(Tablo3[Ürün Kar Tutarı]))</f>
        <v>0</v>
      </c>
      <c r="L542" s="37"/>
    </row>
    <row r="543" spans="1:12" x14ac:dyDescent="0.25">
      <c r="A543" s="13"/>
      <c r="B543" s="9" cm="1">
        <f t="array" ref="B543">SUMPRODUCT((Tablo3[Personel Ad]=A543)*(Tablo3[Ürün Kar Tutarı]))</f>
        <v>0</v>
      </c>
      <c r="D543" s="14"/>
      <c r="F543" s="9" cm="1">
        <f t="array" ref="F543">SUMPRODUCT((Tablo3[Şehirler]=E543)*(Tablo3[Ürün Kar Tutarı]))</f>
        <v>0</v>
      </c>
      <c r="H543" s="14"/>
      <c r="J543" s="9" cm="1">
        <f t="array" ref="J543">SUMPRODUCT((Tablo3[Urun Ad]=I543)*(Tablo3[Ürün Kar Tutarı]))</f>
        <v>0</v>
      </c>
      <c r="L543" s="37"/>
    </row>
    <row r="544" spans="1:12" x14ac:dyDescent="0.25">
      <c r="A544" s="13"/>
      <c r="B544" s="9" cm="1">
        <f t="array" ref="B544">SUMPRODUCT((Tablo3[Personel Ad]=A544)*(Tablo3[Ürün Kar Tutarı]))</f>
        <v>0</v>
      </c>
      <c r="D544" s="14"/>
      <c r="F544" s="9" cm="1">
        <f t="array" ref="F544">SUMPRODUCT((Tablo3[Şehirler]=E544)*(Tablo3[Ürün Kar Tutarı]))</f>
        <v>0</v>
      </c>
      <c r="H544" s="14"/>
      <c r="J544" s="9" cm="1">
        <f t="array" ref="J544">SUMPRODUCT((Tablo3[Urun Ad]=I544)*(Tablo3[Ürün Kar Tutarı]))</f>
        <v>0</v>
      </c>
      <c r="L544" s="37"/>
    </row>
    <row r="545" spans="1:12" x14ac:dyDescent="0.25">
      <c r="A545" s="13"/>
      <c r="B545" s="9" cm="1">
        <f t="array" ref="B545">SUMPRODUCT((Tablo3[Personel Ad]=A545)*(Tablo3[Ürün Kar Tutarı]))</f>
        <v>0</v>
      </c>
      <c r="D545" s="14"/>
      <c r="F545" s="9" cm="1">
        <f t="array" ref="F545">SUMPRODUCT((Tablo3[Şehirler]=E545)*(Tablo3[Ürün Kar Tutarı]))</f>
        <v>0</v>
      </c>
      <c r="H545" s="14"/>
      <c r="J545" s="9" cm="1">
        <f t="array" ref="J545">SUMPRODUCT((Tablo3[Urun Ad]=I545)*(Tablo3[Ürün Kar Tutarı]))</f>
        <v>0</v>
      </c>
      <c r="L545" s="37"/>
    </row>
    <row r="546" spans="1:12" x14ac:dyDescent="0.25">
      <c r="A546" s="13"/>
      <c r="B546" s="9" cm="1">
        <f t="array" ref="B546">SUMPRODUCT((Tablo3[Personel Ad]=A546)*(Tablo3[Ürün Kar Tutarı]))</f>
        <v>0</v>
      </c>
      <c r="D546" s="14"/>
      <c r="F546" s="9" cm="1">
        <f t="array" ref="F546">SUMPRODUCT((Tablo3[Şehirler]=E546)*(Tablo3[Ürün Kar Tutarı]))</f>
        <v>0</v>
      </c>
      <c r="H546" s="14"/>
      <c r="J546" s="9" cm="1">
        <f t="array" ref="J546">SUMPRODUCT((Tablo3[Urun Ad]=I546)*(Tablo3[Ürün Kar Tutarı]))</f>
        <v>0</v>
      </c>
      <c r="L546" s="37"/>
    </row>
    <row r="547" spans="1:12" x14ac:dyDescent="0.25">
      <c r="A547" s="13"/>
      <c r="B547" s="9" cm="1">
        <f t="array" ref="B547">SUMPRODUCT((Tablo3[Personel Ad]=A547)*(Tablo3[Ürün Kar Tutarı]))</f>
        <v>0</v>
      </c>
      <c r="D547" s="14"/>
      <c r="F547" s="9" cm="1">
        <f t="array" ref="F547">SUMPRODUCT((Tablo3[Şehirler]=E547)*(Tablo3[Ürün Kar Tutarı]))</f>
        <v>0</v>
      </c>
      <c r="H547" s="14"/>
      <c r="J547" s="9" cm="1">
        <f t="array" ref="J547">SUMPRODUCT((Tablo3[Urun Ad]=I547)*(Tablo3[Ürün Kar Tutarı]))</f>
        <v>0</v>
      </c>
      <c r="L547" s="37"/>
    </row>
    <row r="548" spans="1:12" x14ac:dyDescent="0.25">
      <c r="A548" s="13"/>
      <c r="B548" s="9" cm="1">
        <f t="array" ref="B548">SUMPRODUCT((Tablo3[Personel Ad]=A548)*(Tablo3[Ürün Kar Tutarı]))</f>
        <v>0</v>
      </c>
      <c r="D548" s="14"/>
      <c r="F548" s="9" cm="1">
        <f t="array" ref="F548">SUMPRODUCT((Tablo3[Şehirler]=E548)*(Tablo3[Ürün Kar Tutarı]))</f>
        <v>0</v>
      </c>
      <c r="H548" s="14"/>
      <c r="J548" s="9" cm="1">
        <f t="array" ref="J548">SUMPRODUCT((Tablo3[Urun Ad]=I548)*(Tablo3[Ürün Kar Tutarı]))</f>
        <v>0</v>
      </c>
      <c r="L548" s="37"/>
    </row>
    <row r="549" spans="1:12" x14ac:dyDescent="0.25">
      <c r="A549" s="13"/>
      <c r="B549" s="9" cm="1">
        <f t="array" ref="B549">SUMPRODUCT((Tablo3[Personel Ad]=A549)*(Tablo3[Ürün Kar Tutarı]))</f>
        <v>0</v>
      </c>
      <c r="D549" s="14"/>
      <c r="F549" s="9" cm="1">
        <f t="array" ref="F549">SUMPRODUCT((Tablo3[Şehirler]=E549)*(Tablo3[Ürün Kar Tutarı]))</f>
        <v>0</v>
      </c>
      <c r="H549" s="14"/>
      <c r="J549" s="9" cm="1">
        <f t="array" ref="J549">SUMPRODUCT((Tablo3[Urun Ad]=I549)*(Tablo3[Ürün Kar Tutarı]))</f>
        <v>0</v>
      </c>
      <c r="L549" s="37"/>
    </row>
    <row r="550" spans="1:12" x14ac:dyDescent="0.25">
      <c r="A550" s="13"/>
      <c r="B550" s="9" cm="1">
        <f t="array" ref="B550">SUMPRODUCT((Tablo3[Personel Ad]=A550)*(Tablo3[Ürün Kar Tutarı]))</f>
        <v>0</v>
      </c>
      <c r="D550" s="14"/>
      <c r="F550" s="9" cm="1">
        <f t="array" ref="F550">SUMPRODUCT((Tablo3[Şehirler]=E550)*(Tablo3[Ürün Kar Tutarı]))</f>
        <v>0</v>
      </c>
      <c r="H550" s="14"/>
      <c r="J550" s="9" cm="1">
        <f t="array" ref="J550">SUMPRODUCT((Tablo3[Urun Ad]=I550)*(Tablo3[Ürün Kar Tutarı]))</f>
        <v>0</v>
      </c>
      <c r="L550" s="37"/>
    </row>
    <row r="551" spans="1:12" x14ac:dyDescent="0.25">
      <c r="A551" s="13"/>
      <c r="B551" s="9" cm="1">
        <f t="array" ref="B551">SUMPRODUCT((Tablo3[Personel Ad]=A551)*(Tablo3[Ürün Kar Tutarı]))</f>
        <v>0</v>
      </c>
      <c r="D551" s="14"/>
      <c r="F551" s="9" cm="1">
        <f t="array" ref="F551">SUMPRODUCT((Tablo3[Şehirler]=E551)*(Tablo3[Ürün Kar Tutarı]))</f>
        <v>0</v>
      </c>
      <c r="H551" s="14"/>
      <c r="J551" s="9" cm="1">
        <f t="array" ref="J551">SUMPRODUCT((Tablo3[Urun Ad]=I551)*(Tablo3[Ürün Kar Tutarı]))</f>
        <v>0</v>
      </c>
      <c r="L551" s="37"/>
    </row>
    <row r="552" spans="1:12" x14ac:dyDescent="0.25">
      <c r="A552" s="13"/>
      <c r="B552" s="9" cm="1">
        <f t="array" ref="B552">SUMPRODUCT((Tablo3[Personel Ad]=A552)*(Tablo3[Ürün Kar Tutarı]))</f>
        <v>0</v>
      </c>
      <c r="D552" s="14"/>
      <c r="F552" s="9" cm="1">
        <f t="array" ref="F552">SUMPRODUCT((Tablo3[Şehirler]=E552)*(Tablo3[Ürün Kar Tutarı]))</f>
        <v>0</v>
      </c>
      <c r="H552" s="14"/>
      <c r="J552" s="9" cm="1">
        <f t="array" ref="J552">SUMPRODUCT((Tablo3[Urun Ad]=I552)*(Tablo3[Ürün Kar Tutarı]))</f>
        <v>0</v>
      </c>
      <c r="L552" s="37"/>
    </row>
    <row r="553" spans="1:12" x14ac:dyDescent="0.25">
      <c r="A553" s="13"/>
      <c r="B553" s="9" cm="1">
        <f t="array" ref="B553">SUMPRODUCT((Tablo3[Personel Ad]=A553)*(Tablo3[Ürün Kar Tutarı]))</f>
        <v>0</v>
      </c>
      <c r="D553" s="14"/>
      <c r="F553" s="9" cm="1">
        <f t="array" ref="F553">SUMPRODUCT((Tablo3[Şehirler]=E553)*(Tablo3[Ürün Kar Tutarı]))</f>
        <v>0</v>
      </c>
      <c r="H553" s="14"/>
      <c r="J553" s="9" cm="1">
        <f t="array" ref="J553">SUMPRODUCT((Tablo3[Urun Ad]=I553)*(Tablo3[Ürün Kar Tutarı]))</f>
        <v>0</v>
      </c>
      <c r="L553" s="37"/>
    </row>
    <row r="554" spans="1:12" x14ac:dyDescent="0.25">
      <c r="A554" s="13"/>
      <c r="B554" s="9" cm="1">
        <f t="array" ref="B554">SUMPRODUCT((Tablo3[Personel Ad]=A554)*(Tablo3[Ürün Kar Tutarı]))</f>
        <v>0</v>
      </c>
      <c r="D554" s="14"/>
      <c r="F554" s="9" cm="1">
        <f t="array" ref="F554">SUMPRODUCT((Tablo3[Şehirler]=E554)*(Tablo3[Ürün Kar Tutarı]))</f>
        <v>0</v>
      </c>
      <c r="H554" s="14"/>
      <c r="J554" s="9" cm="1">
        <f t="array" ref="J554">SUMPRODUCT((Tablo3[Urun Ad]=I554)*(Tablo3[Ürün Kar Tutarı]))</f>
        <v>0</v>
      </c>
      <c r="L554" s="37"/>
    </row>
    <row r="555" spans="1:12" x14ac:dyDescent="0.25">
      <c r="A555" s="13"/>
      <c r="B555" s="9" cm="1">
        <f t="array" ref="B555">SUMPRODUCT((Tablo3[Personel Ad]=A555)*(Tablo3[Ürün Kar Tutarı]))</f>
        <v>0</v>
      </c>
      <c r="D555" s="14"/>
      <c r="F555" s="9" cm="1">
        <f t="array" ref="F555">SUMPRODUCT((Tablo3[Şehirler]=E555)*(Tablo3[Ürün Kar Tutarı]))</f>
        <v>0</v>
      </c>
      <c r="H555" s="14"/>
      <c r="J555" s="9" cm="1">
        <f t="array" ref="J555">SUMPRODUCT((Tablo3[Urun Ad]=I555)*(Tablo3[Ürün Kar Tutarı]))</f>
        <v>0</v>
      </c>
      <c r="L555" s="37"/>
    </row>
    <row r="556" spans="1:12" x14ac:dyDescent="0.25">
      <c r="A556" s="13"/>
      <c r="B556" s="9" cm="1">
        <f t="array" ref="B556">SUMPRODUCT((Tablo3[Personel Ad]=A556)*(Tablo3[Ürün Kar Tutarı]))</f>
        <v>0</v>
      </c>
      <c r="D556" s="14"/>
      <c r="F556" s="9" cm="1">
        <f t="array" ref="F556">SUMPRODUCT((Tablo3[Şehirler]=E556)*(Tablo3[Ürün Kar Tutarı]))</f>
        <v>0</v>
      </c>
      <c r="H556" s="14"/>
      <c r="J556" s="9" cm="1">
        <f t="array" ref="J556">SUMPRODUCT((Tablo3[Urun Ad]=I556)*(Tablo3[Ürün Kar Tutarı]))</f>
        <v>0</v>
      </c>
      <c r="L556" s="37"/>
    </row>
    <row r="557" spans="1:12" x14ac:dyDescent="0.25">
      <c r="A557" s="13"/>
      <c r="B557" s="9" cm="1">
        <f t="array" ref="B557">SUMPRODUCT((Tablo3[Personel Ad]=A557)*(Tablo3[Ürün Kar Tutarı]))</f>
        <v>0</v>
      </c>
      <c r="D557" s="14"/>
      <c r="F557" s="9" cm="1">
        <f t="array" ref="F557">SUMPRODUCT((Tablo3[Şehirler]=E557)*(Tablo3[Ürün Kar Tutarı]))</f>
        <v>0</v>
      </c>
      <c r="H557" s="14"/>
      <c r="J557" s="9" cm="1">
        <f t="array" ref="J557">SUMPRODUCT((Tablo3[Urun Ad]=I557)*(Tablo3[Ürün Kar Tutarı]))</f>
        <v>0</v>
      </c>
      <c r="L557" s="37"/>
    </row>
    <row r="558" spans="1:12" x14ac:dyDescent="0.25">
      <c r="A558" s="13"/>
      <c r="B558" s="9" cm="1">
        <f t="array" ref="B558">SUMPRODUCT((Tablo3[Personel Ad]=A558)*(Tablo3[Ürün Kar Tutarı]))</f>
        <v>0</v>
      </c>
      <c r="D558" s="14"/>
      <c r="F558" s="9" cm="1">
        <f t="array" ref="F558">SUMPRODUCT((Tablo3[Şehirler]=E558)*(Tablo3[Ürün Kar Tutarı]))</f>
        <v>0</v>
      </c>
      <c r="H558" s="14"/>
      <c r="J558" s="9" cm="1">
        <f t="array" ref="J558">SUMPRODUCT((Tablo3[Urun Ad]=I558)*(Tablo3[Ürün Kar Tutarı]))</f>
        <v>0</v>
      </c>
      <c r="L558" s="37"/>
    </row>
    <row r="559" spans="1:12" x14ac:dyDescent="0.25">
      <c r="A559" s="13"/>
      <c r="B559" s="9" cm="1">
        <f t="array" ref="B559">SUMPRODUCT((Tablo3[Personel Ad]=A559)*(Tablo3[Ürün Kar Tutarı]))</f>
        <v>0</v>
      </c>
      <c r="D559" s="14"/>
      <c r="F559" s="9" cm="1">
        <f t="array" ref="F559">SUMPRODUCT((Tablo3[Şehirler]=E559)*(Tablo3[Ürün Kar Tutarı]))</f>
        <v>0</v>
      </c>
      <c r="H559" s="14"/>
      <c r="J559" s="9" cm="1">
        <f t="array" ref="J559">SUMPRODUCT((Tablo3[Urun Ad]=I559)*(Tablo3[Ürün Kar Tutarı]))</f>
        <v>0</v>
      </c>
      <c r="L559" s="37"/>
    </row>
    <row r="560" spans="1:12" x14ac:dyDescent="0.25">
      <c r="A560" s="13"/>
      <c r="B560" s="9" cm="1">
        <f t="array" ref="B560">SUMPRODUCT((Tablo3[Personel Ad]=A560)*(Tablo3[Ürün Kar Tutarı]))</f>
        <v>0</v>
      </c>
      <c r="D560" s="14"/>
      <c r="F560" s="9" cm="1">
        <f t="array" ref="F560">SUMPRODUCT((Tablo3[Şehirler]=E560)*(Tablo3[Ürün Kar Tutarı]))</f>
        <v>0</v>
      </c>
      <c r="H560" s="14"/>
      <c r="J560" s="9" cm="1">
        <f t="array" ref="J560">SUMPRODUCT((Tablo3[Urun Ad]=I560)*(Tablo3[Ürün Kar Tutarı]))</f>
        <v>0</v>
      </c>
      <c r="L560" s="37"/>
    </row>
    <row r="561" spans="1:12" x14ac:dyDescent="0.25">
      <c r="A561" s="13"/>
      <c r="B561" s="9" cm="1">
        <f t="array" ref="B561">SUMPRODUCT((Tablo3[Personel Ad]=A561)*(Tablo3[Ürün Kar Tutarı]))</f>
        <v>0</v>
      </c>
      <c r="D561" s="14"/>
      <c r="F561" s="9" cm="1">
        <f t="array" ref="F561">SUMPRODUCT((Tablo3[Şehirler]=E561)*(Tablo3[Ürün Kar Tutarı]))</f>
        <v>0</v>
      </c>
      <c r="H561" s="14"/>
      <c r="J561" s="9" cm="1">
        <f t="array" ref="J561">SUMPRODUCT((Tablo3[Urun Ad]=I561)*(Tablo3[Ürün Kar Tutarı]))</f>
        <v>0</v>
      </c>
      <c r="L561" s="37"/>
    </row>
    <row r="562" spans="1:12" x14ac:dyDescent="0.25">
      <c r="A562" s="13"/>
      <c r="B562" s="9" cm="1">
        <f t="array" ref="B562">SUMPRODUCT((Tablo3[Personel Ad]=A562)*(Tablo3[Ürün Kar Tutarı]))</f>
        <v>0</v>
      </c>
      <c r="D562" s="14"/>
      <c r="F562" s="9" cm="1">
        <f t="array" ref="F562">SUMPRODUCT((Tablo3[Şehirler]=E562)*(Tablo3[Ürün Kar Tutarı]))</f>
        <v>0</v>
      </c>
      <c r="H562" s="14"/>
      <c r="J562" s="9" cm="1">
        <f t="array" ref="J562">SUMPRODUCT((Tablo3[Urun Ad]=I562)*(Tablo3[Ürün Kar Tutarı]))</f>
        <v>0</v>
      </c>
      <c r="L562" s="37"/>
    </row>
    <row r="563" spans="1:12" x14ac:dyDescent="0.25">
      <c r="A563" s="13"/>
      <c r="B563" s="9" cm="1">
        <f t="array" ref="B563">SUMPRODUCT((Tablo3[Personel Ad]=A563)*(Tablo3[Ürün Kar Tutarı]))</f>
        <v>0</v>
      </c>
      <c r="D563" s="14"/>
      <c r="F563" s="9" cm="1">
        <f t="array" ref="F563">SUMPRODUCT((Tablo3[Şehirler]=E563)*(Tablo3[Ürün Kar Tutarı]))</f>
        <v>0</v>
      </c>
      <c r="H563" s="14"/>
      <c r="J563" s="9" cm="1">
        <f t="array" ref="J563">SUMPRODUCT((Tablo3[Urun Ad]=I563)*(Tablo3[Ürün Kar Tutarı]))</f>
        <v>0</v>
      </c>
      <c r="L563" s="37"/>
    </row>
    <row r="564" spans="1:12" x14ac:dyDescent="0.25">
      <c r="A564" s="13"/>
      <c r="B564" s="9" cm="1">
        <f t="array" ref="B564">SUMPRODUCT((Tablo3[Personel Ad]=A564)*(Tablo3[Ürün Kar Tutarı]))</f>
        <v>0</v>
      </c>
      <c r="D564" s="14"/>
      <c r="F564" s="9" cm="1">
        <f t="array" ref="F564">SUMPRODUCT((Tablo3[Şehirler]=E564)*(Tablo3[Ürün Kar Tutarı]))</f>
        <v>0</v>
      </c>
      <c r="H564" s="14"/>
      <c r="J564" s="9" cm="1">
        <f t="array" ref="J564">SUMPRODUCT((Tablo3[Urun Ad]=I564)*(Tablo3[Ürün Kar Tutarı]))</f>
        <v>0</v>
      </c>
      <c r="L564" s="37"/>
    </row>
    <row r="565" spans="1:12" x14ac:dyDescent="0.25">
      <c r="A565" s="13"/>
      <c r="B565" s="9" cm="1">
        <f t="array" ref="B565">SUMPRODUCT((Tablo3[Personel Ad]=A565)*(Tablo3[Ürün Kar Tutarı]))</f>
        <v>0</v>
      </c>
      <c r="D565" s="14"/>
      <c r="F565" s="9" cm="1">
        <f t="array" ref="F565">SUMPRODUCT((Tablo3[Şehirler]=E565)*(Tablo3[Ürün Kar Tutarı]))</f>
        <v>0</v>
      </c>
      <c r="H565" s="14"/>
      <c r="J565" s="9" cm="1">
        <f t="array" ref="J565">SUMPRODUCT((Tablo3[Urun Ad]=I565)*(Tablo3[Ürün Kar Tutarı]))</f>
        <v>0</v>
      </c>
      <c r="L565" s="37"/>
    </row>
    <row r="566" spans="1:12" x14ac:dyDescent="0.25">
      <c r="A566" s="13"/>
      <c r="B566" s="9" cm="1">
        <f t="array" ref="B566">SUMPRODUCT((Tablo3[Personel Ad]=A566)*(Tablo3[Ürün Kar Tutarı]))</f>
        <v>0</v>
      </c>
      <c r="D566" s="14"/>
      <c r="F566" s="9" cm="1">
        <f t="array" ref="F566">SUMPRODUCT((Tablo3[Şehirler]=E566)*(Tablo3[Ürün Kar Tutarı]))</f>
        <v>0</v>
      </c>
      <c r="H566" s="14"/>
      <c r="J566" s="9" cm="1">
        <f t="array" ref="J566">SUMPRODUCT((Tablo3[Urun Ad]=I566)*(Tablo3[Ürün Kar Tutarı]))</f>
        <v>0</v>
      </c>
      <c r="L566" s="37"/>
    </row>
    <row r="567" spans="1:12" x14ac:dyDescent="0.25">
      <c r="A567" s="13"/>
      <c r="B567" s="9" cm="1">
        <f t="array" ref="B567">SUMPRODUCT((Tablo3[Personel Ad]=A567)*(Tablo3[Ürün Kar Tutarı]))</f>
        <v>0</v>
      </c>
      <c r="D567" s="14"/>
      <c r="F567" s="9" cm="1">
        <f t="array" ref="F567">SUMPRODUCT((Tablo3[Şehirler]=E567)*(Tablo3[Ürün Kar Tutarı]))</f>
        <v>0</v>
      </c>
      <c r="H567" s="14"/>
      <c r="J567" s="9" cm="1">
        <f t="array" ref="J567">SUMPRODUCT((Tablo3[Urun Ad]=I567)*(Tablo3[Ürün Kar Tutarı]))</f>
        <v>0</v>
      </c>
      <c r="L567" s="37"/>
    </row>
    <row r="568" spans="1:12" x14ac:dyDescent="0.25">
      <c r="A568" s="13"/>
      <c r="B568" s="9" cm="1">
        <f t="array" ref="B568">SUMPRODUCT((Tablo3[Personel Ad]=A568)*(Tablo3[Ürün Kar Tutarı]))</f>
        <v>0</v>
      </c>
      <c r="D568" s="14"/>
      <c r="F568" s="9" cm="1">
        <f t="array" ref="F568">SUMPRODUCT((Tablo3[Şehirler]=E568)*(Tablo3[Ürün Kar Tutarı]))</f>
        <v>0</v>
      </c>
      <c r="H568" s="14"/>
      <c r="J568" s="9" cm="1">
        <f t="array" ref="J568">SUMPRODUCT((Tablo3[Urun Ad]=I568)*(Tablo3[Ürün Kar Tutarı]))</f>
        <v>0</v>
      </c>
      <c r="L568" s="37"/>
    </row>
    <row r="569" spans="1:12" x14ac:dyDescent="0.25">
      <c r="A569" s="13"/>
      <c r="B569" s="9" cm="1">
        <f t="array" ref="B569">SUMPRODUCT((Tablo3[Personel Ad]=A569)*(Tablo3[Ürün Kar Tutarı]))</f>
        <v>0</v>
      </c>
      <c r="D569" s="14"/>
      <c r="F569" s="9" cm="1">
        <f t="array" ref="F569">SUMPRODUCT((Tablo3[Şehirler]=E569)*(Tablo3[Ürün Kar Tutarı]))</f>
        <v>0</v>
      </c>
      <c r="H569" s="14"/>
      <c r="J569" s="9" cm="1">
        <f t="array" ref="J569">SUMPRODUCT((Tablo3[Urun Ad]=I569)*(Tablo3[Ürün Kar Tutarı]))</f>
        <v>0</v>
      </c>
      <c r="L569" s="37"/>
    </row>
    <row r="570" spans="1:12" x14ac:dyDescent="0.25">
      <c r="A570" s="13"/>
      <c r="B570" s="9" cm="1">
        <f t="array" ref="B570">SUMPRODUCT((Tablo3[Personel Ad]=A570)*(Tablo3[Ürün Kar Tutarı]))</f>
        <v>0</v>
      </c>
      <c r="D570" s="14"/>
      <c r="F570" s="9" cm="1">
        <f t="array" ref="F570">SUMPRODUCT((Tablo3[Şehirler]=E570)*(Tablo3[Ürün Kar Tutarı]))</f>
        <v>0</v>
      </c>
      <c r="H570" s="14"/>
      <c r="J570" s="9" cm="1">
        <f t="array" ref="J570">SUMPRODUCT((Tablo3[Urun Ad]=I570)*(Tablo3[Ürün Kar Tutarı]))</f>
        <v>0</v>
      </c>
      <c r="L570" s="37"/>
    </row>
    <row r="571" spans="1:12" x14ac:dyDescent="0.25">
      <c r="A571" s="13"/>
      <c r="B571" s="9" cm="1">
        <f t="array" ref="B571">SUMPRODUCT((Tablo3[Personel Ad]=A571)*(Tablo3[Ürün Kar Tutarı]))</f>
        <v>0</v>
      </c>
      <c r="D571" s="14"/>
      <c r="F571" s="9" cm="1">
        <f t="array" ref="F571">SUMPRODUCT((Tablo3[Şehirler]=E571)*(Tablo3[Ürün Kar Tutarı]))</f>
        <v>0</v>
      </c>
      <c r="H571" s="14"/>
      <c r="J571" s="9" cm="1">
        <f t="array" ref="J571">SUMPRODUCT((Tablo3[Urun Ad]=I571)*(Tablo3[Ürün Kar Tutarı]))</f>
        <v>0</v>
      </c>
      <c r="L571" s="37"/>
    </row>
    <row r="572" spans="1:12" x14ac:dyDescent="0.25">
      <c r="A572" s="13"/>
      <c r="B572" s="9" cm="1">
        <f t="array" ref="B572">SUMPRODUCT((Tablo3[Personel Ad]=A572)*(Tablo3[Ürün Kar Tutarı]))</f>
        <v>0</v>
      </c>
      <c r="D572" s="14"/>
      <c r="F572" s="9" cm="1">
        <f t="array" ref="F572">SUMPRODUCT((Tablo3[Şehirler]=E572)*(Tablo3[Ürün Kar Tutarı]))</f>
        <v>0</v>
      </c>
      <c r="H572" s="14"/>
      <c r="J572" s="9" cm="1">
        <f t="array" ref="J572">SUMPRODUCT((Tablo3[Urun Ad]=I572)*(Tablo3[Ürün Kar Tutarı]))</f>
        <v>0</v>
      </c>
      <c r="L572" s="37"/>
    </row>
    <row r="573" spans="1:12" x14ac:dyDescent="0.25">
      <c r="A573" s="13"/>
      <c r="B573" s="9" cm="1">
        <f t="array" ref="B573">SUMPRODUCT((Tablo3[Personel Ad]=A573)*(Tablo3[Ürün Kar Tutarı]))</f>
        <v>0</v>
      </c>
      <c r="D573" s="14"/>
      <c r="F573" s="9" cm="1">
        <f t="array" ref="F573">SUMPRODUCT((Tablo3[Şehirler]=E573)*(Tablo3[Ürün Kar Tutarı]))</f>
        <v>0</v>
      </c>
      <c r="H573" s="14"/>
      <c r="J573" s="9" cm="1">
        <f t="array" ref="J573">SUMPRODUCT((Tablo3[Urun Ad]=I573)*(Tablo3[Ürün Kar Tutarı]))</f>
        <v>0</v>
      </c>
      <c r="L573" s="37"/>
    </row>
    <row r="574" spans="1:12" x14ac:dyDescent="0.25">
      <c r="A574" s="13"/>
      <c r="B574" s="9" cm="1">
        <f t="array" ref="B574">SUMPRODUCT((Tablo3[Personel Ad]=A574)*(Tablo3[Ürün Kar Tutarı]))</f>
        <v>0</v>
      </c>
      <c r="D574" s="14"/>
      <c r="F574" s="9" cm="1">
        <f t="array" ref="F574">SUMPRODUCT((Tablo3[Şehirler]=E574)*(Tablo3[Ürün Kar Tutarı]))</f>
        <v>0</v>
      </c>
      <c r="H574" s="14"/>
      <c r="J574" s="9" cm="1">
        <f t="array" ref="J574">SUMPRODUCT((Tablo3[Urun Ad]=I574)*(Tablo3[Ürün Kar Tutarı]))</f>
        <v>0</v>
      </c>
      <c r="L574" s="37"/>
    </row>
    <row r="575" spans="1:12" x14ac:dyDescent="0.25">
      <c r="A575" s="13"/>
      <c r="B575" s="9" cm="1">
        <f t="array" ref="B575">SUMPRODUCT((Tablo3[Personel Ad]=A575)*(Tablo3[Ürün Kar Tutarı]))</f>
        <v>0</v>
      </c>
      <c r="D575" s="14"/>
      <c r="F575" s="9" cm="1">
        <f t="array" ref="F575">SUMPRODUCT((Tablo3[Şehirler]=E575)*(Tablo3[Ürün Kar Tutarı]))</f>
        <v>0</v>
      </c>
      <c r="H575" s="14"/>
      <c r="J575" s="9" cm="1">
        <f t="array" ref="J575">SUMPRODUCT((Tablo3[Urun Ad]=I575)*(Tablo3[Ürün Kar Tutarı]))</f>
        <v>0</v>
      </c>
      <c r="L575" s="37"/>
    </row>
    <row r="576" spans="1:12" x14ac:dyDescent="0.25">
      <c r="A576" s="13"/>
      <c r="B576" s="9" cm="1">
        <f t="array" ref="B576">SUMPRODUCT((Tablo3[Personel Ad]=A576)*(Tablo3[Ürün Kar Tutarı]))</f>
        <v>0</v>
      </c>
      <c r="D576" s="14"/>
      <c r="F576" s="9" cm="1">
        <f t="array" ref="F576">SUMPRODUCT((Tablo3[Şehirler]=E576)*(Tablo3[Ürün Kar Tutarı]))</f>
        <v>0</v>
      </c>
      <c r="H576" s="14"/>
      <c r="J576" s="9" cm="1">
        <f t="array" ref="J576">SUMPRODUCT((Tablo3[Urun Ad]=I576)*(Tablo3[Ürün Kar Tutarı]))</f>
        <v>0</v>
      </c>
      <c r="L576" s="37"/>
    </row>
    <row r="577" spans="1:12" x14ac:dyDescent="0.25">
      <c r="A577" s="13"/>
      <c r="B577" s="9" cm="1">
        <f t="array" ref="B577">SUMPRODUCT((Tablo3[Personel Ad]=A577)*(Tablo3[Ürün Kar Tutarı]))</f>
        <v>0</v>
      </c>
      <c r="D577" s="14"/>
      <c r="F577" s="9" cm="1">
        <f t="array" ref="F577">SUMPRODUCT((Tablo3[Şehirler]=E577)*(Tablo3[Ürün Kar Tutarı]))</f>
        <v>0</v>
      </c>
      <c r="H577" s="14"/>
      <c r="J577" s="9" cm="1">
        <f t="array" ref="J577">SUMPRODUCT((Tablo3[Urun Ad]=I577)*(Tablo3[Ürün Kar Tutarı]))</f>
        <v>0</v>
      </c>
      <c r="L577" s="37"/>
    </row>
    <row r="578" spans="1:12" x14ac:dyDescent="0.25">
      <c r="A578" s="13"/>
      <c r="B578" s="9" cm="1">
        <f t="array" ref="B578">SUMPRODUCT((Tablo3[Personel Ad]=A578)*(Tablo3[Ürün Kar Tutarı]))</f>
        <v>0</v>
      </c>
      <c r="D578" s="14"/>
      <c r="F578" s="9" cm="1">
        <f t="array" ref="F578">SUMPRODUCT((Tablo3[Şehirler]=E578)*(Tablo3[Ürün Kar Tutarı]))</f>
        <v>0</v>
      </c>
      <c r="H578" s="14"/>
      <c r="J578" s="9" cm="1">
        <f t="array" ref="J578">SUMPRODUCT((Tablo3[Urun Ad]=I578)*(Tablo3[Ürün Kar Tutarı]))</f>
        <v>0</v>
      </c>
      <c r="L578" s="37"/>
    </row>
    <row r="579" spans="1:12" x14ac:dyDescent="0.25">
      <c r="A579" s="13"/>
      <c r="B579" s="9" cm="1">
        <f t="array" ref="B579">SUMPRODUCT((Tablo3[Personel Ad]=A579)*(Tablo3[Ürün Kar Tutarı]))</f>
        <v>0</v>
      </c>
      <c r="D579" s="14"/>
      <c r="F579" s="9" cm="1">
        <f t="array" ref="F579">SUMPRODUCT((Tablo3[Şehirler]=E579)*(Tablo3[Ürün Kar Tutarı]))</f>
        <v>0</v>
      </c>
      <c r="H579" s="14"/>
      <c r="J579" s="9" cm="1">
        <f t="array" ref="J579">SUMPRODUCT((Tablo3[Urun Ad]=I579)*(Tablo3[Ürün Kar Tutarı]))</f>
        <v>0</v>
      </c>
      <c r="L579" s="37"/>
    </row>
    <row r="580" spans="1:12" x14ac:dyDescent="0.25">
      <c r="A580" s="13"/>
      <c r="B580" s="9" cm="1">
        <f t="array" ref="B580">SUMPRODUCT((Tablo3[Personel Ad]=A580)*(Tablo3[Ürün Kar Tutarı]))</f>
        <v>0</v>
      </c>
      <c r="D580" s="14"/>
      <c r="F580" s="9" cm="1">
        <f t="array" ref="F580">SUMPRODUCT((Tablo3[Şehirler]=E580)*(Tablo3[Ürün Kar Tutarı]))</f>
        <v>0</v>
      </c>
      <c r="H580" s="14"/>
      <c r="J580" s="9" cm="1">
        <f t="array" ref="J580">SUMPRODUCT((Tablo3[Urun Ad]=I580)*(Tablo3[Ürün Kar Tutarı]))</f>
        <v>0</v>
      </c>
      <c r="L580" s="37"/>
    </row>
    <row r="581" spans="1:12" x14ac:dyDescent="0.25">
      <c r="A581" s="13"/>
      <c r="B581" s="9" cm="1">
        <f t="array" ref="B581">SUMPRODUCT((Tablo3[Personel Ad]=A581)*(Tablo3[Ürün Kar Tutarı]))</f>
        <v>0</v>
      </c>
      <c r="D581" s="14"/>
      <c r="F581" s="9" cm="1">
        <f t="array" ref="F581">SUMPRODUCT((Tablo3[Şehirler]=E581)*(Tablo3[Ürün Kar Tutarı]))</f>
        <v>0</v>
      </c>
      <c r="H581" s="14"/>
      <c r="J581" s="9" cm="1">
        <f t="array" ref="J581">SUMPRODUCT((Tablo3[Urun Ad]=I581)*(Tablo3[Ürün Kar Tutarı]))</f>
        <v>0</v>
      </c>
      <c r="L581" s="37"/>
    </row>
    <row r="582" spans="1:12" x14ac:dyDescent="0.25">
      <c r="A582" s="13"/>
      <c r="B582" s="9" cm="1">
        <f t="array" ref="B582">SUMPRODUCT((Tablo3[Personel Ad]=A582)*(Tablo3[Ürün Kar Tutarı]))</f>
        <v>0</v>
      </c>
      <c r="D582" s="14"/>
      <c r="F582" s="9" cm="1">
        <f t="array" ref="F582">SUMPRODUCT((Tablo3[Şehirler]=E582)*(Tablo3[Ürün Kar Tutarı]))</f>
        <v>0</v>
      </c>
      <c r="H582" s="14"/>
      <c r="J582" s="9" cm="1">
        <f t="array" ref="J582">SUMPRODUCT((Tablo3[Urun Ad]=I582)*(Tablo3[Ürün Kar Tutarı]))</f>
        <v>0</v>
      </c>
      <c r="L582" s="37"/>
    </row>
    <row r="583" spans="1:12" x14ac:dyDescent="0.25">
      <c r="A583" s="13"/>
      <c r="B583" s="9" cm="1">
        <f t="array" ref="B583">SUMPRODUCT((Tablo3[Personel Ad]=A583)*(Tablo3[Ürün Kar Tutarı]))</f>
        <v>0</v>
      </c>
      <c r="D583" s="14"/>
      <c r="F583" s="9" cm="1">
        <f t="array" ref="F583">SUMPRODUCT((Tablo3[Şehirler]=E583)*(Tablo3[Ürün Kar Tutarı]))</f>
        <v>0</v>
      </c>
      <c r="H583" s="14"/>
      <c r="J583" s="9" cm="1">
        <f t="array" ref="J583">SUMPRODUCT((Tablo3[Urun Ad]=I583)*(Tablo3[Ürün Kar Tutarı]))</f>
        <v>0</v>
      </c>
      <c r="L583" s="37"/>
    </row>
    <row r="584" spans="1:12" x14ac:dyDescent="0.25">
      <c r="A584" s="13"/>
      <c r="B584" s="9" cm="1">
        <f t="array" ref="B584">SUMPRODUCT((Tablo3[Personel Ad]=A584)*(Tablo3[Ürün Kar Tutarı]))</f>
        <v>0</v>
      </c>
      <c r="D584" s="14"/>
      <c r="F584" s="9" cm="1">
        <f t="array" ref="F584">SUMPRODUCT((Tablo3[Şehirler]=E584)*(Tablo3[Ürün Kar Tutarı]))</f>
        <v>0</v>
      </c>
      <c r="H584" s="14"/>
      <c r="J584" s="9" cm="1">
        <f t="array" ref="J584">SUMPRODUCT((Tablo3[Urun Ad]=I584)*(Tablo3[Ürün Kar Tutarı]))</f>
        <v>0</v>
      </c>
      <c r="L584" s="37"/>
    </row>
    <row r="585" spans="1:12" x14ac:dyDescent="0.25">
      <c r="A585" s="13"/>
      <c r="B585" s="9" cm="1">
        <f t="array" ref="B585">SUMPRODUCT((Tablo3[Personel Ad]=A585)*(Tablo3[Ürün Kar Tutarı]))</f>
        <v>0</v>
      </c>
      <c r="D585" s="14"/>
      <c r="F585" s="9" cm="1">
        <f t="array" ref="F585">SUMPRODUCT((Tablo3[Şehirler]=E585)*(Tablo3[Ürün Kar Tutarı]))</f>
        <v>0</v>
      </c>
      <c r="H585" s="14"/>
      <c r="J585" s="9" cm="1">
        <f t="array" ref="J585">SUMPRODUCT((Tablo3[Urun Ad]=I585)*(Tablo3[Ürün Kar Tutarı]))</f>
        <v>0</v>
      </c>
      <c r="L585" s="37"/>
    </row>
    <row r="586" spans="1:12" x14ac:dyDescent="0.25">
      <c r="A586" s="13"/>
      <c r="B586" s="9" cm="1">
        <f t="array" ref="B586">SUMPRODUCT((Tablo3[Personel Ad]=A586)*(Tablo3[Ürün Kar Tutarı]))</f>
        <v>0</v>
      </c>
      <c r="D586" s="14"/>
      <c r="F586" s="9" cm="1">
        <f t="array" ref="F586">SUMPRODUCT((Tablo3[Şehirler]=E586)*(Tablo3[Ürün Kar Tutarı]))</f>
        <v>0</v>
      </c>
      <c r="H586" s="14"/>
      <c r="J586" s="9" cm="1">
        <f t="array" ref="J586">SUMPRODUCT((Tablo3[Urun Ad]=I586)*(Tablo3[Ürün Kar Tutarı]))</f>
        <v>0</v>
      </c>
      <c r="L586" s="37"/>
    </row>
    <row r="587" spans="1:12" x14ac:dyDescent="0.25">
      <c r="A587" s="13"/>
      <c r="B587" s="9" cm="1">
        <f t="array" ref="B587">SUMPRODUCT((Tablo3[Personel Ad]=A587)*(Tablo3[Ürün Kar Tutarı]))</f>
        <v>0</v>
      </c>
      <c r="D587" s="14"/>
      <c r="F587" s="9" cm="1">
        <f t="array" ref="F587">SUMPRODUCT((Tablo3[Şehirler]=E587)*(Tablo3[Ürün Kar Tutarı]))</f>
        <v>0</v>
      </c>
      <c r="H587" s="14"/>
      <c r="J587" s="9" cm="1">
        <f t="array" ref="J587">SUMPRODUCT((Tablo3[Urun Ad]=I587)*(Tablo3[Ürün Kar Tutarı]))</f>
        <v>0</v>
      </c>
      <c r="L587" s="37"/>
    </row>
    <row r="588" spans="1:12" x14ac:dyDescent="0.25">
      <c r="A588" s="13"/>
      <c r="B588" s="9" cm="1">
        <f t="array" ref="B588">SUMPRODUCT((Tablo3[Personel Ad]=A588)*(Tablo3[Ürün Kar Tutarı]))</f>
        <v>0</v>
      </c>
      <c r="D588" s="14"/>
      <c r="F588" s="9" cm="1">
        <f t="array" ref="F588">SUMPRODUCT((Tablo3[Şehirler]=E588)*(Tablo3[Ürün Kar Tutarı]))</f>
        <v>0</v>
      </c>
      <c r="H588" s="14"/>
      <c r="J588" s="9" cm="1">
        <f t="array" ref="J588">SUMPRODUCT((Tablo3[Urun Ad]=I588)*(Tablo3[Ürün Kar Tutarı]))</f>
        <v>0</v>
      </c>
      <c r="L588" s="37"/>
    </row>
    <row r="589" spans="1:12" x14ac:dyDescent="0.25">
      <c r="A589" s="13"/>
      <c r="B589" s="9" cm="1">
        <f t="array" ref="B589">SUMPRODUCT((Tablo3[Personel Ad]=A589)*(Tablo3[Ürün Kar Tutarı]))</f>
        <v>0</v>
      </c>
      <c r="D589" s="14"/>
      <c r="F589" s="9" cm="1">
        <f t="array" ref="F589">SUMPRODUCT((Tablo3[Şehirler]=E589)*(Tablo3[Ürün Kar Tutarı]))</f>
        <v>0</v>
      </c>
      <c r="H589" s="14"/>
      <c r="J589" s="9" cm="1">
        <f t="array" ref="J589">SUMPRODUCT((Tablo3[Urun Ad]=I589)*(Tablo3[Ürün Kar Tutarı]))</f>
        <v>0</v>
      </c>
      <c r="L589" s="37"/>
    </row>
    <row r="590" spans="1:12" x14ac:dyDescent="0.25">
      <c r="A590" s="13"/>
      <c r="B590" s="9" cm="1">
        <f t="array" ref="B590">SUMPRODUCT((Tablo3[Personel Ad]=A590)*(Tablo3[Ürün Kar Tutarı]))</f>
        <v>0</v>
      </c>
      <c r="D590" s="14"/>
      <c r="F590" s="9" cm="1">
        <f t="array" ref="F590">SUMPRODUCT((Tablo3[Şehirler]=E590)*(Tablo3[Ürün Kar Tutarı]))</f>
        <v>0</v>
      </c>
      <c r="H590" s="14"/>
      <c r="J590" s="9" cm="1">
        <f t="array" ref="J590">SUMPRODUCT((Tablo3[Urun Ad]=I590)*(Tablo3[Ürün Kar Tutarı]))</f>
        <v>0</v>
      </c>
      <c r="L590" s="37"/>
    </row>
    <row r="591" spans="1:12" x14ac:dyDescent="0.25">
      <c r="A591" s="13"/>
      <c r="B591" s="9" cm="1">
        <f t="array" ref="B591">SUMPRODUCT((Tablo3[Personel Ad]=A591)*(Tablo3[Ürün Kar Tutarı]))</f>
        <v>0</v>
      </c>
      <c r="D591" s="14"/>
      <c r="F591" s="9" cm="1">
        <f t="array" ref="F591">SUMPRODUCT((Tablo3[Şehirler]=E591)*(Tablo3[Ürün Kar Tutarı]))</f>
        <v>0</v>
      </c>
      <c r="H591" s="14"/>
      <c r="J591" s="9" cm="1">
        <f t="array" ref="J591">SUMPRODUCT((Tablo3[Urun Ad]=I591)*(Tablo3[Ürün Kar Tutarı]))</f>
        <v>0</v>
      </c>
      <c r="L591" s="37"/>
    </row>
    <row r="592" spans="1:12" x14ac:dyDescent="0.25">
      <c r="A592" s="13"/>
      <c r="B592" s="9" cm="1">
        <f t="array" ref="B592">SUMPRODUCT((Tablo3[Personel Ad]=A592)*(Tablo3[Ürün Kar Tutarı]))</f>
        <v>0</v>
      </c>
      <c r="D592" s="14"/>
      <c r="F592" s="9" cm="1">
        <f t="array" ref="F592">SUMPRODUCT((Tablo3[Şehirler]=E592)*(Tablo3[Ürün Kar Tutarı]))</f>
        <v>0</v>
      </c>
      <c r="H592" s="14"/>
      <c r="J592" s="9" cm="1">
        <f t="array" ref="J592">SUMPRODUCT((Tablo3[Urun Ad]=I592)*(Tablo3[Ürün Kar Tutarı]))</f>
        <v>0</v>
      </c>
      <c r="L592" s="37"/>
    </row>
    <row r="593" spans="1:12" x14ac:dyDescent="0.25">
      <c r="A593" s="13"/>
      <c r="B593" s="9" cm="1">
        <f t="array" ref="B593">SUMPRODUCT((Tablo3[Personel Ad]=A593)*(Tablo3[Ürün Kar Tutarı]))</f>
        <v>0</v>
      </c>
      <c r="D593" s="14"/>
      <c r="F593" s="9" cm="1">
        <f t="array" ref="F593">SUMPRODUCT((Tablo3[Şehirler]=E593)*(Tablo3[Ürün Kar Tutarı]))</f>
        <v>0</v>
      </c>
      <c r="H593" s="14"/>
      <c r="J593" s="9" cm="1">
        <f t="array" ref="J593">SUMPRODUCT((Tablo3[Urun Ad]=I593)*(Tablo3[Ürün Kar Tutarı]))</f>
        <v>0</v>
      </c>
      <c r="L593" s="37"/>
    </row>
    <row r="594" spans="1:12" x14ac:dyDescent="0.25">
      <c r="A594" s="13"/>
      <c r="B594" s="9" cm="1">
        <f t="array" ref="B594">SUMPRODUCT((Tablo3[Personel Ad]=A594)*(Tablo3[Ürün Kar Tutarı]))</f>
        <v>0</v>
      </c>
      <c r="D594" s="14"/>
      <c r="F594" s="9" cm="1">
        <f t="array" ref="F594">SUMPRODUCT((Tablo3[Şehirler]=E594)*(Tablo3[Ürün Kar Tutarı]))</f>
        <v>0</v>
      </c>
      <c r="H594" s="14"/>
      <c r="J594" s="9" cm="1">
        <f t="array" ref="J594">SUMPRODUCT((Tablo3[Urun Ad]=I594)*(Tablo3[Ürün Kar Tutarı]))</f>
        <v>0</v>
      </c>
      <c r="L594" s="37"/>
    </row>
    <row r="595" spans="1:12" x14ac:dyDescent="0.25">
      <c r="A595" s="13"/>
      <c r="B595" s="9" cm="1">
        <f t="array" ref="B595">SUMPRODUCT((Tablo3[Personel Ad]=A595)*(Tablo3[Ürün Kar Tutarı]))</f>
        <v>0</v>
      </c>
      <c r="D595" s="14"/>
      <c r="F595" s="9" cm="1">
        <f t="array" ref="F595">SUMPRODUCT((Tablo3[Şehirler]=E595)*(Tablo3[Ürün Kar Tutarı]))</f>
        <v>0</v>
      </c>
      <c r="H595" s="14"/>
      <c r="J595" s="9" cm="1">
        <f t="array" ref="J595">SUMPRODUCT((Tablo3[Urun Ad]=I595)*(Tablo3[Ürün Kar Tutarı]))</f>
        <v>0</v>
      </c>
      <c r="L595" s="37"/>
    </row>
    <row r="596" spans="1:12" x14ac:dyDescent="0.25">
      <c r="A596" s="13"/>
      <c r="B596" s="9" cm="1">
        <f t="array" ref="B596">SUMPRODUCT((Tablo3[Personel Ad]=A596)*(Tablo3[Ürün Kar Tutarı]))</f>
        <v>0</v>
      </c>
      <c r="D596" s="14"/>
      <c r="F596" s="9" cm="1">
        <f t="array" ref="F596">SUMPRODUCT((Tablo3[Şehirler]=E596)*(Tablo3[Ürün Kar Tutarı]))</f>
        <v>0</v>
      </c>
      <c r="H596" s="14"/>
      <c r="J596" s="9" cm="1">
        <f t="array" ref="J596">SUMPRODUCT((Tablo3[Urun Ad]=I596)*(Tablo3[Ürün Kar Tutarı]))</f>
        <v>0</v>
      </c>
      <c r="L596" s="37"/>
    </row>
    <row r="597" spans="1:12" x14ac:dyDescent="0.25">
      <c r="A597" s="13"/>
      <c r="B597" s="9" cm="1">
        <f t="array" ref="B597">SUMPRODUCT((Tablo3[Personel Ad]=A597)*(Tablo3[Ürün Kar Tutarı]))</f>
        <v>0</v>
      </c>
      <c r="D597" s="14"/>
      <c r="F597" s="9" cm="1">
        <f t="array" ref="F597">SUMPRODUCT((Tablo3[Şehirler]=E597)*(Tablo3[Ürün Kar Tutarı]))</f>
        <v>0</v>
      </c>
      <c r="H597" s="14"/>
      <c r="J597" s="9" cm="1">
        <f t="array" ref="J597">SUMPRODUCT((Tablo3[Urun Ad]=I597)*(Tablo3[Ürün Kar Tutarı]))</f>
        <v>0</v>
      </c>
      <c r="L597" s="37"/>
    </row>
    <row r="598" spans="1:12" x14ac:dyDescent="0.25">
      <c r="A598" s="13"/>
      <c r="B598" s="9" cm="1">
        <f t="array" ref="B598">SUMPRODUCT((Tablo3[Personel Ad]=A598)*(Tablo3[Ürün Kar Tutarı]))</f>
        <v>0</v>
      </c>
      <c r="D598" s="14"/>
      <c r="F598" s="9" cm="1">
        <f t="array" ref="F598">SUMPRODUCT((Tablo3[Şehirler]=E598)*(Tablo3[Ürün Kar Tutarı]))</f>
        <v>0</v>
      </c>
      <c r="H598" s="14"/>
      <c r="J598" s="9" cm="1">
        <f t="array" ref="J598">SUMPRODUCT((Tablo3[Urun Ad]=I598)*(Tablo3[Ürün Kar Tutarı]))</f>
        <v>0</v>
      </c>
      <c r="L598" s="37"/>
    </row>
    <row r="599" spans="1:12" x14ac:dyDescent="0.25">
      <c r="A599" s="13"/>
      <c r="B599" s="9" cm="1">
        <f t="array" ref="B599">SUMPRODUCT((Tablo3[Personel Ad]=A599)*(Tablo3[Ürün Kar Tutarı]))</f>
        <v>0</v>
      </c>
      <c r="D599" s="14"/>
      <c r="F599" s="9" cm="1">
        <f t="array" ref="F599">SUMPRODUCT((Tablo3[Şehirler]=E599)*(Tablo3[Ürün Kar Tutarı]))</f>
        <v>0</v>
      </c>
      <c r="H599" s="14"/>
      <c r="J599" s="9" cm="1">
        <f t="array" ref="J599">SUMPRODUCT((Tablo3[Urun Ad]=I599)*(Tablo3[Ürün Kar Tutarı]))</f>
        <v>0</v>
      </c>
      <c r="L599" s="37"/>
    </row>
    <row r="600" spans="1:12" x14ac:dyDescent="0.25">
      <c r="A600" s="13"/>
      <c r="B600" s="9" cm="1">
        <f t="array" ref="B600">SUMPRODUCT((Tablo3[Personel Ad]=A600)*(Tablo3[Ürün Kar Tutarı]))</f>
        <v>0</v>
      </c>
      <c r="D600" s="14"/>
      <c r="F600" s="9" cm="1">
        <f t="array" ref="F600">SUMPRODUCT((Tablo3[Şehirler]=E600)*(Tablo3[Ürün Kar Tutarı]))</f>
        <v>0</v>
      </c>
      <c r="H600" s="14"/>
      <c r="J600" s="9" cm="1">
        <f t="array" ref="J600">SUMPRODUCT((Tablo3[Urun Ad]=I600)*(Tablo3[Ürün Kar Tutarı]))</f>
        <v>0</v>
      </c>
      <c r="L600" s="37"/>
    </row>
    <row r="601" spans="1:12" x14ac:dyDescent="0.25">
      <c r="A601" s="13"/>
      <c r="B601" s="9" cm="1">
        <f t="array" ref="B601">SUMPRODUCT((Tablo3[Personel Ad]=A601)*(Tablo3[Ürün Kar Tutarı]))</f>
        <v>0</v>
      </c>
      <c r="D601" s="14"/>
      <c r="F601" s="9" cm="1">
        <f t="array" ref="F601">SUMPRODUCT((Tablo3[Şehirler]=E601)*(Tablo3[Ürün Kar Tutarı]))</f>
        <v>0</v>
      </c>
      <c r="H601" s="14"/>
      <c r="J601" s="9" cm="1">
        <f t="array" ref="J601">SUMPRODUCT((Tablo3[Urun Ad]=I601)*(Tablo3[Ürün Kar Tutarı]))</f>
        <v>0</v>
      </c>
      <c r="L601" s="37"/>
    </row>
    <row r="602" spans="1:12" x14ac:dyDescent="0.25">
      <c r="A602" s="13"/>
      <c r="B602" s="9" cm="1">
        <f t="array" ref="B602">SUMPRODUCT((Tablo3[Personel Ad]=A602)*(Tablo3[Ürün Kar Tutarı]))</f>
        <v>0</v>
      </c>
      <c r="D602" s="14"/>
      <c r="F602" s="9" cm="1">
        <f t="array" ref="F602">SUMPRODUCT((Tablo3[Şehirler]=E602)*(Tablo3[Ürün Kar Tutarı]))</f>
        <v>0</v>
      </c>
      <c r="H602" s="14"/>
      <c r="J602" s="9" cm="1">
        <f t="array" ref="J602">SUMPRODUCT((Tablo3[Urun Ad]=I602)*(Tablo3[Ürün Kar Tutarı]))</f>
        <v>0</v>
      </c>
      <c r="L602" s="37"/>
    </row>
    <row r="603" spans="1:12" x14ac:dyDescent="0.25">
      <c r="A603" s="13"/>
      <c r="B603" s="9" cm="1">
        <f t="array" ref="B603">SUMPRODUCT((Tablo3[Personel Ad]=A603)*(Tablo3[Ürün Kar Tutarı]))</f>
        <v>0</v>
      </c>
      <c r="D603" s="14"/>
      <c r="F603" s="9" cm="1">
        <f t="array" ref="F603">SUMPRODUCT((Tablo3[Şehirler]=E603)*(Tablo3[Ürün Kar Tutarı]))</f>
        <v>0</v>
      </c>
      <c r="H603" s="14"/>
      <c r="J603" s="9" cm="1">
        <f t="array" ref="J603">SUMPRODUCT((Tablo3[Urun Ad]=I603)*(Tablo3[Ürün Kar Tutarı]))</f>
        <v>0</v>
      </c>
      <c r="L603" s="37"/>
    </row>
    <row r="604" spans="1:12" x14ac:dyDescent="0.25">
      <c r="A604" s="13"/>
      <c r="B604" s="9" cm="1">
        <f t="array" ref="B604">SUMPRODUCT((Tablo3[Personel Ad]=A604)*(Tablo3[Ürün Kar Tutarı]))</f>
        <v>0</v>
      </c>
      <c r="D604" s="14"/>
      <c r="F604" s="9" cm="1">
        <f t="array" ref="F604">SUMPRODUCT((Tablo3[Şehirler]=E604)*(Tablo3[Ürün Kar Tutarı]))</f>
        <v>0</v>
      </c>
      <c r="H604" s="14"/>
      <c r="J604" s="9" cm="1">
        <f t="array" ref="J604">SUMPRODUCT((Tablo3[Urun Ad]=I604)*(Tablo3[Ürün Kar Tutarı]))</f>
        <v>0</v>
      </c>
      <c r="L604" s="37"/>
    </row>
    <row r="605" spans="1:12" x14ac:dyDescent="0.25">
      <c r="A605" s="13"/>
      <c r="B605" s="9" cm="1">
        <f t="array" ref="B605">SUMPRODUCT((Tablo3[Personel Ad]=A605)*(Tablo3[Ürün Kar Tutarı]))</f>
        <v>0</v>
      </c>
      <c r="D605" s="14"/>
      <c r="F605" s="9" cm="1">
        <f t="array" ref="F605">SUMPRODUCT((Tablo3[Şehirler]=E605)*(Tablo3[Ürün Kar Tutarı]))</f>
        <v>0</v>
      </c>
      <c r="H605" s="14"/>
      <c r="J605" s="9" cm="1">
        <f t="array" ref="J605">SUMPRODUCT((Tablo3[Urun Ad]=I605)*(Tablo3[Ürün Kar Tutarı]))</f>
        <v>0</v>
      </c>
      <c r="L605" s="37"/>
    </row>
    <row r="606" spans="1:12" x14ac:dyDescent="0.25">
      <c r="A606" s="13"/>
      <c r="B606" s="9" cm="1">
        <f t="array" ref="B606">SUMPRODUCT((Tablo3[Personel Ad]=A606)*(Tablo3[Ürün Kar Tutarı]))</f>
        <v>0</v>
      </c>
      <c r="D606" s="14"/>
      <c r="F606" s="9" cm="1">
        <f t="array" ref="F606">SUMPRODUCT((Tablo3[Şehirler]=E606)*(Tablo3[Ürün Kar Tutarı]))</f>
        <v>0</v>
      </c>
      <c r="H606" s="14"/>
      <c r="J606" s="9" cm="1">
        <f t="array" ref="J606">SUMPRODUCT((Tablo3[Urun Ad]=I606)*(Tablo3[Ürün Kar Tutarı]))</f>
        <v>0</v>
      </c>
      <c r="L606" s="37"/>
    </row>
    <row r="607" spans="1:12" x14ac:dyDescent="0.25">
      <c r="A607" s="13"/>
      <c r="B607" s="9" cm="1">
        <f t="array" ref="B607">SUMPRODUCT((Tablo3[Personel Ad]=A607)*(Tablo3[Ürün Kar Tutarı]))</f>
        <v>0</v>
      </c>
      <c r="D607" s="14"/>
      <c r="F607" s="9" cm="1">
        <f t="array" ref="F607">SUMPRODUCT((Tablo3[Şehirler]=E607)*(Tablo3[Ürün Kar Tutarı]))</f>
        <v>0</v>
      </c>
      <c r="H607" s="14"/>
      <c r="J607" s="9" cm="1">
        <f t="array" ref="J607">SUMPRODUCT((Tablo3[Urun Ad]=I607)*(Tablo3[Ürün Kar Tutarı]))</f>
        <v>0</v>
      </c>
      <c r="L607" s="37"/>
    </row>
    <row r="608" spans="1:12" x14ac:dyDescent="0.25">
      <c r="A608" s="13"/>
      <c r="B608" s="9" cm="1">
        <f t="array" ref="B608">SUMPRODUCT((Tablo3[Personel Ad]=A608)*(Tablo3[Ürün Kar Tutarı]))</f>
        <v>0</v>
      </c>
      <c r="D608" s="14"/>
      <c r="F608" s="9" cm="1">
        <f t="array" ref="F608">SUMPRODUCT((Tablo3[Şehirler]=E608)*(Tablo3[Ürün Kar Tutarı]))</f>
        <v>0</v>
      </c>
      <c r="H608" s="14"/>
      <c r="J608" s="9" cm="1">
        <f t="array" ref="J608">SUMPRODUCT((Tablo3[Urun Ad]=I608)*(Tablo3[Ürün Kar Tutarı]))</f>
        <v>0</v>
      </c>
      <c r="L608" s="37"/>
    </row>
    <row r="609" spans="1:12" x14ac:dyDescent="0.25">
      <c r="A609" s="13"/>
      <c r="B609" s="9" cm="1">
        <f t="array" ref="B609">SUMPRODUCT((Tablo3[Personel Ad]=A609)*(Tablo3[Ürün Kar Tutarı]))</f>
        <v>0</v>
      </c>
      <c r="D609" s="14"/>
      <c r="F609" s="9" cm="1">
        <f t="array" ref="F609">SUMPRODUCT((Tablo3[Şehirler]=E609)*(Tablo3[Ürün Kar Tutarı]))</f>
        <v>0</v>
      </c>
      <c r="H609" s="14"/>
      <c r="J609" s="9" cm="1">
        <f t="array" ref="J609">SUMPRODUCT((Tablo3[Urun Ad]=I609)*(Tablo3[Ürün Kar Tutarı]))</f>
        <v>0</v>
      </c>
      <c r="L609" s="37"/>
    </row>
    <row r="610" spans="1:12" x14ac:dyDescent="0.25">
      <c r="A610" s="13"/>
      <c r="B610" s="9" cm="1">
        <f t="array" ref="B610">SUMPRODUCT((Tablo3[Personel Ad]=A610)*(Tablo3[Ürün Kar Tutarı]))</f>
        <v>0</v>
      </c>
      <c r="D610" s="14"/>
      <c r="F610" s="9" cm="1">
        <f t="array" ref="F610">SUMPRODUCT((Tablo3[Şehirler]=E610)*(Tablo3[Ürün Kar Tutarı]))</f>
        <v>0</v>
      </c>
      <c r="H610" s="14"/>
      <c r="J610" s="9" cm="1">
        <f t="array" ref="J610">SUMPRODUCT((Tablo3[Urun Ad]=I610)*(Tablo3[Ürün Kar Tutarı]))</f>
        <v>0</v>
      </c>
      <c r="L610" s="37"/>
    </row>
    <row r="611" spans="1:12" x14ac:dyDescent="0.25">
      <c r="A611" s="13"/>
      <c r="B611" s="9" cm="1">
        <f t="array" ref="B611">SUMPRODUCT((Tablo3[Personel Ad]=A611)*(Tablo3[Ürün Kar Tutarı]))</f>
        <v>0</v>
      </c>
      <c r="D611" s="14"/>
      <c r="F611" s="9" cm="1">
        <f t="array" ref="F611">SUMPRODUCT((Tablo3[Şehirler]=E611)*(Tablo3[Ürün Kar Tutarı]))</f>
        <v>0</v>
      </c>
      <c r="H611" s="14"/>
      <c r="J611" s="9" cm="1">
        <f t="array" ref="J611">SUMPRODUCT((Tablo3[Urun Ad]=I611)*(Tablo3[Ürün Kar Tutarı]))</f>
        <v>0</v>
      </c>
      <c r="L611" s="37"/>
    </row>
    <row r="612" spans="1:12" x14ac:dyDescent="0.25">
      <c r="A612" s="13"/>
      <c r="B612" s="9" cm="1">
        <f t="array" ref="B612">SUMPRODUCT((Tablo3[Personel Ad]=A612)*(Tablo3[Ürün Kar Tutarı]))</f>
        <v>0</v>
      </c>
      <c r="D612" s="14"/>
      <c r="F612" s="9" cm="1">
        <f t="array" ref="F612">SUMPRODUCT((Tablo3[Şehirler]=E612)*(Tablo3[Ürün Kar Tutarı]))</f>
        <v>0</v>
      </c>
      <c r="H612" s="14"/>
      <c r="J612" s="9" cm="1">
        <f t="array" ref="J612">SUMPRODUCT((Tablo3[Urun Ad]=I612)*(Tablo3[Ürün Kar Tutarı]))</f>
        <v>0</v>
      </c>
      <c r="L612" s="37"/>
    </row>
    <row r="613" spans="1:12" x14ac:dyDescent="0.25">
      <c r="A613" s="13"/>
      <c r="B613" s="9" cm="1">
        <f t="array" ref="B613">SUMPRODUCT((Tablo3[Personel Ad]=A613)*(Tablo3[Ürün Kar Tutarı]))</f>
        <v>0</v>
      </c>
      <c r="D613" s="14"/>
      <c r="F613" s="9" cm="1">
        <f t="array" ref="F613">SUMPRODUCT((Tablo3[Şehirler]=E613)*(Tablo3[Ürün Kar Tutarı]))</f>
        <v>0</v>
      </c>
      <c r="H613" s="14"/>
      <c r="J613" s="9" cm="1">
        <f t="array" ref="J613">SUMPRODUCT((Tablo3[Urun Ad]=I613)*(Tablo3[Ürün Kar Tutarı]))</f>
        <v>0</v>
      </c>
      <c r="L613" s="37"/>
    </row>
    <row r="614" spans="1:12" x14ac:dyDescent="0.25">
      <c r="A614" s="13"/>
      <c r="B614" s="9" cm="1">
        <f t="array" ref="B614">SUMPRODUCT((Tablo3[Personel Ad]=A614)*(Tablo3[Ürün Kar Tutarı]))</f>
        <v>0</v>
      </c>
      <c r="D614" s="14"/>
      <c r="F614" s="9" cm="1">
        <f t="array" ref="F614">SUMPRODUCT((Tablo3[Şehirler]=E614)*(Tablo3[Ürün Kar Tutarı]))</f>
        <v>0</v>
      </c>
      <c r="H614" s="14"/>
      <c r="J614" s="9" cm="1">
        <f t="array" ref="J614">SUMPRODUCT((Tablo3[Urun Ad]=I614)*(Tablo3[Ürün Kar Tutarı]))</f>
        <v>0</v>
      </c>
      <c r="L614" s="37"/>
    </row>
    <row r="615" spans="1:12" x14ac:dyDescent="0.25">
      <c r="A615" s="13"/>
      <c r="B615" s="9" cm="1">
        <f t="array" ref="B615">SUMPRODUCT((Tablo3[Personel Ad]=A615)*(Tablo3[Ürün Kar Tutarı]))</f>
        <v>0</v>
      </c>
      <c r="D615" s="14"/>
      <c r="F615" s="9" cm="1">
        <f t="array" ref="F615">SUMPRODUCT((Tablo3[Şehirler]=E615)*(Tablo3[Ürün Kar Tutarı]))</f>
        <v>0</v>
      </c>
      <c r="H615" s="14"/>
      <c r="J615" s="9" cm="1">
        <f t="array" ref="J615">SUMPRODUCT((Tablo3[Urun Ad]=I615)*(Tablo3[Ürün Kar Tutarı]))</f>
        <v>0</v>
      </c>
      <c r="L615" s="37"/>
    </row>
    <row r="616" spans="1:12" x14ac:dyDescent="0.25">
      <c r="A616" s="13"/>
      <c r="B616" s="9" cm="1">
        <f t="array" ref="B616">SUMPRODUCT((Tablo3[Personel Ad]=A616)*(Tablo3[Ürün Kar Tutarı]))</f>
        <v>0</v>
      </c>
      <c r="D616" s="14"/>
      <c r="F616" s="9" cm="1">
        <f t="array" ref="F616">SUMPRODUCT((Tablo3[Şehirler]=E616)*(Tablo3[Ürün Kar Tutarı]))</f>
        <v>0</v>
      </c>
      <c r="H616" s="14"/>
      <c r="J616" s="9" cm="1">
        <f t="array" ref="J616">SUMPRODUCT((Tablo3[Urun Ad]=I616)*(Tablo3[Ürün Kar Tutarı]))</f>
        <v>0</v>
      </c>
      <c r="L616" s="37"/>
    </row>
    <row r="617" spans="1:12" x14ac:dyDescent="0.25">
      <c r="A617" s="13"/>
      <c r="B617" s="9" cm="1">
        <f t="array" ref="B617">SUMPRODUCT((Tablo3[Personel Ad]=A617)*(Tablo3[Ürün Kar Tutarı]))</f>
        <v>0</v>
      </c>
      <c r="D617" s="14"/>
      <c r="F617" s="9" cm="1">
        <f t="array" ref="F617">SUMPRODUCT((Tablo3[Şehirler]=E617)*(Tablo3[Ürün Kar Tutarı]))</f>
        <v>0</v>
      </c>
      <c r="H617" s="14"/>
      <c r="J617" s="9" cm="1">
        <f t="array" ref="J617">SUMPRODUCT((Tablo3[Urun Ad]=I617)*(Tablo3[Ürün Kar Tutarı]))</f>
        <v>0</v>
      </c>
      <c r="L617" s="37"/>
    </row>
    <row r="618" spans="1:12" x14ac:dyDescent="0.25">
      <c r="A618" s="13"/>
      <c r="B618" s="9" cm="1">
        <f t="array" ref="B618">SUMPRODUCT((Tablo3[Personel Ad]=A618)*(Tablo3[Ürün Kar Tutarı]))</f>
        <v>0</v>
      </c>
      <c r="D618" s="14"/>
      <c r="F618" s="9" cm="1">
        <f t="array" ref="F618">SUMPRODUCT((Tablo3[Şehirler]=E618)*(Tablo3[Ürün Kar Tutarı]))</f>
        <v>0</v>
      </c>
      <c r="H618" s="14"/>
      <c r="J618" s="9" cm="1">
        <f t="array" ref="J618">SUMPRODUCT((Tablo3[Urun Ad]=I618)*(Tablo3[Ürün Kar Tutarı]))</f>
        <v>0</v>
      </c>
      <c r="L618" s="37"/>
    </row>
    <row r="619" spans="1:12" x14ac:dyDescent="0.25">
      <c r="A619" s="13"/>
      <c r="B619" s="9" cm="1">
        <f t="array" ref="B619">SUMPRODUCT((Tablo3[Personel Ad]=A619)*(Tablo3[Ürün Kar Tutarı]))</f>
        <v>0</v>
      </c>
      <c r="D619" s="14"/>
      <c r="F619" s="9" cm="1">
        <f t="array" ref="F619">SUMPRODUCT((Tablo3[Şehirler]=E619)*(Tablo3[Ürün Kar Tutarı]))</f>
        <v>0</v>
      </c>
      <c r="H619" s="14"/>
      <c r="J619" s="9" cm="1">
        <f t="array" ref="J619">SUMPRODUCT((Tablo3[Urun Ad]=I619)*(Tablo3[Ürün Kar Tutarı]))</f>
        <v>0</v>
      </c>
      <c r="L619" s="37"/>
    </row>
    <row r="620" spans="1:12" x14ac:dyDescent="0.25">
      <c r="A620" s="13"/>
      <c r="B620" s="9" cm="1">
        <f t="array" ref="B620">SUMPRODUCT((Tablo3[Personel Ad]=A620)*(Tablo3[Ürün Kar Tutarı]))</f>
        <v>0</v>
      </c>
      <c r="D620" s="14"/>
      <c r="F620" s="9" cm="1">
        <f t="array" ref="F620">SUMPRODUCT((Tablo3[Şehirler]=E620)*(Tablo3[Ürün Kar Tutarı]))</f>
        <v>0</v>
      </c>
      <c r="H620" s="14"/>
      <c r="J620" s="9" cm="1">
        <f t="array" ref="J620">SUMPRODUCT((Tablo3[Urun Ad]=I620)*(Tablo3[Ürün Kar Tutarı]))</f>
        <v>0</v>
      </c>
      <c r="L620" s="37"/>
    </row>
    <row r="621" spans="1:12" x14ac:dyDescent="0.25">
      <c r="A621" s="13"/>
      <c r="B621" s="9" cm="1">
        <f t="array" ref="B621">SUMPRODUCT((Tablo3[Personel Ad]=A621)*(Tablo3[Ürün Kar Tutarı]))</f>
        <v>0</v>
      </c>
      <c r="D621" s="14"/>
      <c r="F621" s="9" cm="1">
        <f t="array" ref="F621">SUMPRODUCT((Tablo3[Şehirler]=E621)*(Tablo3[Ürün Kar Tutarı]))</f>
        <v>0</v>
      </c>
      <c r="H621" s="14"/>
      <c r="J621" s="9" cm="1">
        <f t="array" ref="J621">SUMPRODUCT((Tablo3[Urun Ad]=I621)*(Tablo3[Ürün Kar Tutarı]))</f>
        <v>0</v>
      </c>
      <c r="L621" s="37"/>
    </row>
    <row r="622" spans="1:12" x14ac:dyDescent="0.25">
      <c r="A622" s="13"/>
      <c r="B622" s="9" cm="1">
        <f t="array" ref="B622">SUMPRODUCT((Tablo3[Personel Ad]=A622)*(Tablo3[Ürün Kar Tutarı]))</f>
        <v>0</v>
      </c>
      <c r="D622" s="14"/>
      <c r="F622" s="9" cm="1">
        <f t="array" ref="F622">SUMPRODUCT((Tablo3[Şehirler]=E622)*(Tablo3[Ürün Kar Tutarı]))</f>
        <v>0</v>
      </c>
      <c r="H622" s="14"/>
      <c r="J622" s="9" cm="1">
        <f t="array" ref="J622">SUMPRODUCT((Tablo3[Urun Ad]=I622)*(Tablo3[Ürün Kar Tutarı]))</f>
        <v>0</v>
      </c>
      <c r="L622" s="37"/>
    </row>
    <row r="623" spans="1:12" x14ac:dyDescent="0.25">
      <c r="A623" s="13"/>
      <c r="B623" s="9" cm="1">
        <f t="array" ref="B623">SUMPRODUCT((Tablo3[Personel Ad]=A623)*(Tablo3[Ürün Kar Tutarı]))</f>
        <v>0</v>
      </c>
      <c r="D623" s="14"/>
      <c r="F623" s="9" cm="1">
        <f t="array" ref="F623">SUMPRODUCT((Tablo3[Şehirler]=E623)*(Tablo3[Ürün Kar Tutarı]))</f>
        <v>0</v>
      </c>
      <c r="H623" s="14"/>
      <c r="J623" s="9" cm="1">
        <f t="array" ref="J623">SUMPRODUCT((Tablo3[Urun Ad]=I623)*(Tablo3[Ürün Kar Tutarı]))</f>
        <v>0</v>
      </c>
      <c r="L623" s="37"/>
    </row>
    <row r="624" spans="1:12" x14ac:dyDescent="0.25">
      <c r="A624" s="13"/>
      <c r="B624" s="9" cm="1">
        <f t="array" ref="B624">SUMPRODUCT((Tablo3[Personel Ad]=A624)*(Tablo3[Ürün Kar Tutarı]))</f>
        <v>0</v>
      </c>
      <c r="D624" s="14"/>
      <c r="F624" s="9" cm="1">
        <f t="array" ref="F624">SUMPRODUCT((Tablo3[Şehirler]=E624)*(Tablo3[Ürün Kar Tutarı]))</f>
        <v>0</v>
      </c>
      <c r="H624" s="14"/>
      <c r="J624" s="9" cm="1">
        <f t="array" ref="J624">SUMPRODUCT((Tablo3[Urun Ad]=I624)*(Tablo3[Ürün Kar Tutarı]))</f>
        <v>0</v>
      </c>
      <c r="L624" s="37"/>
    </row>
    <row r="625" spans="1:12" x14ac:dyDescent="0.25">
      <c r="A625" s="13"/>
      <c r="B625" s="9" cm="1">
        <f t="array" ref="B625">SUMPRODUCT((Tablo3[Personel Ad]=A625)*(Tablo3[Ürün Kar Tutarı]))</f>
        <v>0</v>
      </c>
      <c r="D625" s="14"/>
      <c r="F625" s="9" cm="1">
        <f t="array" ref="F625">SUMPRODUCT((Tablo3[Şehirler]=E625)*(Tablo3[Ürün Kar Tutarı]))</f>
        <v>0</v>
      </c>
      <c r="H625" s="14"/>
      <c r="J625" s="9" cm="1">
        <f t="array" ref="J625">SUMPRODUCT((Tablo3[Urun Ad]=I625)*(Tablo3[Ürün Kar Tutarı]))</f>
        <v>0</v>
      </c>
      <c r="L625" s="37"/>
    </row>
    <row r="626" spans="1:12" x14ac:dyDescent="0.25">
      <c r="A626" s="13"/>
      <c r="B626" s="9" cm="1">
        <f t="array" ref="B626">SUMPRODUCT((Tablo3[Personel Ad]=A626)*(Tablo3[Ürün Kar Tutarı]))</f>
        <v>0</v>
      </c>
      <c r="D626" s="14"/>
      <c r="F626" s="9" cm="1">
        <f t="array" ref="F626">SUMPRODUCT((Tablo3[Şehirler]=E626)*(Tablo3[Ürün Kar Tutarı]))</f>
        <v>0</v>
      </c>
      <c r="H626" s="14"/>
      <c r="J626" s="9" cm="1">
        <f t="array" ref="J626">SUMPRODUCT((Tablo3[Urun Ad]=I626)*(Tablo3[Ürün Kar Tutarı]))</f>
        <v>0</v>
      </c>
      <c r="L626" s="37"/>
    </row>
    <row r="627" spans="1:12" x14ac:dyDescent="0.25">
      <c r="A627" s="13"/>
      <c r="B627" s="9" cm="1">
        <f t="array" ref="B627">SUMPRODUCT((Tablo3[Personel Ad]=A627)*(Tablo3[Ürün Kar Tutarı]))</f>
        <v>0</v>
      </c>
      <c r="D627" s="14"/>
      <c r="F627" s="9" cm="1">
        <f t="array" ref="F627">SUMPRODUCT((Tablo3[Şehirler]=E627)*(Tablo3[Ürün Kar Tutarı]))</f>
        <v>0</v>
      </c>
      <c r="H627" s="14"/>
      <c r="J627" s="9" cm="1">
        <f t="array" ref="J627">SUMPRODUCT((Tablo3[Urun Ad]=I627)*(Tablo3[Ürün Kar Tutarı]))</f>
        <v>0</v>
      </c>
      <c r="L627" s="37"/>
    </row>
    <row r="628" spans="1:12" x14ac:dyDescent="0.25">
      <c r="A628" s="13"/>
      <c r="B628" s="9" cm="1">
        <f t="array" ref="B628">SUMPRODUCT((Tablo3[Personel Ad]=A628)*(Tablo3[Ürün Kar Tutarı]))</f>
        <v>0</v>
      </c>
      <c r="D628" s="14"/>
      <c r="F628" s="9" cm="1">
        <f t="array" ref="F628">SUMPRODUCT((Tablo3[Şehirler]=E628)*(Tablo3[Ürün Kar Tutarı]))</f>
        <v>0</v>
      </c>
      <c r="H628" s="14"/>
      <c r="J628" s="9" cm="1">
        <f t="array" ref="J628">SUMPRODUCT((Tablo3[Urun Ad]=I628)*(Tablo3[Ürün Kar Tutarı]))</f>
        <v>0</v>
      </c>
      <c r="L628" s="37"/>
    </row>
    <row r="629" spans="1:12" x14ac:dyDescent="0.25">
      <c r="A629" s="13"/>
      <c r="B629" s="9" cm="1">
        <f t="array" ref="B629">SUMPRODUCT((Tablo3[Personel Ad]=A629)*(Tablo3[Ürün Kar Tutarı]))</f>
        <v>0</v>
      </c>
      <c r="D629" s="14"/>
      <c r="F629" s="9" cm="1">
        <f t="array" ref="F629">SUMPRODUCT((Tablo3[Şehirler]=E629)*(Tablo3[Ürün Kar Tutarı]))</f>
        <v>0</v>
      </c>
      <c r="H629" s="14"/>
      <c r="J629" s="9" cm="1">
        <f t="array" ref="J629">SUMPRODUCT((Tablo3[Urun Ad]=I629)*(Tablo3[Ürün Kar Tutarı]))</f>
        <v>0</v>
      </c>
      <c r="L629" s="37"/>
    </row>
    <row r="630" spans="1:12" x14ac:dyDescent="0.25">
      <c r="A630" s="13"/>
      <c r="B630" s="9" cm="1">
        <f t="array" ref="B630">SUMPRODUCT((Tablo3[Personel Ad]=A630)*(Tablo3[Ürün Kar Tutarı]))</f>
        <v>0</v>
      </c>
      <c r="D630" s="14"/>
      <c r="F630" s="9" cm="1">
        <f t="array" ref="F630">SUMPRODUCT((Tablo3[Şehirler]=E630)*(Tablo3[Ürün Kar Tutarı]))</f>
        <v>0</v>
      </c>
      <c r="H630" s="14"/>
      <c r="J630" s="9" cm="1">
        <f t="array" ref="J630">SUMPRODUCT((Tablo3[Urun Ad]=I630)*(Tablo3[Ürün Kar Tutarı]))</f>
        <v>0</v>
      </c>
      <c r="L630" s="37"/>
    </row>
    <row r="631" spans="1:12" x14ac:dyDescent="0.25">
      <c r="A631" s="13"/>
      <c r="B631" s="9" cm="1">
        <f t="array" ref="B631">SUMPRODUCT((Tablo3[Personel Ad]=A631)*(Tablo3[Ürün Kar Tutarı]))</f>
        <v>0</v>
      </c>
      <c r="D631" s="14"/>
      <c r="F631" s="9" cm="1">
        <f t="array" ref="F631">SUMPRODUCT((Tablo3[Şehirler]=E631)*(Tablo3[Ürün Kar Tutarı]))</f>
        <v>0</v>
      </c>
      <c r="H631" s="14"/>
      <c r="J631" s="9" cm="1">
        <f t="array" ref="J631">SUMPRODUCT((Tablo3[Urun Ad]=I631)*(Tablo3[Ürün Kar Tutarı]))</f>
        <v>0</v>
      </c>
      <c r="L631" s="37"/>
    </row>
    <row r="632" spans="1:12" x14ac:dyDescent="0.25">
      <c r="A632" s="13"/>
      <c r="B632" s="9" cm="1">
        <f t="array" ref="B632">SUMPRODUCT((Tablo3[Personel Ad]=A632)*(Tablo3[Ürün Kar Tutarı]))</f>
        <v>0</v>
      </c>
      <c r="D632" s="14"/>
      <c r="F632" s="9" cm="1">
        <f t="array" ref="F632">SUMPRODUCT((Tablo3[Şehirler]=E632)*(Tablo3[Ürün Kar Tutarı]))</f>
        <v>0</v>
      </c>
      <c r="H632" s="14"/>
      <c r="J632" s="9" cm="1">
        <f t="array" ref="J632">SUMPRODUCT((Tablo3[Urun Ad]=I632)*(Tablo3[Ürün Kar Tutarı]))</f>
        <v>0</v>
      </c>
      <c r="L632" s="37"/>
    </row>
    <row r="633" spans="1:12" x14ac:dyDescent="0.25">
      <c r="A633" s="13"/>
      <c r="B633" s="9" cm="1">
        <f t="array" ref="B633">SUMPRODUCT((Tablo3[Personel Ad]=A633)*(Tablo3[Ürün Kar Tutarı]))</f>
        <v>0</v>
      </c>
      <c r="D633" s="14"/>
      <c r="F633" s="9" cm="1">
        <f t="array" ref="F633">SUMPRODUCT((Tablo3[Şehirler]=E633)*(Tablo3[Ürün Kar Tutarı]))</f>
        <v>0</v>
      </c>
      <c r="H633" s="14"/>
      <c r="J633" s="9" cm="1">
        <f t="array" ref="J633">SUMPRODUCT((Tablo3[Urun Ad]=I633)*(Tablo3[Ürün Kar Tutarı]))</f>
        <v>0</v>
      </c>
      <c r="L633" s="37"/>
    </row>
    <row r="634" spans="1:12" x14ac:dyDescent="0.25">
      <c r="A634" s="13"/>
      <c r="B634" s="9" cm="1">
        <f t="array" ref="B634">SUMPRODUCT((Tablo3[Personel Ad]=A634)*(Tablo3[Ürün Kar Tutarı]))</f>
        <v>0</v>
      </c>
      <c r="D634" s="14"/>
      <c r="F634" s="9" cm="1">
        <f t="array" ref="F634">SUMPRODUCT((Tablo3[Şehirler]=E634)*(Tablo3[Ürün Kar Tutarı]))</f>
        <v>0</v>
      </c>
      <c r="H634" s="14"/>
      <c r="J634" s="9" cm="1">
        <f t="array" ref="J634">SUMPRODUCT((Tablo3[Urun Ad]=I634)*(Tablo3[Ürün Kar Tutarı]))</f>
        <v>0</v>
      </c>
      <c r="L634" s="37"/>
    </row>
    <row r="635" spans="1:12" x14ac:dyDescent="0.25">
      <c r="A635" s="13"/>
      <c r="B635" s="9" cm="1">
        <f t="array" ref="B635">SUMPRODUCT((Tablo3[Personel Ad]=A635)*(Tablo3[Ürün Kar Tutarı]))</f>
        <v>0</v>
      </c>
      <c r="D635" s="14"/>
      <c r="F635" s="9" cm="1">
        <f t="array" ref="F635">SUMPRODUCT((Tablo3[Şehirler]=E635)*(Tablo3[Ürün Kar Tutarı]))</f>
        <v>0</v>
      </c>
      <c r="H635" s="14"/>
      <c r="J635" s="9" cm="1">
        <f t="array" ref="J635">SUMPRODUCT((Tablo3[Urun Ad]=I635)*(Tablo3[Ürün Kar Tutarı]))</f>
        <v>0</v>
      </c>
      <c r="L635" s="37"/>
    </row>
    <row r="636" spans="1:12" x14ac:dyDescent="0.25">
      <c r="A636" s="13"/>
      <c r="B636" s="9" cm="1">
        <f t="array" ref="B636">SUMPRODUCT((Tablo3[Personel Ad]=A636)*(Tablo3[Ürün Kar Tutarı]))</f>
        <v>0</v>
      </c>
      <c r="D636" s="14"/>
      <c r="F636" s="9" cm="1">
        <f t="array" ref="F636">SUMPRODUCT((Tablo3[Şehirler]=E636)*(Tablo3[Ürün Kar Tutarı]))</f>
        <v>0</v>
      </c>
      <c r="H636" s="14"/>
      <c r="J636" s="9" cm="1">
        <f t="array" ref="J636">SUMPRODUCT((Tablo3[Urun Ad]=I636)*(Tablo3[Ürün Kar Tutarı]))</f>
        <v>0</v>
      </c>
      <c r="L636" s="37"/>
    </row>
    <row r="637" spans="1:12" x14ac:dyDescent="0.25">
      <c r="A637" s="13"/>
      <c r="B637" s="9" cm="1">
        <f t="array" ref="B637">SUMPRODUCT((Tablo3[Personel Ad]=A637)*(Tablo3[Ürün Kar Tutarı]))</f>
        <v>0</v>
      </c>
      <c r="D637" s="14"/>
      <c r="F637" s="9" cm="1">
        <f t="array" ref="F637">SUMPRODUCT((Tablo3[Şehirler]=E637)*(Tablo3[Ürün Kar Tutarı]))</f>
        <v>0</v>
      </c>
      <c r="H637" s="14"/>
      <c r="J637" s="9" cm="1">
        <f t="array" ref="J637">SUMPRODUCT((Tablo3[Urun Ad]=I637)*(Tablo3[Ürün Kar Tutarı]))</f>
        <v>0</v>
      </c>
      <c r="L637" s="37"/>
    </row>
    <row r="638" spans="1:12" x14ac:dyDescent="0.25">
      <c r="A638" s="13"/>
      <c r="B638" s="9" cm="1">
        <f t="array" ref="B638">SUMPRODUCT((Tablo3[Personel Ad]=A638)*(Tablo3[Ürün Kar Tutarı]))</f>
        <v>0</v>
      </c>
      <c r="D638" s="14"/>
      <c r="F638" s="9" cm="1">
        <f t="array" ref="F638">SUMPRODUCT((Tablo3[Şehirler]=E638)*(Tablo3[Ürün Kar Tutarı]))</f>
        <v>0</v>
      </c>
      <c r="H638" s="14"/>
      <c r="J638" s="9" cm="1">
        <f t="array" ref="J638">SUMPRODUCT((Tablo3[Urun Ad]=I638)*(Tablo3[Ürün Kar Tutarı]))</f>
        <v>0</v>
      </c>
      <c r="L638" s="37"/>
    </row>
    <row r="639" spans="1:12" x14ac:dyDescent="0.25">
      <c r="A639" s="13"/>
      <c r="B639" s="9" cm="1">
        <f t="array" ref="B639">SUMPRODUCT((Tablo3[Personel Ad]=A639)*(Tablo3[Ürün Kar Tutarı]))</f>
        <v>0</v>
      </c>
      <c r="D639" s="14"/>
      <c r="F639" s="9" cm="1">
        <f t="array" ref="F639">SUMPRODUCT((Tablo3[Şehirler]=E639)*(Tablo3[Ürün Kar Tutarı]))</f>
        <v>0</v>
      </c>
      <c r="H639" s="14"/>
      <c r="J639" s="9" cm="1">
        <f t="array" ref="J639">SUMPRODUCT((Tablo3[Urun Ad]=I639)*(Tablo3[Ürün Kar Tutarı]))</f>
        <v>0</v>
      </c>
      <c r="L639" s="37"/>
    </row>
    <row r="640" spans="1:12" x14ac:dyDescent="0.25">
      <c r="A640" s="13"/>
      <c r="B640" s="9" cm="1">
        <f t="array" ref="B640">SUMPRODUCT((Tablo3[Personel Ad]=A640)*(Tablo3[Ürün Kar Tutarı]))</f>
        <v>0</v>
      </c>
      <c r="D640" s="14"/>
      <c r="F640" s="9" cm="1">
        <f t="array" ref="F640">SUMPRODUCT((Tablo3[Şehirler]=E640)*(Tablo3[Ürün Kar Tutarı]))</f>
        <v>0</v>
      </c>
      <c r="H640" s="14"/>
      <c r="J640" s="9" cm="1">
        <f t="array" ref="J640">SUMPRODUCT((Tablo3[Urun Ad]=I640)*(Tablo3[Ürün Kar Tutarı]))</f>
        <v>0</v>
      </c>
      <c r="L640" s="37"/>
    </row>
    <row r="641" spans="1:12" x14ac:dyDescent="0.25">
      <c r="A641" s="13"/>
      <c r="B641" s="9" cm="1">
        <f t="array" ref="B641">SUMPRODUCT((Tablo3[Personel Ad]=A641)*(Tablo3[Ürün Kar Tutarı]))</f>
        <v>0</v>
      </c>
      <c r="D641" s="14"/>
      <c r="F641" s="9" cm="1">
        <f t="array" ref="F641">SUMPRODUCT((Tablo3[Şehirler]=E641)*(Tablo3[Ürün Kar Tutarı]))</f>
        <v>0</v>
      </c>
      <c r="H641" s="14"/>
      <c r="J641" s="9" cm="1">
        <f t="array" ref="J641">SUMPRODUCT((Tablo3[Urun Ad]=I641)*(Tablo3[Ürün Kar Tutarı]))</f>
        <v>0</v>
      </c>
      <c r="L641" s="37"/>
    </row>
    <row r="642" spans="1:12" x14ac:dyDescent="0.25">
      <c r="A642" s="13"/>
      <c r="B642" s="9" cm="1">
        <f t="array" ref="B642">SUMPRODUCT((Tablo3[Personel Ad]=A642)*(Tablo3[Ürün Kar Tutarı]))</f>
        <v>0</v>
      </c>
      <c r="D642" s="14"/>
      <c r="F642" s="9" cm="1">
        <f t="array" ref="F642">SUMPRODUCT((Tablo3[Şehirler]=E642)*(Tablo3[Ürün Kar Tutarı]))</f>
        <v>0</v>
      </c>
      <c r="H642" s="14"/>
      <c r="J642" s="9" cm="1">
        <f t="array" ref="J642">SUMPRODUCT((Tablo3[Urun Ad]=I642)*(Tablo3[Ürün Kar Tutarı]))</f>
        <v>0</v>
      </c>
      <c r="L642" s="37"/>
    </row>
    <row r="643" spans="1:12" x14ac:dyDescent="0.25">
      <c r="A643" s="13"/>
      <c r="B643" s="9" cm="1">
        <f t="array" ref="B643">SUMPRODUCT((Tablo3[Personel Ad]=A643)*(Tablo3[Ürün Kar Tutarı]))</f>
        <v>0</v>
      </c>
      <c r="D643" s="14"/>
      <c r="F643" s="9" cm="1">
        <f t="array" ref="F643">SUMPRODUCT((Tablo3[Şehirler]=E643)*(Tablo3[Ürün Kar Tutarı]))</f>
        <v>0</v>
      </c>
      <c r="H643" s="14"/>
      <c r="J643" s="9" cm="1">
        <f t="array" ref="J643">SUMPRODUCT((Tablo3[Urun Ad]=I643)*(Tablo3[Ürün Kar Tutarı]))</f>
        <v>0</v>
      </c>
      <c r="L643" s="37"/>
    </row>
    <row r="644" spans="1:12" x14ac:dyDescent="0.25">
      <c r="A644" s="13"/>
      <c r="B644" s="9" cm="1">
        <f t="array" ref="B644">SUMPRODUCT((Tablo3[Personel Ad]=A644)*(Tablo3[Ürün Kar Tutarı]))</f>
        <v>0</v>
      </c>
      <c r="D644" s="14"/>
      <c r="F644" s="9" cm="1">
        <f t="array" ref="F644">SUMPRODUCT((Tablo3[Şehirler]=E644)*(Tablo3[Ürün Kar Tutarı]))</f>
        <v>0</v>
      </c>
      <c r="H644" s="14"/>
      <c r="J644" s="9" cm="1">
        <f t="array" ref="J644">SUMPRODUCT((Tablo3[Urun Ad]=I644)*(Tablo3[Ürün Kar Tutarı]))</f>
        <v>0</v>
      </c>
      <c r="L644" s="37"/>
    </row>
    <row r="645" spans="1:12" x14ac:dyDescent="0.25">
      <c r="A645" s="13"/>
      <c r="B645" s="9" cm="1">
        <f t="array" ref="B645">SUMPRODUCT((Tablo3[Personel Ad]=A645)*(Tablo3[Ürün Kar Tutarı]))</f>
        <v>0</v>
      </c>
      <c r="D645" s="14"/>
      <c r="F645" s="9" cm="1">
        <f t="array" ref="F645">SUMPRODUCT((Tablo3[Şehirler]=E645)*(Tablo3[Ürün Kar Tutarı]))</f>
        <v>0</v>
      </c>
      <c r="H645" s="14"/>
      <c r="J645" s="9" cm="1">
        <f t="array" ref="J645">SUMPRODUCT((Tablo3[Urun Ad]=I645)*(Tablo3[Ürün Kar Tutarı]))</f>
        <v>0</v>
      </c>
      <c r="L645" s="37"/>
    </row>
    <row r="646" spans="1:12" x14ac:dyDescent="0.25">
      <c r="A646" s="13"/>
      <c r="B646" s="9" cm="1">
        <f t="array" ref="B646">SUMPRODUCT((Tablo3[Personel Ad]=A646)*(Tablo3[Ürün Kar Tutarı]))</f>
        <v>0</v>
      </c>
      <c r="D646" s="14"/>
      <c r="F646" s="9" cm="1">
        <f t="array" ref="F646">SUMPRODUCT((Tablo3[Şehirler]=E646)*(Tablo3[Ürün Kar Tutarı]))</f>
        <v>0</v>
      </c>
      <c r="H646" s="14"/>
      <c r="J646" s="9" cm="1">
        <f t="array" ref="J646">SUMPRODUCT((Tablo3[Urun Ad]=I646)*(Tablo3[Ürün Kar Tutarı]))</f>
        <v>0</v>
      </c>
      <c r="L646" s="37"/>
    </row>
    <row r="647" spans="1:12" x14ac:dyDescent="0.25">
      <c r="A647" s="13"/>
      <c r="B647" s="9" cm="1">
        <f t="array" ref="B647">SUMPRODUCT((Tablo3[Personel Ad]=A647)*(Tablo3[Ürün Kar Tutarı]))</f>
        <v>0</v>
      </c>
      <c r="D647" s="14"/>
      <c r="F647" s="9" cm="1">
        <f t="array" ref="F647">SUMPRODUCT((Tablo3[Şehirler]=E647)*(Tablo3[Ürün Kar Tutarı]))</f>
        <v>0</v>
      </c>
      <c r="H647" s="14"/>
      <c r="J647" s="9" cm="1">
        <f t="array" ref="J647">SUMPRODUCT((Tablo3[Urun Ad]=I647)*(Tablo3[Ürün Kar Tutarı]))</f>
        <v>0</v>
      </c>
      <c r="L647" s="37"/>
    </row>
    <row r="648" spans="1:12" x14ac:dyDescent="0.25">
      <c r="A648" s="13"/>
      <c r="B648" s="9" cm="1">
        <f t="array" ref="B648">SUMPRODUCT((Tablo3[Personel Ad]=A648)*(Tablo3[Ürün Kar Tutarı]))</f>
        <v>0</v>
      </c>
      <c r="D648" s="14"/>
      <c r="F648" s="9" cm="1">
        <f t="array" ref="F648">SUMPRODUCT((Tablo3[Şehirler]=E648)*(Tablo3[Ürün Kar Tutarı]))</f>
        <v>0</v>
      </c>
      <c r="H648" s="14"/>
      <c r="J648" s="9" cm="1">
        <f t="array" ref="J648">SUMPRODUCT((Tablo3[Urun Ad]=I648)*(Tablo3[Ürün Kar Tutarı]))</f>
        <v>0</v>
      </c>
      <c r="L648" s="37"/>
    </row>
    <row r="649" spans="1:12" x14ac:dyDescent="0.25">
      <c r="A649" s="13"/>
      <c r="B649" s="9" cm="1">
        <f t="array" ref="B649">SUMPRODUCT((Tablo3[Personel Ad]=A649)*(Tablo3[Ürün Kar Tutarı]))</f>
        <v>0</v>
      </c>
      <c r="D649" s="14"/>
      <c r="F649" s="9" cm="1">
        <f t="array" ref="F649">SUMPRODUCT((Tablo3[Şehirler]=E649)*(Tablo3[Ürün Kar Tutarı]))</f>
        <v>0</v>
      </c>
      <c r="H649" s="14"/>
      <c r="J649" s="9" cm="1">
        <f t="array" ref="J649">SUMPRODUCT((Tablo3[Urun Ad]=I649)*(Tablo3[Ürün Kar Tutarı]))</f>
        <v>0</v>
      </c>
      <c r="L649" s="37"/>
    </row>
    <row r="650" spans="1:12" x14ac:dyDescent="0.25">
      <c r="A650" s="13"/>
      <c r="B650" s="9" cm="1">
        <f t="array" ref="B650">SUMPRODUCT((Tablo3[Personel Ad]=A650)*(Tablo3[Ürün Kar Tutarı]))</f>
        <v>0</v>
      </c>
      <c r="D650" s="14"/>
      <c r="F650" s="9" cm="1">
        <f t="array" ref="F650">SUMPRODUCT((Tablo3[Şehirler]=E650)*(Tablo3[Ürün Kar Tutarı]))</f>
        <v>0</v>
      </c>
      <c r="H650" s="14"/>
      <c r="J650" s="9" cm="1">
        <f t="array" ref="J650">SUMPRODUCT((Tablo3[Urun Ad]=I650)*(Tablo3[Ürün Kar Tutarı]))</f>
        <v>0</v>
      </c>
      <c r="L650" s="37"/>
    </row>
    <row r="651" spans="1:12" x14ac:dyDescent="0.25">
      <c r="A651" s="13"/>
      <c r="B651" s="9" cm="1">
        <f t="array" ref="B651">SUMPRODUCT((Tablo3[Personel Ad]=A651)*(Tablo3[Ürün Kar Tutarı]))</f>
        <v>0</v>
      </c>
      <c r="D651" s="14"/>
      <c r="F651" s="9" cm="1">
        <f t="array" ref="F651">SUMPRODUCT((Tablo3[Şehirler]=E651)*(Tablo3[Ürün Kar Tutarı]))</f>
        <v>0</v>
      </c>
      <c r="H651" s="14"/>
      <c r="J651" s="9" cm="1">
        <f t="array" ref="J651">SUMPRODUCT((Tablo3[Urun Ad]=I651)*(Tablo3[Ürün Kar Tutarı]))</f>
        <v>0</v>
      </c>
      <c r="L651" s="37"/>
    </row>
    <row r="652" spans="1:12" x14ac:dyDescent="0.25">
      <c r="A652" s="13"/>
      <c r="B652" s="9" cm="1">
        <f t="array" ref="B652">SUMPRODUCT((Tablo3[Personel Ad]=A652)*(Tablo3[Ürün Kar Tutarı]))</f>
        <v>0</v>
      </c>
      <c r="D652" s="14"/>
      <c r="F652" s="9" cm="1">
        <f t="array" ref="F652">SUMPRODUCT((Tablo3[Şehirler]=E652)*(Tablo3[Ürün Kar Tutarı]))</f>
        <v>0</v>
      </c>
      <c r="H652" s="14"/>
      <c r="J652" s="9" cm="1">
        <f t="array" ref="J652">SUMPRODUCT((Tablo3[Urun Ad]=I652)*(Tablo3[Ürün Kar Tutarı]))</f>
        <v>0</v>
      </c>
      <c r="L652" s="37"/>
    </row>
    <row r="653" spans="1:12" x14ac:dyDescent="0.25">
      <c r="A653" s="13"/>
      <c r="B653" s="9" cm="1">
        <f t="array" ref="B653">SUMPRODUCT((Tablo3[Personel Ad]=A653)*(Tablo3[Ürün Kar Tutarı]))</f>
        <v>0</v>
      </c>
      <c r="D653" s="14"/>
      <c r="F653" s="9" cm="1">
        <f t="array" ref="F653">SUMPRODUCT((Tablo3[Şehirler]=E653)*(Tablo3[Ürün Kar Tutarı]))</f>
        <v>0</v>
      </c>
      <c r="H653" s="14"/>
      <c r="J653" s="9" cm="1">
        <f t="array" ref="J653">SUMPRODUCT((Tablo3[Urun Ad]=I653)*(Tablo3[Ürün Kar Tutarı]))</f>
        <v>0</v>
      </c>
      <c r="L653" s="37"/>
    </row>
    <row r="654" spans="1:12" x14ac:dyDescent="0.25">
      <c r="A654" s="13"/>
      <c r="B654" s="9" cm="1">
        <f t="array" ref="B654">SUMPRODUCT((Tablo3[Personel Ad]=A654)*(Tablo3[Ürün Kar Tutarı]))</f>
        <v>0</v>
      </c>
      <c r="D654" s="14"/>
      <c r="F654" s="9" cm="1">
        <f t="array" ref="F654">SUMPRODUCT((Tablo3[Şehirler]=E654)*(Tablo3[Ürün Kar Tutarı]))</f>
        <v>0</v>
      </c>
      <c r="H654" s="14"/>
      <c r="J654" s="9" cm="1">
        <f t="array" ref="J654">SUMPRODUCT((Tablo3[Urun Ad]=I654)*(Tablo3[Ürün Kar Tutarı]))</f>
        <v>0</v>
      </c>
      <c r="L654" s="37"/>
    </row>
    <row r="655" spans="1:12" x14ac:dyDescent="0.25">
      <c r="A655" s="13"/>
      <c r="B655" s="9" cm="1">
        <f t="array" ref="B655">SUMPRODUCT((Tablo3[Personel Ad]=A655)*(Tablo3[Ürün Kar Tutarı]))</f>
        <v>0</v>
      </c>
      <c r="D655" s="14"/>
      <c r="F655" s="9" cm="1">
        <f t="array" ref="F655">SUMPRODUCT((Tablo3[Şehirler]=E655)*(Tablo3[Ürün Kar Tutarı]))</f>
        <v>0</v>
      </c>
      <c r="H655" s="14"/>
      <c r="J655" s="9" cm="1">
        <f t="array" ref="J655">SUMPRODUCT((Tablo3[Urun Ad]=I655)*(Tablo3[Ürün Kar Tutarı]))</f>
        <v>0</v>
      </c>
      <c r="L655" s="37"/>
    </row>
    <row r="656" spans="1:12" x14ac:dyDescent="0.25">
      <c r="A656" s="13"/>
      <c r="B656" s="9" cm="1">
        <f t="array" ref="B656">SUMPRODUCT((Tablo3[Personel Ad]=A656)*(Tablo3[Ürün Kar Tutarı]))</f>
        <v>0</v>
      </c>
      <c r="D656" s="14"/>
      <c r="F656" s="9" cm="1">
        <f t="array" ref="F656">SUMPRODUCT((Tablo3[Şehirler]=E656)*(Tablo3[Ürün Kar Tutarı]))</f>
        <v>0</v>
      </c>
      <c r="H656" s="14"/>
      <c r="J656" s="9" cm="1">
        <f t="array" ref="J656">SUMPRODUCT((Tablo3[Urun Ad]=I656)*(Tablo3[Ürün Kar Tutarı]))</f>
        <v>0</v>
      </c>
      <c r="L656" s="37"/>
    </row>
    <row r="657" spans="1:12" x14ac:dyDescent="0.25">
      <c r="A657" s="13"/>
      <c r="B657" s="9" cm="1">
        <f t="array" ref="B657">SUMPRODUCT((Tablo3[Personel Ad]=A657)*(Tablo3[Ürün Kar Tutarı]))</f>
        <v>0</v>
      </c>
      <c r="D657" s="14"/>
      <c r="F657" s="9" cm="1">
        <f t="array" ref="F657">SUMPRODUCT((Tablo3[Şehirler]=E657)*(Tablo3[Ürün Kar Tutarı]))</f>
        <v>0</v>
      </c>
      <c r="H657" s="14"/>
      <c r="J657" s="9" cm="1">
        <f t="array" ref="J657">SUMPRODUCT((Tablo3[Urun Ad]=I657)*(Tablo3[Ürün Kar Tutarı]))</f>
        <v>0</v>
      </c>
      <c r="L657" s="37"/>
    </row>
    <row r="658" spans="1:12" x14ac:dyDescent="0.25">
      <c r="A658" s="13"/>
      <c r="B658" s="9" cm="1">
        <f t="array" ref="B658">SUMPRODUCT((Tablo3[Personel Ad]=A658)*(Tablo3[Ürün Kar Tutarı]))</f>
        <v>0</v>
      </c>
      <c r="D658" s="14"/>
      <c r="F658" s="9" cm="1">
        <f t="array" ref="F658">SUMPRODUCT((Tablo3[Şehirler]=E658)*(Tablo3[Ürün Kar Tutarı]))</f>
        <v>0</v>
      </c>
      <c r="H658" s="14"/>
      <c r="J658" s="9" cm="1">
        <f t="array" ref="J658">SUMPRODUCT((Tablo3[Urun Ad]=I658)*(Tablo3[Ürün Kar Tutarı]))</f>
        <v>0</v>
      </c>
      <c r="L658" s="37"/>
    </row>
    <row r="659" spans="1:12" x14ac:dyDescent="0.25">
      <c r="A659" s="13"/>
      <c r="B659" s="9" cm="1">
        <f t="array" ref="B659">SUMPRODUCT((Tablo3[Personel Ad]=A659)*(Tablo3[Ürün Kar Tutarı]))</f>
        <v>0</v>
      </c>
      <c r="D659" s="14"/>
      <c r="F659" s="9" cm="1">
        <f t="array" ref="F659">SUMPRODUCT((Tablo3[Şehirler]=E659)*(Tablo3[Ürün Kar Tutarı]))</f>
        <v>0</v>
      </c>
      <c r="H659" s="14"/>
      <c r="J659" s="9" cm="1">
        <f t="array" ref="J659">SUMPRODUCT((Tablo3[Urun Ad]=I659)*(Tablo3[Ürün Kar Tutarı]))</f>
        <v>0</v>
      </c>
      <c r="L659" s="37"/>
    </row>
    <row r="660" spans="1:12" x14ac:dyDescent="0.25">
      <c r="A660" s="13"/>
      <c r="B660" s="9" cm="1">
        <f t="array" ref="B660">SUMPRODUCT((Tablo3[Personel Ad]=A660)*(Tablo3[Ürün Kar Tutarı]))</f>
        <v>0</v>
      </c>
      <c r="D660" s="14"/>
      <c r="F660" s="9" cm="1">
        <f t="array" ref="F660">SUMPRODUCT((Tablo3[Şehirler]=E660)*(Tablo3[Ürün Kar Tutarı]))</f>
        <v>0</v>
      </c>
      <c r="H660" s="14"/>
      <c r="J660" s="9" cm="1">
        <f t="array" ref="J660">SUMPRODUCT((Tablo3[Urun Ad]=I660)*(Tablo3[Ürün Kar Tutarı]))</f>
        <v>0</v>
      </c>
      <c r="L660" s="37"/>
    </row>
    <row r="661" spans="1:12" x14ac:dyDescent="0.25">
      <c r="A661" s="13"/>
      <c r="B661" s="9" cm="1">
        <f t="array" ref="B661">SUMPRODUCT((Tablo3[Personel Ad]=A661)*(Tablo3[Ürün Kar Tutarı]))</f>
        <v>0</v>
      </c>
      <c r="D661" s="14"/>
      <c r="F661" s="9" cm="1">
        <f t="array" ref="F661">SUMPRODUCT((Tablo3[Şehirler]=E661)*(Tablo3[Ürün Kar Tutarı]))</f>
        <v>0</v>
      </c>
      <c r="H661" s="14"/>
      <c r="J661" s="9" cm="1">
        <f t="array" ref="J661">SUMPRODUCT((Tablo3[Urun Ad]=I661)*(Tablo3[Ürün Kar Tutarı]))</f>
        <v>0</v>
      </c>
      <c r="L661" s="37"/>
    </row>
    <row r="662" spans="1:12" x14ac:dyDescent="0.25">
      <c r="A662" s="13"/>
      <c r="B662" s="9" cm="1">
        <f t="array" ref="B662">SUMPRODUCT((Tablo3[Personel Ad]=A662)*(Tablo3[Ürün Kar Tutarı]))</f>
        <v>0</v>
      </c>
      <c r="D662" s="14"/>
      <c r="F662" s="9" cm="1">
        <f t="array" ref="F662">SUMPRODUCT((Tablo3[Şehirler]=E662)*(Tablo3[Ürün Kar Tutarı]))</f>
        <v>0</v>
      </c>
      <c r="H662" s="14"/>
      <c r="J662" s="9" cm="1">
        <f t="array" ref="J662">SUMPRODUCT((Tablo3[Urun Ad]=I662)*(Tablo3[Ürün Kar Tutarı]))</f>
        <v>0</v>
      </c>
      <c r="L662" s="37"/>
    </row>
    <row r="663" spans="1:12" x14ac:dyDescent="0.25">
      <c r="A663" s="13"/>
      <c r="B663" s="9" cm="1">
        <f t="array" ref="B663">SUMPRODUCT((Tablo3[Personel Ad]=A663)*(Tablo3[Ürün Kar Tutarı]))</f>
        <v>0</v>
      </c>
      <c r="D663" s="14"/>
      <c r="F663" s="9" cm="1">
        <f t="array" ref="F663">SUMPRODUCT((Tablo3[Şehirler]=E663)*(Tablo3[Ürün Kar Tutarı]))</f>
        <v>0</v>
      </c>
      <c r="H663" s="14"/>
      <c r="J663" s="9" cm="1">
        <f t="array" ref="J663">SUMPRODUCT((Tablo3[Urun Ad]=I663)*(Tablo3[Ürün Kar Tutarı]))</f>
        <v>0</v>
      </c>
      <c r="L663" s="37"/>
    </row>
    <row r="664" spans="1:12" x14ac:dyDescent="0.25">
      <c r="A664" s="13"/>
      <c r="B664" s="9" cm="1">
        <f t="array" ref="B664">SUMPRODUCT((Tablo3[Personel Ad]=A664)*(Tablo3[Ürün Kar Tutarı]))</f>
        <v>0</v>
      </c>
      <c r="D664" s="14"/>
      <c r="F664" s="9" cm="1">
        <f t="array" ref="F664">SUMPRODUCT((Tablo3[Şehirler]=E664)*(Tablo3[Ürün Kar Tutarı]))</f>
        <v>0</v>
      </c>
      <c r="H664" s="14"/>
      <c r="J664" s="9" cm="1">
        <f t="array" ref="J664">SUMPRODUCT((Tablo3[Urun Ad]=I664)*(Tablo3[Ürün Kar Tutarı]))</f>
        <v>0</v>
      </c>
      <c r="L664" s="37"/>
    </row>
    <row r="665" spans="1:12" x14ac:dyDescent="0.25">
      <c r="A665" s="13"/>
      <c r="B665" s="9" cm="1">
        <f t="array" ref="B665">SUMPRODUCT((Tablo3[Personel Ad]=A665)*(Tablo3[Ürün Kar Tutarı]))</f>
        <v>0</v>
      </c>
      <c r="D665" s="14"/>
      <c r="F665" s="9" cm="1">
        <f t="array" ref="F665">SUMPRODUCT((Tablo3[Şehirler]=E665)*(Tablo3[Ürün Kar Tutarı]))</f>
        <v>0</v>
      </c>
      <c r="H665" s="14"/>
      <c r="J665" s="9" cm="1">
        <f t="array" ref="J665">SUMPRODUCT((Tablo3[Urun Ad]=I665)*(Tablo3[Ürün Kar Tutarı]))</f>
        <v>0</v>
      </c>
      <c r="L665" s="37"/>
    </row>
    <row r="666" spans="1:12" x14ac:dyDescent="0.25">
      <c r="A666" s="13"/>
      <c r="B666" s="9" cm="1">
        <f t="array" ref="B666">SUMPRODUCT((Tablo3[Personel Ad]=A666)*(Tablo3[Ürün Kar Tutarı]))</f>
        <v>0</v>
      </c>
      <c r="D666" s="14"/>
      <c r="F666" s="9" cm="1">
        <f t="array" ref="F666">SUMPRODUCT((Tablo3[Şehirler]=E666)*(Tablo3[Ürün Kar Tutarı]))</f>
        <v>0</v>
      </c>
      <c r="H666" s="14"/>
      <c r="J666" s="9" cm="1">
        <f t="array" ref="J666">SUMPRODUCT((Tablo3[Urun Ad]=I666)*(Tablo3[Ürün Kar Tutarı]))</f>
        <v>0</v>
      </c>
      <c r="L666" s="37"/>
    </row>
    <row r="667" spans="1:12" x14ac:dyDescent="0.25">
      <c r="A667" s="13"/>
      <c r="B667" s="9" cm="1">
        <f t="array" ref="B667">SUMPRODUCT((Tablo3[Personel Ad]=A667)*(Tablo3[Ürün Kar Tutarı]))</f>
        <v>0</v>
      </c>
      <c r="D667" s="14"/>
      <c r="F667" s="9" cm="1">
        <f t="array" ref="F667">SUMPRODUCT((Tablo3[Şehirler]=E667)*(Tablo3[Ürün Kar Tutarı]))</f>
        <v>0</v>
      </c>
      <c r="H667" s="14"/>
      <c r="J667" s="9" cm="1">
        <f t="array" ref="J667">SUMPRODUCT((Tablo3[Urun Ad]=I667)*(Tablo3[Ürün Kar Tutarı]))</f>
        <v>0</v>
      </c>
      <c r="L667" s="37"/>
    </row>
    <row r="668" spans="1:12" x14ac:dyDescent="0.25">
      <c r="A668" s="13"/>
      <c r="B668" s="9" cm="1">
        <f t="array" ref="B668">SUMPRODUCT((Tablo3[Personel Ad]=A668)*(Tablo3[Ürün Kar Tutarı]))</f>
        <v>0</v>
      </c>
      <c r="D668" s="14"/>
      <c r="F668" s="9" cm="1">
        <f t="array" ref="F668">SUMPRODUCT((Tablo3[Şehirler]=E668)*(Tablo3[Ürün Kar Tutarı]))</f>
        <v>0</v>
      </c>
      <c r="H668" s="14"/>
      <c r="J668" s="9" cm="1">
        <f t="array" ref="J668">SUMPRODUCT((Tablo3[Urun Ad]=I668)*(Tablo3[Ürün Kar Tutarı]))</f>
        <v>0</v>
      </c>
      <c r="L668" s="37"/>
    </row>
    <row r="669" spans="1:12" x14ac:dyDescent="0.25">
      <c r="A669" s="13"/>
      <c r="B669" s="9" cm="1">
        <f t="array" ref="B669">SUMPRODUCT((Tablo3[Personel Ad]=A669)*(Tablo3[Ürün Kar Tutarı]))</f>
        <v>0</v>
      </c>
      <c r="D669" s="14"/>
      <c r="F669" s="9" cm="1">
        <f t="array" ref="F669">SUMPRODUCT((Tablo3[Şehirler]=E669)*(Tablo3[Ürün Kar Tutarı]))</f>
        <v>0</v>
      </c>
      <c r="H669" s="14"/>
      <c r="J669" s="9" cm="1">
        <f t="array" ref="J669">SUMPRODUCT((Tablo3[Urun Ad]=I669)*(Tablo3[Ürün Kar Tutarı]))</f>
        <v>0</v>
      </c>
      <c r="L669" s="37"/>
    </row>
    <row r="670" spans="1:12" x14ac:dyDescent="0.25">
      <c r="A670" s="13"/>
      <c r="B670" s="9" cm="1">
        <f t="array" ref="B670">SUMPRODUCT((Tablo3[Personel Ad]=A670)*(Tablo3[Ürün Kar Tutarı]))</f>
        <v>0</v>
      </c>
      <c r="D670" s="14"/>
      <c r="F670" s="9" cm="1">
        <f t="array" ref="F670">SUMPRODUCT((Tablo3[Şehirler]=E670)*(Tablo3[Ürün Kar Tutarı]))</f>
        <v>0</v>
      </c>
      <c r="H670" s="14"/>
      <c r="J670" s="9" cm="1">
        <f t="array" ref="J670">SUMPRODUCT((Tablo3[Urun Ad]=I670)*(Tablo3[Ürün Kar Tutarı]))</f>
        <v>0</v>
      </c>
      <c r="L670" s="37"/>
    </row>
    <row r="671" spans="1:12" x14ac:dyDescent="0.25">
      <c r="A671" s="13"/>
      <c r="B671" s="9" cm="1">
        <f t="array" ref="B671">SUMPRODUCT((Tablo3[Personel Ad]=A671)*(Tablo3[Ürün Kar Tutarı]))</f>
        <v>0</v>
      </c>
      <c r="D671" s="14"/>
      <c r="F671" s="9" cm="1">
        <f t="array" ref="F671">SUMPRODUCT((Tablo3[Şehirler]=E671)*(Tablo3[Ürün Kar Tutarı]))</f>
        <v>0</v>
      </c>
      <c r="H671" s="14"/>
      <c r="J671" s="9" cm="1">
        <f t="array" ref="J671">SUMPRODUCT((Tablo3[Urun Ad]=I671)*(Tablo3[Ürün Kar Tutarı]))</f>
        <v>0</v>
      </c>
      <c r="L671" s="37"/>
    </row>
    <row r="672" spans="1:12" x14ac:dyDescent="0.25">
      <c r="A672" s="13"/>
      <c r="B672" s="9" cm="1">
        <f t="array" ref="B672">SUMPRODUCT((Tablo3[Personel Ad]=A672)*(Tablo3[Ürün Kar Tutarı]))</f>
        <v>0</v>
      </c>
      <c r="D672" s="14"/>
      <c r="F672" s="9" cm="1">
        <f t="array" ref="F672">SUMPRODUCT((Tablo3[Şehirler]=E672)*(Tablo3[Ürün Kar Tutarı]))</f>
        <v>0</v>
      </c>
      <c r="H672" s="14"/>
      <c r="J672" s="9" cm="1">
        <f t="array" ref="J672">SUMPRODUCT((Tablo3[Urun Ad]=I672)*(Tablo3[Ürün Kar Tutarı]))</f>
        <v>0</v>
      </c>
      <c r="L672" s="37"/>
    </row>
    <row r="673" spans="1:12" x14ac:dyDescent="0.25">
      <c r="A673" s="13"/>
      <c r="B673" s="9" cm="1">
        <f t="array" ref="B673">SUMPRODUCT((Tablo3[Personel Ad]=A673)*(Tablo3[Ürün Kar Tutarı]))</f>
        <v>0</v>
      </c>
      <c r="D673" s="14"/>
      <c r="F673" s="9" cm="1">
        <f t="array" ref="F673">SUMPRODUCT((Tablo3[Şehirler]=E673)*(Tablo3[Ürün Kar Tutarı]))</f>
        <v>0</v>
      </c>
      <c r="H673" s="14"/>
      <c r="J673" s="9" cm="1">
        <f t="array" ref="J673">SUMPRODUCT((Tablo3[Urun Ad]=I673)*(Tablo3[Ürün Kar Tutarı]))</f>
        <v>0</v>
      </c>
      <c r="L673" s="37"/>
    </row>
    <row r="674" spans="1:12" x14ac:dyDescent="0.25">
      <c r="A674" s="13"/>
      <c r="B674" s="9" cm="1">
        <f t="array" ref="B674">SUMPRODUCT((Tablo3[Personel Ad]=A674)*(Tablo3[Ürün Kar Tutarı]))</f>
        <v>0</v>
      </c>
      <c r="D674" s="14"/>
      <c r="F674" s="9" cm="1">
        <f t="array" ref="F674">SUMPRODUCT((Tablo3[Şehirler]=E674)*(Tablo3[Ürün Kar Tutarı]))</f>
        <v>0</v>
      </c>
      <c r="H674" s="14"/>
      <c r="J674" s="9" cm="1">
        <f t="array" ref="J674">SUMPRODUCT((Tablo3[Urun Ad]=I674)*(Tablo3[Ürün Kar Tutarı]))</f>
        <v>0</v>
      </c>
      <c r="L674" s="37"/>
    </row>
    <row r="675" spans="1:12" x14ac:dyDescent="0.25">
      <c r="A675" s="13"/>
      <c r="B675" s="9" cm="1">
        <f t="array" ref="B675">SUMPRODUCT((Tablo3[Personel Ad]=A675)*(Tablo3[Ürün Kar Tutarı]))</f>
        <v>0</v>
      </c>
      <c r="D675" s="14"/>
      <c r="F675" s="9" cm="1">
        <f t="array" ref="F675">SUMPRODUCT((Tablo3[Şehirler]=E675)*(Tablo3[Ürün Kar Tutarı]))</f>
        <v>0</v>
      </c>
      <c r="H675" s="14"/>
      <c r="J675" s="9" cm="1">
        <f t="array" ref="J675">SUMPRODUCT((Tablo3[Urun Ad]=I675)*(Tablo3[Ürün Kar Tutarı]))</f>
        <v>0</v>
      </c>
      <c r="L675" s="37"/>
    </row>
    <row r="676" spans="1:12" x14ac:dyDescent="0.25">
      <c r="A676" s="13"/>
      <c r="B676" s="9" cm="1">
        <f t="array" ref="B676">SUMPRODUCT((Tablo3[Personel Ad]=A676)*(Tablo3[Ürün Kar Tutarı]))</f>
        <v>0</v>
      </c>
      <c r="D676" s="14"/>
      <c r="F676" s="9" cm="1">
        <f t="array" ref="F676">SUMPRODUCT((Tablo3[Şehirler]=E676)*(Tablo3[Ürün Kar Tutarı]))</f>
        <v>0</v>
      </c>
      <c r="H676" s="14"/>
      <c r="J676" s="9" cm="1">
        <f t="array" ref="J676">SUMPRODUCT((Tablo3[Urun Ad]=I676)*(Tablo3[Ürün Kar Tutarı]))</f>
        <v>0</v>
      </c>
      <c r="L676" s="37"/>
    </row>
    <row r="677" spans="1:12" x14ac:dyDescent="0.25">
      <c r="A677" s="13"/>
      <c r="B677" s="9" cm="1">
        <f t="array" ref="B677">SUMPRODUCT((Tablo3[Personel Ad]=A677)*(Tablo3[Ürün Kar Tutarı]))</f>
        <v>0</v>
      </c>
      <c r="D677" s="14"/>
      <c r="F677" s="9" cm="1">
        <f t="array" ref="F677">SUMPRODUCT((Tablo3[Şehirler]=E677)*(Tablo3[Ürün Kar Tutarı]))</f>
        <v>0</v>
      </c>
      <c r="H677" s="14"/>
      <c r="J677" s="9" cm="1">
        <f t="array" ref="J677">SUMPRODUCT((Tablo3[Urun Ad]=I677)*(Tablo3[Ürün Kar Tutarı]))</f>
        <v>0</v>
      </c>
      <c r="L677" s="37"/>
    </row>
    <row r="678" spans="1:12" x14ac:dyDescent="0.25">
      <c r="A678" s="13"/>
      <c r="B678" s="9" cm="1">
        <f t="array" ref="B678">SUMPRODUCT((Tablo3[Personel Ad]=A678)*(Tablo3[Ürün Kar Tutarı]))</f>
        <v>0</v>
      </c>
      <c r="D678" s="14"/>
      <c r="F678" s="9" cm="1">
        <f t="array" ref="F678">SUMPRODUCT((Tablo3[Şehirler]=E678)*(Tablo3[Ürün Kar Tutarı]))</f>
        <v>0</v>
      </c>
      <c r="H678" s="14"/>
      <c r="J678" s="9" cm="1">
        <f t="array" ref="J678">SUMPRODUCT((Tablo3[Urun Ad]=I678)*(Tablo3[Ürün Kar Tutarı]))</f>
        <v>0</v>
      </c>
      <c r="L678" s="37"/>
    </row>
    <row r="679" spans="1:12" x14ac:dyDescent="0.25">
      <c r="A679" s="13"/>
      <c r="B679" s="9" cm="1">
        <f t="array" ref="B679">SUMPRODUCT((Tablo3[Personel Ad]=A679)*(Tablo3[Ürün Kar Tutarı]))</f>
        <v>0</v>
      </c>
      <c r="D679" s="14"/>
      <c r="F679" s="9" cm="1">
        <f t="array" ref="F679">SUMPRODUCT((Tablo3[Şehirler]=E679)*(Tablo3[Ürün Kar Tutarı]))</f>
        <v>0</v>
      </c>
      <c r="H679" s="14"/>
      <c r="J679" s="9" cm="1">
        <f t="array" ref="J679">SUMPRODUCT((Tablo3[Urun Ad]=I679)*(Tablo3[Ürün Kar Tutarı]))</f>
        <v>0</v>
      </c>
      <c r="L679" s="37"/>
    </row>
    <row r="680" spans="1:12" x14ac:dyDescent="0.25">
      <c r="A680" s="13"/>
      <c r="B680" s="9" cm="1">
        <f t="array" ref="B680">SUMPRODUCT((Tablo3[Personel Ad]=A680)*(Tablo3[Ürün Kar Tutarı]))</f>
        <v>0</v>
      </c>
      <c r="D680" s="14"/>
      <c r="F680" s="9" cm="1">
        <f t="array" ref="F680">SUMPRODUCT((Tablo3[Şehirler]=E680)*(Tablo3[Ürün Kar Tutarı]))</f>
        <v>0</v>
      </c>
      <c r="H680" s="14"/>
      <c r="J680" s="9" cm="1">
        <f t="array" ref="J680">SUMPRODUCT((Tablo3[Urun Ad]=I680)*(Tablo3[Ürün Kar Tutarı]))</f>
        <v>0</v>
      </c>
      <c r="L680" s="37"/>
    </row>
    <row r="681" spans="1:12" x14ac:dyDescent="0.25">
      <c r="A681" s="13"/>
      <c r="B681" s="9" cm="1">
        <f t="array" ref="B681">SUMPRODUCT((Tablo3[Personel Ad]=A681)*(Tablo3[Ürün Kar Tutarı]))</f>
        <v>0</v>
      </c>
      <c r="D681" s="14"/>
      <c r="F681" s="9" cm="1">
        <f t="array" ref="F681">SUMPRODUCT((Tablo3[Şehirler]=E681)*(Tablo3[Ürün Kar Tutarı]))</f>
        <v>0</v>
      </c>
      <c r="H681" s="14"/>
      <c r="J681" s="9" cm="1">
        <f t="array" ref="J681">SUMPRODUCT((Tablo3[Urun Ad]=I681)*(Tablo3[Ürün Kar Tutarı]))</f>
        <v>0</v>
      </c>
      <c r="L681" s="37"/>
    </row>
    <row r="682" spans="1:12" x14ac:dyDescent="0.25">
      <c r="A682" s="13"/>
      <c r="B682" s="9" cm="1">
        <f t="array" ref="B682">SUMPRODUCT((Tablo3[Personel Ad]=A682)*(Tablo3[Ürün Kar Tutarı]))</f>
        <v>0</v>
      </c>
      <c r="D682" s="14"/>
      <c r="F682" s="9" cm="1">
        <f t="array" ref="F682">SUMPRODUCT((Tablo3[Şehirler]=E682)*(Tablo3[Ürün Kar Tutarı]))</f>
        <v>0</v>
      </c>
      <c r="H682" s="14"/>
      <c r="J682" s="9" cm="1">
        <f t="array" ref="J682">SUMPRODUCT((Tablo3[Urun Ad]=I682)*(Tablo3[Ürün Kar Tutarı]))</f>
        <v>0</v>
      </c>
      <c r="L682" s="37"/>
    </row>
    <row r="683" spans="1:12" x14ac:dyDescent="0.25">
      <c r="A683" s="13"/>
      <c r="B683" s="9" cm="1">
        <f t="array" ref="B683">SUMPRODUCT((Tablo3[Personel Ad]=A683)*(Tablo3[Ürün Kar Tutarı]))</f>
        <v>0</v>
      </c>
      <c r="D683" s="14"/>
      <c r="F683" s="9" cm="1">
        <f t="array" ref="F683">SUMPRODUCT((Tablo3[Şehirler]=E683)*(Tablo3[Ürün Kar Tutarı]))</f>
        <v>0</v>
      </c>
      <c r="H683" s="14"/>
      <c r="J683" s="9" cm="1">
        <f t="array" ref="J683">SUMPRODUCT((Tablo3[Urun Ad]=I683)*(Tablo3[Ürün Kar Tutarı]))</f>
        <v>0</v>
      </c>
      <c r="L683" s="37"/>
    </row>
    <row r="684" spans="1:12" x14ac:dyDescent="0.25">
      <c r="A684" s="13"/>
      <c r="B684" s="9" cm="1">
        <f t="array" ref="B684">SUMPRODUCT((Tablo3[Personel Ad]=A684)*(Tablo3[Ürün Kar Tutarı]))</f>
        <v>0</v>
      </c>
      <c r="D684" s="14"/>
      <c r="F684" s="9" cm="1">
        <f t="array" ref="F684">SUMPRODUCT((Tablo3[Şehirler]=E684)*(Tablo3[Ürün Kar Tutarı]))</f>
        <v>0</v>
      </c>
      <c r="H684" s="14"/>
      <c r="J684" s="9" cm="1">
        <f t="array" ref="J684">SUMPRODUCT((Tablo3[Urun Ad]=I684)*(Tablo3[Ürün Kar Tutarı]))</f>
        <v>0</v>
      </c>
      <c r="L684" s="37"/>
    </row>
    <row r="685" spans="1:12" x14ac:dyDescent="0.25">
      <c r="A685" s="13"/>
      <c r="B685" s="9" cm="1">
        <f t="array" ref="B685">SUMPRODUCT((Tablo3[Personel Ad]=A685)*(Tablo3[Ürün Kar Tutarı]))</f>
        <v>0</v>
      </c>
      <c r="D685" s="14"/>
      <c r="F685" s="9" cm="1">
        <f t="array" ref="F685">SUMPRODUCT((Tablo3[Şehirler]=E685)*(Tablo3[Ürün Kar Tutarı]))</f>
        <v>0</v>
      </c>
      <c r="H685" s="14"/>
      <c r="J685" s="9" cm="1">
        <f t="array" ref="J685">SUMPRODUCT((Tablo3[Urun Ad]=I685)*(Tablo3[Ürün Kar Tutarı]))</f>
        <v>0</v>
      </c>
      <c r="L685" s="37"/>
    </row>
    <row r="686" spans="1:12" x14ac:dyDescent="0.25">
      <c r="A686" s="13"/>
      <c r="B686" s="9" cm="1">
        <f t="array" ref="B686">SUMPRODUCT((Tablo3[Personel Ad]=A686)*(Tablo3[Ürün Kar Tutarı]))</f>
        <v>0</v>
      </c>
      <c r="D686" s="14"/>
      <c r="F686" s="9" cm="1">
        <f t="array" ref="F686">SUMPRODUCT((Tablo3[Şehirler]=E686)*(Tablo3[Ürün Kar Tutarı]))</f>
        <v>0</v>
      </c>
      <c r="H686" s="14"/>
      <c r="J686" s="9" cm="1">
        <f t="array" ref="J686">SUMPRODUCT((Tablo3[Urun Ad]=I686)*(Tablo3[Ürün Kar Tutarı]))</f>
        <v>0</v>
      </c>
      <c r="L686" s="37"/>
    </row>
    <row r="687" spans="1:12" x14ac:dyDescent="0.25">
      <c r="A687" s="13"/>
      <c r="B687" s="9" cm="1">
        <f t="array" ref="B687">SUMPRODUCT((Tablo3[Personel Ad]=A687)*(Tablo3[Ürün Kar Tutarı]))</f>
        <v>0</v>
      </c>
      <c r="D687" s="14"/>
      <c r="F687" s="9" cm="1">
        <f t="array" ref="F687">SUMPRODUCT((Tablo3[Şehirler]=E687)*(Tablo3[Ürün Kar Tutarı]))</f>
        <v>0</v>
      </c>
      <c r="H687" s="14"/>
      <c r="J687" s="9" cm="1">
        <f t="array" ref="J687">SUMPRODUCT((Tablo3[Urun Ad]=I687)*(Tablo3[Ürün Kar Tutarı]))</f>
        <v>0</v>
      </c>
      <c r="L687" s="37"/>
    </row>
    <row r="688" spans="1:12" x14ac:dyDescent="0.25">
      <c r="A688" s="13"/>
      <c r="B688" s="9" cm="1">
        <f t="array" ref="B688">SUMPRODUCT((Tablo3[Personel Ad]=A688)*(Tablo3[Ürün Kar Tutarı]))</f>
        <v>0</v>
      </c>
      <c r="D688" s="14"/>
      <c r="F688" s="9" cm="1">
        <f t="array" ref="F688">SUMPRODUCT((Tablo3[Şehirler]=E688)*(Tablo3[Ürün Kar Tutarı]))</f>
        <v>0</v>
      </c>
      <c r="H688" s="14"/>
      <c r="J688" s="9" cm="1">
        <f t="array" ref="J688">SUMPRODUCT((Tablo3[Urun Ad]=I688)*(Tablo3[Ürün Kar Tutarı]))</f>
        <v>0</v>
      </c>
      <c r="L688" s="37"/>
    </row>
    <row r="689" spans="1:12" x14ac:dyDescent="0.25">
      <c r="A689" s="13"/>
      <c r="B689" s="9" cm="1">
        <f t="array" ref="B689">SUMPRODUCT((Tablo3[Personel Ad]=A689)*(Tablo3[Ürün Kar Tutarı]))</f>
        <v>0</v>
      </c>
      <c r="D689" s="14"/>
      <c r="F689" s="9" cm="1">
        <f t="array" ref="F689">SUMPRODUCT((Tablo3[Şehirler]=E689)*(Tablo3[Ürün Kar Tutarı]))</f>
        <v>0</v>
      </c>
      <c r="H689" s="14"/>
      <c r="J689" s="9" cm="1">
        <f t="array" ref="J689">SUMPRODUCT((Tablo3[Urun Ad]=I689)*(Tablo3[Ürün Kar Tutarı]))</f>
        <v>0</v>
      </c>
      <c r="L689" s="37"/>
    </row>
    <row r="690" spans="1:12" x14ac:dyDescent="0.25">
      <c r="A690" s="13"/>
      <c r="B690" s="9" cm="1">
        <f t="array" ref="B690">SUMPRODUCT((Tablo3[Personel Ad]=A690)*(Tablo3[Ürün Kar Tutarı]))</f>
        <v>0</v>
      </c>
      <c r="D690" s="14"/>
      <c r="F690" s="9" cm="1">
        <f t="array" ref="F690">SUMPRODUCT((Tablo3[Şehirler]=E690)*(Tablo3[Ürün Kar Tutarı]))</f>
        <v>0</v>
      </c>
      <c r="H690" s="14"/>
      <c r="J690" s="9" cm="1">
        <f t="array" ref="J690">SUMPRODUCT((Tablo3[Urun Ad]=I690)*(Tablo3[Ürün Kar Tutarı]))</f>
        <v>0</v>
      </c>
      <c r="L690" s="37"/>
    </row>
    <row r="691" spans="1:12" x14ac:dyDescent="0.25">
      <c r="A691" s="13"/>
      <c r="B691" s="9" cm="1">
        <f t="array" ref="B691">SUMPRODUCT((Tablo3[Personel Ad]=A691)*(Tablo3[Ürün Kar Tutarı]))</f>
        <v>0</v>
      </c>
      <c r="D691" s="14"/>
      <c r="F691" s="9" cm="1">
        <f t="array" ref="F691">SUMPRODUCT((Tablo3[Şehirler]=E691)*(Tablo3[Ürün Kar Tutarı]))</f>
        <v>0</v>
      </c>
      <c r="H691" s="14"/>
      <c r="J691" s="9" cm="1">
        <f t="array" ref="J691">SUMPRODUCT((Tablo3[Urun Ad]=I691)*(Tablo3[Ürün Kar Tutarı]))</f>
        <v>0</v>
      </c>
      <c r="L691" s="37"/>
    </row>
    <row r="692" spans="1:12" x14ac:dyDescent="0.25">
      <c r="A692" s="13"/>
      <c r="B692" s="9" cm="1">
        <f t="array" ref="B692">SUMPRODUCT((Tablo3[Personel Ad]=A692)*(Tablo3[Ürün Kar Tutarı]))</f>
        <v>0</v>
      </c>
      <c r="D692" s="14"/>
      <c r="F692" s="9" cm="1">
        <f t="array" ref="F692">SUMPRODUCT((Tablo3[Şehirler]=E692)*(Tablo3[Ürün Kar Tutarı]))</f>
        <v>0</v>
      </c>
      <c r="H692" s="14"/>
      <c r="J692" s="9" cm="1">
        <f t="array" ref="J692">SUMPRODUCT((Tablo3[Urun Ad]=I692)*(Tablo3[Ürün Kar Tutarı]))</f>
        <v>0</v>
      </c>
      <c r="L692" s="37"/>
    </row>
    <row r="693" spans="1:12" x14ac:dyDescent="0.25">
      <c r="A693" s="13"/>
      <c r="B693" s="9" cm="1">
        <f t="array" ref="B693">SUMPRODUCT((Tablo3[Personel Ad]=A693)*(Tablo3[Ürün Kar Tutarı]))</f>
        <v>0</v>
      </c>
      <c r="D693" s="14"/>
      <c r="F693" s="9" cm="1">
        <f t="array" ref="F693">SUMPRODUCT((Tablo3[Şehirler]=E693)*(Tablo3[Ürün Kar Tutarı]))</f>
        <v>0</v>
      </c>
      <c r="H693" s="14"/>
      <c r="J693" s="9" cm="1">
        <f t="array" ref="J693">SUMPRODUCT((Tablo3[Urun Ad]=I693)*(Tablo3[Ürün Kar Tutarı]))</f>
        <v>0</v>
      </c>
      <c r="L693" s="37"/>
    </row>
    <row r="694" spans="1:12" x14ac:dyDescent="0.25">
      <c r="A694" s="13"/>
      <c r="B694" s="9" cm="1">
        <f t="array" ref="B694">SUMPRODUCT((Tablo3[Personel Ad]=A694)*(Tablo3[Ürün Kar Tutarı]))</f>
        <v>0</v>
      </c>
      <c r="D694" s="14"/>
      <c r="F694" s="9" cm="1">
        <f t="array" ref="F694">SUMPRODUCT((Tablo3[Şehirler]=E694)*(Tablo3[Ürün Kar Tutarı]))</f>
        <v>0</v>
      </c>
      <c r="H694" s="14"/>
      <c r="J694" s="9" cm="1">
        <f t="array" ref="J694">SUMPRODUCT((Tablo3[Urun Ad]=I694)*(Tablo3[Ürün Kar Tutarı]))</f>
        <v>0</v>
      </c>
      <c r="L694" s="37"/>
    </row>
    <row r="695" spans="1:12" x14ac:dyDescent="0.25">
      <c r="A695" s="13"/>
      <c r="B695" s="9" cm="1">
        <f t="array" ref="B695">SUMPRODUCT((Tablo3[Personel Ad]=A695)*(Tablo3[Ürün Kar Tutarı]))</f>
        <v>0</v>
      </c>
      <c r="D695" s="14"/>
      <c r="F695" s="9" cm="1">
        <f t="array" ref="F695">SUMPRODUCT((Tablo3[Şehirler]=E695)*(Tablo3[Ürün Kar Tutarı]))</f>
        <v>0</v>
      </c>
      <c r="H695" s="14"/>
      <c r="J695" s="9" cm="1">
        <f t="array" ref="J695">SUMPRODUCT((Tablo3[Urun Ad]=I695)*(Tablo3[Ürün Kar Tutarı]))</f>
        <v>0</v>
      </c>
      <c r="L695" s="37"/>
    </row>
    <row r="696" spans="1:12" x14ac:dyDescent="0.25">
      <c r="A696" s="13"/>
      <c r="B696" s="9" cm="1">
        <f t="array" ref="B696">SUMPRODUCT((Tablo3[Personel Ad]=A696)*(Tablo3[Ürün Kar Tutarı]))</f>
        <v>0</v>
      </c>
      <c r="D696" s="14"/>
      <c r="F696" s="9" cm="1">
        <f t="array" ref="F696">SUMPRODUCT((Tablo3[Şehirler]=E696)*(Tablo3[Ürün Kar Tutarı]))</f>
        <v>0</v>
      </c>
      <c r="H696" s="14"/>
      <c r="J696" s="9" cm="1">
        <f t="array" ref="J696">SUMPRODUCT((Tablo3[Urun Ad]=I696)*(Tablo3[Ürün Kar Tutarı]))</f>
        <v>0</v>
      </c>
      <c r="L696" s="37"/>
    </row>
    <row r="697" spans="1:12" x14ac:dyDescent="0.25">
      <c r="A697" s="13"/>
      <c r="B697" s="9" cm="1">
        <f t="array" ref="B697">SUMPRODUCT((Tablo3[Personel Ad]=A697)*(Tablo3[Ürün Kar Tutarı]))</f>
        <v>0</v>
      </c>
      <c r="D697" s="14"/>
      <c r="F697" s="9" cm="1">
        <f t="array" ref="F697">SUMPRODUCT((Tablo3[Şehirler]=E697)*(Tablo3[Ürün Kar Tutarı]))</f>
        <v>0</v>
      </c>
      <c r="H697" s="14"/>
      <c r="J697" s="9" cm="1">
        <f t="array" ref="J697">SUMPRODUCT((Tablo3[Urun Ad]=I697)*(Tablo3[Ürün Kar Tutarı]))</f>
        <v>0</v>
      </c>
      <c r="L697" s="37"/>
    </row>
    <row r="698" spans="1:12" x14ac:dyDescent="0.25">
      <c r="A698" s="13"/>
      <c r="B698" s="9" cm="1">
        <f t="array" ref="B698">SUMPRODUCT((Tablo3[Personel Ad]=A698)*(Tablo3[Ürün Kar Tutarı]))</f>
        <v>0</v>
      </c>
      <c r="D698" s="14"/>
      <c r="F698" s="9" cm="1">
        <f t="array" ref="F698">SUMPRODUCT((Tablo3[Şehirler]=E698)*(Tablo3[Ürün Kar Tutarı]))</f>
        <v>0</v>
      </c>
      <c r="H698" s="14"/>
      <c r="J698" s="9" cm="1">
        <f t="array" ref="J698">SUMPRODUCT((Tablo3[Urun Ad]=I698)*(Tablo3[Ürün Kar Tutarı]))</f>
        <v>0</v>
      </c>
      <c r="L698" s="37"/>
    </row>
    <row r="699" spans="1:12" x14ac:dyDescent="0.25">
      <c r="A699" s="13"/>
      <c r="B699" s="9" cm="1">
        <f t="array" ref="B699">SUMPRODUCT((Tablo3[Personel Ad]=A699)*(Tablo3[Ürün Kar Tutarı]))</f>
        <v>0</v>
      </c>
      <c r="D699" s="14"/>
      <c r="F699" s="9" cm="1">
        <f t="array" ref="F699">SUMPRODUCT((Tablo3[Şehirler]=E699)*(Tablo3[Ürün Kar Tutarı]))</f>
        <v>0</v>
      </c>
      <c r="H699" s="14"/>
      <c r="J699" s="9" cm="1">
        <f t="array" ref="J699">SUMPRODUCT((Tablo3[Urun Ad]=I699)*(Tablo3[Ürün Kar Tutarı]))</f>
        <v>0</v>
      </c>
      <c r="L699" s="37"/>
    </row>
    <row r="700" spans="1:12" x14ac:dyDescent="0.25">
      <c r="A700" s="13"/>
      <c r="B700" s="9" cm="1">
        <f t="array" ref="B700">SUMPRODUCT((Tablo3[Personel Ad]=A700)*(Tablo3[Ürün Kar Tutarı]))</f>
        <v>0</v>
      </c>
      <c r="D700" s="14"/>
      <c r="F700" s="9" cm="1">
        <f t="array" ref="F700">SUMPRODUCT((Tablo3[Şehirler]=E700)*(Tablo3[Ürün Kar Tutarı]))</f>
        <v>0</v>
      </c>
      <c r="H700" s="14"/>
      <c r="J700" s="9" cm="1">
        <f t="array" ref="J700">SUMPRODUCT((Tablo3[Urun Ad]=I700)*(Tablo3[Ürün Kar Tutarı]))</f>
        <v>0</v>
      </c>
      <c r="L700" s="37"/>
    </row>
    <row r="701" spans="1:12" x14ac:dyDescent="0.25">
      <c r="A701" s="13"/>
      <c r="B701" s="9" cm="1">
        <f t="array" ref="B701">SUMPRODUCT((Tablo3[Personel Ad]=A701)*(Tablo3[Ürün Kar Tutarı]))</f>
        <v>0</v>
      </c>
      <c r="D701" s="14"/>
      <c r="F701" s="9" cm="1">
        <f t="array" ref="F701">SUMPRODUCT((Tablo3[Şehirler]=E701)*(Tablo3[Ürün Kar Tutarı]))</f>
        <v>0</v>
      </c>
      <c r="H701" s="14"/>
      <c r="J701" s="9" cm="1">
        <f t="array" ref="J701">SUMPRODUCT((Tablo3[Urun Ad]=I701)*(Tablo3[Ürün Kar Tutarı]))</f>
        <v>0</v>
      </c>
      <c r="L701" s="37"/>
    </row>
    <row r="702" spans="1:12" x14ac:dyDescent="0.25">
      <c r="A702" s="13"/>
      <c r="B702" s="9" cm="1">
        <f t="array" ref="B702">SUMPRODUCT((Tablo3[Personel Ad]=A702)*(Tablo3[Ürün Kar Tutarı]))</f>
        <v>0</v>
      </c>
      <c r="D702" s="14"/>
      <c r="F702" s="9" cm="1">
        <f t="array" ref="F702">SUMPRODUCT((Tablo3[Şehirler]=E702)*(Tablo3[Ürün Kar Tutarı]))</f>
        <v>0</v>
      </c>
      <c r="H702" s="14"/>
      <c r="J702" s="9" cm="1">
        <f t="array" ref="J702">SUMPRODUCT((Tablo3[Urun Ad]=I702)*(Tablo3[Ürün Kar Tutarı]))</f>
        <v>0</v>
      </c>
      <c r="L702" s="37"/>
    </row>
    <row r="703" spans="1:12" x14ac:dyDescent="0.25">
      <c r="A703" s="13"/>
      <c r="B703" s="9" cm="1">
        <f t="array" ref="B703">SUMPRODUCT((Tablo3[Personel Ad]=A703)*(Tablo3[Ürün Kar Tutarı]))</f>
        <v>0</v>
      </c>
      <c r="D703" s="14"/>
      <c r="F703" s="9" cm="1">
        <f t="array" ref="F703">SUMPRODUCT((Tablo3[Şehirler]=E703)*(Tablo3[Ürün Kar Tutarı]))</f>
        <v>0</v>
      </c>
      <c r="H703" s="14"/>
      <c r="J703" s="9" cm="1">
        <f t="array" ref="J703">SUMPRODUCT((Tablo3[Urun Ad]=I703)*(Tablo3[Ürün Kar Tutarı]))</f>
        <v>0</v>
      </c>
      <c r="L703" s="37"/>
    </row>
    <row r="704" spans="1:12" x14ac:dyDescent="0.25">
      <c r="A704" s="13"/>
      <c r="B704" s="9" cm="1">
        <f t="array" ref="B704">SUMPRODUCT((Tablo3[Personel Ad]=A704)*(Tablo3[Ürün Kar Tutarı]))</f>
        <v>0</v>
      </c>
      <c r="D704" s="14"/>
      <c r="F704" s="9" cm="1">
        <f t="array" ref="F704">SUMPRODUCT((Tablo3[Şehirler]=E704)*(Tablo3[Ürün Kar Tutarı]))</f>
        <v>0</v>
      </c>
      <c r="H704" s="14"/>
      <c r="J704" s="9" cm="1">
        <f t="array" ref="J704">SUMPRODUCT((Tablo3[Urun Ad]=I704)*(Tablo3[Ürün Kar Tutarı]))</f>
        <v>0</v>
      </c>
      <c r="L704" s="37"/>
    </row>
    <row r="705" spans="1:12" x14ac:dyDescent="0.25">
      <c r="A705" s="13"/>
      <c r="B705" s="9" cm="1">
        <f t="array" ref="B705">SUMPRODUCT((Tablo3[Personel Ad]=A705)*(Tablo3[Ürün Kar Tutarı]))</f>
        <v>0</v>
      </c>
      <c r="D705" s="14"/>
      <c r="F705" s="9" cm="1">
        <f t="array" ref="F705">SUMPRODUCT((Tablo3[Şehirler]=E705)*(Tablo3[Ürün Kar Tutarı]))</f>
        <v>0</v>
      </c>
      <c r="H705" s="14"/>
      <c r="J705" s="9" cm="1">
        <f t="array" ref="J705">SUMPRODUCT((Tablo3[Urun Ad]=I705)*(Tablo3[Ürün Kar Tutarı]))</f>
        <v>0</v>
      </c>
      <c r="L705" s="37"/>
    </row>
    <row r="706" spans="1:12" x14ac:dyDescent="0.25">
      <c r="A706" s="13"/>
      <c r="B706" s="9" cm="1">
        <f t="array" ref="B706">SUMPRODUCT((Tablo3[Personel Ad]=A706)*(Tablo3[Ürün Kar Tutarı]))</f>
        <v>0</v>
      </c>
      <c r="D706" s="14"/>
      <c r="F706" s="9" cm="1">
        <f t="array" ref="F706">SUMPRODUCT((Tablo3[Şehirler]=E706)*(Tablo3[Ürün Kar Tutarı]))</f>
        <v>0</v>
      </c>
      <c r="H706" s="14"/>
      <c r="J706" s="9" cm="1">
        <f t="array" ref="J706">SUMPRODUCT((Tablo3[Urun Ad]=I706)*(Tablo3[Ürün Kar Tutarı]))</f>
        <v>0</v>
      </c>
      <c r="L706" s="37"/>
    </row>
    <row r="707" spans="1:12" x14ac:dyDescent="0.25">
      <c r="A707" s="13"/>
      <c r="B707" s="9" cm="1">
        <f t="array" ref="B707">SUMPRODUCT((Tablo3[Personel Ad]=A707)*(Tablo3[Ürün Kar Tutarı]))</f>
        <v>0</v>
      </c>
      <c r="D707" s="14"/>
      <c r="F707" s="9" cm="1">
        <f t="array" ref="F707">SUMPRODUCT((Tablo3[Şehirler]=E707)*(Tablo3[Ürün Kar Tutarı]))</f>
        <v>0</v>
      </c>
      <c r="H707" s="14"/>
      <c r="J707" s="9" cm="1">
        <f t="array" ref="J707">SUMPRODUCT((Tablo3[Urun Ad]=I707)*(Tablo3[Ürün Kar Tutarı]))</f>
        <v>0</v>
      </c>
      <c r="L707" s="37"/>
    </row>
    <row r="708" spans="1:12" x14ac:dyDescent="0.25">
      <c r="A708" s="13"/>
      <c r="B708" s="9" cm="1">
        <f t="array" ref="B708">SUMPRODUCT((Tablo3[Personel Ad]=A708)*(Tablo3[Ürün Kar Tutarı]))</f>
        <v>0</v>
      </c>
      <c r="D708" s="14"/>
      <c r="F708" s="9" cm="1">
        <f t="array" ref="F708">SUMPRODUCT((Tablo3[Şehirler]=E708)*(Tablo3[Ürün Kar Tutarı]))</f>
        <v>0</v>
      </c>
      <c r="H708" s="14"/>
      <c r="J708" s="9" cm="1">
        <f t="array" ref="J708">SUMPRODUCT((Tablo3[Urun Ad]=I708)*(Tablo3[Ürün Kar Tutarı]))</f>
        <v>0</v>
      </c>
      <c r="L708" s="37"/>
    </row>
    <row r="709" spans="1:12" x14ac:dyDescent="0.25">
      <c r="A709" s="13"/>
      <c r="B709" s="9" cm="1">
        <f t="array" ref="B709">SUMPRODUCT((Tablo3[Personel Ad]=A709)*(Tablo3[Ürün Kar Tutarı]))</f>
        <v>0</v>
      </c>
      <c r="D709" s="14"/>
      <c r="F709" s="9" cm="1">
        <f t="array" ref="F709">SUMPRODUCT((Tablo3[Şehirler]=E709)*(Tablo3[Ürün Kar Tutarı]))</f>
        <v>0</v>
      </c>
      <c r="H709" s="14"/>
      <c r="J709" s="9" cm="1">
        <f t="array" ref="J709">SUMPRODUCT((Tablo3[Urun Ad]=I709)*(Tablo3[Ürün Kar Tutarı]))</f>
        <v>0</v>
      </c>
      <c r="L709" s="37"/>
    </row>
    <row r="710" spans="1:12" x14ac:dyDescent="0.25">
      <c r="A710" s="13"/>
      <c r="B710" s="9" cm="1">
        <f t="array" ref="B710">SUMPRODUCT((Tablo3[Personel Ad]=A710)*(Tablo3[Ürün Kar Tutarı]))</f>
        <v>0</v>
      </c>
      <c r="D710" s="14"/>
      <c r="F710" s="9" cm="1">
        <f t="array" ref="F710">SUMPRODUCT((Tablo3[Şehirler]=E710)*(Tablo3[Ürün Kar Tutarı]))</f>
        <v>0</v>
      </c>
      <c r="H710" s="14"/>
      <c r="J710" s="9" cm="1">
        <f t="array" ref="J710">SUMPRODUCT((Tablo3[Urun Ad]=I710)*(Tablo3[Ürün Kar Tutarı]))</f>
        <v>0</v>
      </c>
      <c r="L710" s="37"/>
    </row>
    <row r="711" spans="1:12" x14ac:dyDescent="0.25">
      <c r="A711" s="13"/>
      <c r="B711" s="9" cm="1">
        <f t="array" ref="B711">SUMPRODUCT((Tablo3[Personel Ad]=A711)*(Tablo3[Ürün Kar Tutarı]))</f>
        <v>0</v>
      </c>
      <c r="D711" s="14"/>
      <c r="F711" s="9" cm="1">
        <f t="array" ref="F711">SUMPRODUCT((Tablo3[Şehirler]=E711)*(Tablo3[Ürün Kar Tutarı]))</f>
        <v>0</v>
      </c>
      <c r="H711" s="14"/>
      <c r="J711" s="9" cm="1">
        <f t="array" ref="J711">SUMPRODUCT((Tablo3[Urun Ad]=I711)*(Tablo3[Ürün Kar Tutarı]))</f>
        <v>0</v>
      </c>
      <c r="L711" s="37"/>
    </row>
    <row r="712" spans="1:12" x14ac:dyDescent="0.25">
      <c r="A712" s="13"/>
      <c r="B712" s="9" cm="1">
        <f t="array" ref="B712">SUMPRODUCT((Tablo3[Personel Ad]=A712)*(Tablo3[Ürün Kar Tutarı]))</f>
        <v>0</v>
      </c>
      <c r="D712" s="14"/>
      <c r="F712" s="9" cm="1">
        <f t="array" ref="F712">SUMPRODUCT((Tablo3[Şehirler]=E712)*(Tablo3[Ürün Kar Tutarı]))</f>
        <v>0</v>
      </c>
      <c r="H712" s="14"/>
      <c r="J712" s="9" cm="1">
        <f t="array" ref="J712">SUMPRODUCT((Tablo3[Urun Ad]=I712)*(Tablo3[Ürün Kar Tutarı]))</f>
        <v>0</v>
      </c>
      <c r="L712" s="37"/>
    </row>
    <row r="713" spans="1:12" x14ac:dyDescent="0.25">
      <c r="A713" s="13"/>
      <c r="B713" s="9" cm="1">
        <f t="array" ref="B713">SUMPRODUCT((Tablo3[Personel Ad]=A713)*(Tablo3[Ürün Kar Tutarı]))</f>
        <v>0</v>
      </c>
      <c r="D713" s="14"/>
      <c r="F713" s="9" cm="1">
        <f t="array" ref="F713">SUMPRODUCT((Tablo3[Şehirler]=E713)*(Tablo3[Ürün Kar Tutarı]))</f>
        <v>0</v>
      </c>
      <c r="H713" s="14"/>
      <c r="J713" s="9" cm="1">
        <f t="array" ref="J713">SUMPRODUCT((Tablo3[Urun Ad]=I713)*(Tablo3[Ürün Kar Tutarı]))</f>
        <v>0</v>
      </c>
      <c r="L713" s="37"/>
    </row>
    <row r="714" spans="1:12" x14ac:dyDescent="0.25">
      <c r="A714" s="13"/>
      <c r="B714" s="9" cm="1">
        <f t="array" ref="B714">SUMPRODUCT((Tablo3[Personel Ad]=A714)*(Tablo3[Ürün Kar Tutarı]))</f>
        <v>0</v>
      </c>
      <c r="D714" s="14"/>
      <c r="F714" s="9" cm="1">
        <f t="array" ref="F714">SUMPRODUCT((Tablo3[Şehirler]=E714)*(Tablo3[Ürün Kar Tutarı]))</f>
        <v>0</v>
      </c>
      <c r="H714" s="14"/>
      <c r="J714" s="9" cm="1">
        <f t="array" ref="J714">SUMPRODUCT((Tablo3[Urun Ad]=I714)*(Tablo3[Ürün Kar Tutarı]))</f>
        <v>0</v>
      </c>
      <c r="L714" s="37"/>
    </row>
    <row r="715" spans="1:12" x14ac:dyDescent="0.25">
      <c r="A715" s="13"/>
      <c r="B715" s="9" cm="1">
        <f t="array" ref="B715">SUMPRODUCT((Tablo3[Personel Ad]=A715)*(Tablo3[Ürün Kar Tutarı]))</f>
        <v>0</v>
      </c>
      <c r="D715" s="14"/>
      <c r="F715" s="9" cm="1">
        <f t="array" ref="F715">SUMPRODUCT((Tablo3[Şehirler]=E715)*(Tablo3[Ürün Kar Tutarı]))</f>
        <v>0</v>
      </c>
      <c r="H715" s="14"/>
      <c r="J715" s="9" cm="1">
        <f t="array" ref="J715">SUMPRODUCT((Tablo3[Urun Ad]=I715)*(Tablo3[Ürün Kar Tutarı]))</f>
        <v>0</v>
      </c>
      <c r="L715" s="37"/>
    </row>
    <row r="716" spans="1:12" x14ac:dyDescent="0.25">
      <c r="A716" s="13"/>
      <c r="B716" s="9" cm="1">
        <f t="array" ref="B716">SUMPRODUCT((Tablo3[Personel Ad]=A716)*(Tablo3[Ürün Kar Tutarı]))</f>
        <v>0</v>
      </c>
      <c r="D716" s="14"/>
      <c r="F716" s="9" cm="1">
        <f t="array" ref="F716">SUMPRODUCT((Tablo3[Şehirler]=E716)*(Tablo3[Ürün Kar Tutarı]))</f>
        <v>0</v>
      </c>
      <c r="H716" s="14"/>
      <c r="J716" s="9" cm="1">
        <f t="array" ref="J716">SUMPRODUCT((Tablo3[Urun Ad]=I716)*(Tablo3[Ürün Kar Tutarı]))</f>
        <v>0</v>
      </c>
      <c r="L716" s="37"/>
    </row>
    <row r="717" spans="1:12" x14ac:dyDescent="0.25">
      <c r="A717" s="13"/>
      <c r="B717" s="9" cm="1">
        <f t="array" ref="B717">SUMPRODUCT((Tablo3[Personel Ad]=A717)*(Tablo3[Ürün Kar Tutarı]))</f>
        <v>0</v>
      </c>
      <c r="D717" s="14"/>
      <c r="F717" s="9" cm="1">
        <f t="array" ref="F717">SUMPRODUCT((Tablo3[Şehirler]=E717)*(Tablo3[Ürün Kar Tutarı]))</f>
        <v>0</v>
      </c>
      <c r="H717" s="14"/>
      <c r="J717" s="9" cm="1">
        <f t="array" ref="J717">SUMPRODUCT((Tablo3[Urun Ad]=I717)*(Tablo3[Ürün Kar Tutarı]))</f>
        <v>0</v>
      </c>
      <c r="L717" s="37"/>
    </row>
    <row r="718" spans="1:12" x14ac:dyDescent="0.25">
      <c r="A718" s="13"/>
      <c r="B718" s="9" cm="1">
        <f t="array" ref="B718">SUMPRODUCT((Tablo3[Personel Ad]=A718)*(Tablo3[Ürün Kar Tutarı]))</f>
        <v>0</v>
      </c>
      <c r="D718" s="14"/>
      <c r="F718" s="9" cm="1">
        <f t="array" ref="F718">SUMPRODUCT((Tablo3[Şehirler]=E718)*(Tablo3[Ürün Kar Tutarı]))</f>
        <v>0</v>
      </c>
      <c r="H718" s="14"/>
      <c r="J718" s="9" cm="1">
        <f t="array" ref="J718">SUMPRODUCT((Tablo3[Urun Ad]=I718)*(Tablo3[Ürün Kar Tutarı]))</f>
        <v>0</v>
      </c>
      <c r="L718" s="37"/>
    </row>
    <row r="719" spans="1:12" x14ac:dyDescent="0.25">
      <c r="A719" s="13"/>
      <c r="B719" s="9" cm="1">
        <f t="array" ref="B719">SUMPRODUCT((Tablo3[Personel Ad]=A719)*(Tablo3[Ürün Kar Tutarı]))</f>
        <v>0</v>
      </c>
      <c r="D719" s="14"/>
      <c r="F719" s="9" cm="1">
        <f t="array" ref="F719">SUMPRODUCT((Tablo3[Şehirler]=E719)*(Tablo3[Ürün Kar Tutarı]))</f>
        <v>0</v>
      </c>
      <c r="H719" s="14"/>
      <c r="J719" s="9" cm="1">
        <f t="array" ref="J719">SUMPRODUCT((Tablo3[Urun Ad]=I719)*(Tablo3[Ürün Kar Tutarı]))</f>
        <v>0</v>
      </c>
      <c r="L719" s="37"/>
    </row>
    <row r="720" spans="1:12" x14ac:dyDescent="0.25">
      <c r="A720" s="13"/>
      <c r="B720" s="9" cm="1">
        <f t="array" ref="B720">SUMPRODUCT((Tablo3[Personel Ad]=A720)*(Tablo3[Ürün Kar Tutarı]))</f>
        <v>0</v>
      </c>
      <c r="D720" s="14"/>
      <c r="F720" s="9" cm="1">
        <f t="array" ref="F720">SUMPRODUCT((Tablo3[Şehirler]=E720)*(Tablo3[Ürün Kar Tutarı]))</f>
        <v>0</v>
      </c>
      <c r="H720" s="14"/>
      <c r="J720" s="9" cm="1">
        <f t="array" ref="J720">SUMPRODUCT((Tablo3[Urun Ad]=I720)*(Tablo3[Ürün Kar Tutarı]))</f>
        <v>0</v>
      </c>
      <c r="L720" s="37"/>
    </row>
    <row r="721" spans="1:12" x14ac:dyDescent="0.25">
      <c r="A721" s="13"/>
      <c r="B721" s="9" cm="1">
        <f t="array" ref="B721">SUMPRODUCT((Tablo3[Personel Ad]=A721)*(Tablo3[Ürün Kar Tutarı]))</f>
        <v>0</v>
      </c>
      <c r="D721" s="14"/>
      <c r="F721" s="9" cm="1">
        <f t="array" ref="F721">SUMPRODUCT((Tablo3[Şehirler]=E721)*(Tablo3[Ürün Kar Tutarı]))</f>
        <v>0</v>
      </c>
      <c r="H721" s="14"/>
      <c r="J721" s="9" cm="1">
        <f t="array" ref="J721">SUMPRODUCT((Tablo3[Urun Ad]=I721)*(Tablo3[Ürün Kar Tutarı]))</f>
        <v>0</v>
      </c>
      <c r="L721" s="37"/>
    </row>
    <row r="722" spans="1:12" x14ac:dyDescent="0.25">
      <c r="A722" s="13"/>
      <c r="B722" s="9" cm="1">
        <f t="array" ref="B722">SUMPRODUCT((Tablo3[Personel Ad]=A722)*(Tablo3[Ürün Kar Tutarı]))</f>
        <v>0</v>
      </c>
      <c r="D722" s="14"/>
      <c r="F722" s="9" cm="1">
        <f t="array" ref="F722">SUMPRODUCT((Tablo3[Şehirler]=E722)*(Tablo3[Ürün Kar Tutarı]))</f>
        <v>0</v>
      </c>
      <c r="H722" s="14"/>
      <c r="J722" s="9" cm="1">
        <f t="array" ref="J722">SUMPRODUCT((Tablo3[Urun Ad]=I722)*(Tablo3[Ürün Kar Tutarı]))</f>
        <v>0</v>
      </c>
      <c r="L722" s="37"/>
    </row>
    <row r="723" spans="1:12" x14ac:dyDescent="0.25">
      <c r="A723" s="13"/>
      <c r="B723" s="9" cm="1">
        <f t="array" ref="B723">SUMPRODUCT((Tablo3[Personel Ad]=A723)*(Tablo3[Ürün Kar Tutarı]))</f>
        <v>0</v>
      </c>
      <c r="D723" s="14"/>
      <c r="F723" s="9" cm="1">
        <f t="array" ref="F723">SUMPRODUCT((Tablo3[Şehirler]=E723)*(Tablo3[Ürün Kar Tutarı]))</f>
        <v>0</v>
      </c>
      <c r="H723" s="14"/>
      <c r="J723" s="9" cm="1">
        <f t="array" ref="J723">SUMPRODUCT((Tablo3[Urun Ad]=I723)*(Tablo3[Ürün Kar Tutarı]))</f>
        <v>0</v>
      </c>
      <c r="L723" s="37"/>
    </row>
    <row r="724" spans="1:12" x14ac:dyDescent="0.25">
      <c r="A724" s="13"/>
      <c r="B724" s="9" cm="1">
        <f t="array" ref="B724">SUMPRODUCT((Tablo3[Personel Ad]=A724)*(Tablo3[Ürün Kar Tutarı]))</f>
        <v>0</v>
      </c>
      <c r="D724" s="14"/>
      <c r="F724" s="9" cm="1">
        <f t="array" ref="F724">SUMPRODUCT((Tablo3[Şehirler]=E724)*(Tablo3[Ürün Kar Tutarı]))</f>
        <v>0</v>
      </c>
      <c r="H724" s="14"/>
      <c r="J724" s="9" cm="1">
        <f t="array" ref="J724">SUMPRODUCT((Tablo3[Urun Ad]=I724)*(Tablo3[Ürün Kar Tutarı]))</f>
        <v>0</v>
      </c>
      <c r="L724" s="37"/>
    </row>
    <row r="725" spans="1:12" x14ac:dyDescent="0.25">
      <c r="A725" s="13"/>
      <c r="B725" s="9" cm="1">
        <f t="array" ref="B725">SUMPRODUCT((Tablo3[Personel Ad]=A725)*(Tablo3[Ürün Kar Tutarı]))</f>
        <v>0</v>
      </c>
      <c r="D725" s="14"/>
      <c r="F725" s="9" cm="1">
        <f t="array" ref="F725">SUMPRODUCT((Tablo3[Şehirler]=E725)*(Tablo3[Ürün Kar Tutarı]))</f>
        <v>0</v>
      </c>
      <c r="H725" s="14"/>
      <c r="J725" s="9" cm="1">
        <f t="array" ref="J725">SUMPRODUCT((Tablo3[Urun Ad]=I725)*(Tablo3[Ürün Kar Tutarı]))</f>
        <v>0</v>
      </c>
      <c r="L725" s="37"/>
    </row>
    <row r="726" spans="1:12" x14ac:dyDescent="0.25">
      <c r="A726" s="13"/>
      <c r="B726" s="9" cm="1">
        <f t="array" ref="B726">SUMPRODUCT((Tablo3[Personel Ad]=A726)*(Tablo3[Ürün Kar Tutarı]))</f>
        <v>0</v>
      </c>
      <c r="D726" s="14"/>
      <c r="F726" s="9" cm="1">
        <f t="array" ref="F726">SUMPRODUCT((Tablo3[Şehirler]=E726)*(Tablo3[Ürün Kar Tutarı]))</f>
        <v>0</v>
      </c>
      <c r="H726" s="14"/>
      <c r="J726" s="9" cm="1">
        <f t="array" ref="J726">SUMPRODUCT((Tablo3[Urun Ad]=I726)*(Tablo3[Ürün Kar Tutarı]))</f>
        <v>0</v>
      </c>
      <c r="L726" s="37"/>
    </row>
    <row r="727" spans="1:12" x14ac:dyDescent="0.25">
      <c r="A727" s="13"/>
      <c r="B727" s="9" cm="1">
        <f t="array" ref="B727">SUMPRODUCT((Tablo3[Personel Ad]=A727)*(Tablo3[Ürün Kar Tutarı]))</f>
        <v>0</v>
      </c>
      <c r="D727" s="14"/>
      <c r="F727" s="9" cm="1">
        <f t="array" ref="F727">SUMPRODUCT((Tablo3[Şehirler]=E727)*(Tablo3[Ürün Kar Tutarı]))</f>
        <v>0</v>
      </c>
      <c r="H727" s="14"/>
      <c r="J727" s="9" cm="1">
        <f t="array" ref="J727">SUMPRODUCT((Tablo3[Urun Ad]=I727)*(Tablo3[Ürün Kar Tutarı]))</f>
        <v>0</v>
      </c>
      <c r="L727" s="37"/>
    </row>
    <row r="728" spans="1:12" x14ac:dyDescent="0.25">
      <c r="A728" s="13"/>
      <c r="B728" s="9" cm="1">
        <f t="array" ref="B728">SUMPRODUCT((Tablo3[Personel Ad]=A728)*(Tablo3[Ürün Kar Tutarı]))</f>
        <v>0</v>
      </c>
      <c r="D728" s="14"/>
      <c r="F728" s="9" cm="1">
        <f t="array" ref="F728">SUMPRODUCT((Tablo3[Şehirler]=E728)*(Tablo3[Ürün Kar Tutarı]))</f>
        <v>0</v>
      </c>
      <c r="H728" s="14"/>
      <c r="J728" s="9" cm="1">
        <f t="array" ref="J728">SUMPRODUCT((Tablo3[Urun Ad]=I728)*(Tablo3[Ürün Kar Tutarı]))</f>
        <v>0</v>
      </c>
      <c r="L728" s="37"/>
    </row>
    <row r="729" spans="1:12" x14ac:dyDescent="0.25">
      <c r="A729" s="13"/>
      <c r="B729" s="9" cm="1">
        <f t="array" ref="B729">SUMPRODUCT((Tablo3[Personel Ad]=A729)*(Tablo3[Ürün Kar Tutarı]))</f>
        <v>0</v>
      </c>
      <c r="D729" s="14"/>
      <c r="F729" s="9" cm="1">
        <f t="array" ref="F729">SUMPRODUCT((Tablo3[Şehirler]=E729)*(Tablo3[Ürün Kar Tutarı]))</f>
        <v>0</v>
      </c>
      <c r="H729" s="14"/>
      <c r="J729" s="9" cm="1">
        <f t="array" ref="J729">SUMPRODUCT((Tablo3[Urun Ad]=I729)*(Tablo3[Ürün Kar Tutarı]))</f>
        <v>0</v>
      </c>
      <c r="L729" s="37"/>
    </row>
    <row r="730" spans="1:12" x14ac:dyDescent="0.25">
      <c r="A730" s="13"/>
      <c r="B730" s="9" cm="1">
        <f t="array" ref="B730">SUMPRODUCT((Tablo3[Personel Ad]=A730)*(Tablo3[Ürün Kar Tutarı]))</f>
        <v>0</v>
      </c>
      <c r="D730" s="14"/>
      <c r="F730" s="9" cm="1">
        <f t="array" ref="F730">SUMPRODUCT((Tablo3[Şehirler]=E730)*(Tablo3[Ürün Kar Tutarı]))</f>
        <v>0</v>
      </c>
      <c r="H730" s="14"/>
      <c r="J730" s="9" cm="1">
        <f t="array" ref="J730">SUMPRODUCT((Tablo3[Urun Ad]=I730)*(Tablo3[Ürün Kar Tutarı]))</f>
        <v>0</v>
      </c>
      <c r="L730" s="37"/>
    </row>
    <row r="731" spans="1:12" x14ac:dyDescent="0.25">
      <c r="A731" s="13"/>
      <c r="B731" s="9" cm="1">
        <f t="array" ref="B731">SUMPRODUCT((Tablo3[Personel Ad]=A731)*(Tablo3[Ürün Kar Tutarı]))</f>
        <v>0</v>
      </c>
      <c r="D731" s="14"/>
      <c r="F731" s="9" cm="1">
        <f t="array" ref="F731">SUMPRODUCT((Tablo3[Şehirler]=E731)*(Tablo3[Ürün Kar Tutarı]))</f>
        <v>0</v>
      </c>
      <c r="H731" s="14"/>
      <c r="J731" s="9" cm="1">
        <f t="array" ref="J731">SUMPRODUCT((Tablo3[Urun Ad]=I731)*(Tablo3[Ürün Kar Tutarı]))</f>
        <v>0</v>
      </c>
      <c r="L731" s="37"/>
    </row>
    <row r="732" spans="1:12" x14ac:dyDescent="0.25">
      <c r="A732" s="13"/>
      <c r="B732" s="9" cm="1">
        <f t="array" ref="B732">SUMPRODUCT((Tablo3[Personel Ad]=A732)*(Tablo3[Ürün Kar Tutarı]))</f>
        <v>0</v>
      </c>
      <c r="D732" s="14"/>
      <c r="F732" s="9" cm="1">
        <f t="array" ref="F732">SUMPRODUCT((Tablo3[Şehirler]=E732)*(Tablo3[Ürün Kar Tutarı]))</f>
        <v>0</v>
      </c>
      <c r="H732" s="14"/>
      <c r="J732" s="9" cm="1">
        <f t="array" ref="J732">SUMPRODUCT((Tablo3[Urun Ad]=I732)*(Tablo3[Ürün Kar Tutarı]))</f>
        <v>0</v>
      </c>
      <c r="L732" s="37"/>
    </row>
    <row r="733" spans="1:12" x14ac:dyDescent="0.25">
      <c r="A733" s="13"/>
      <c r="B733" s="9" cm="1">
        <f t="array" ref="B733">SUMPRODUCT((Tablo3[Personel Ad]=A733)*(Tablo3[Ürün Kar Tutarı]))</f>
        <v>0</v>
      </c>
      <c r="D733" s="14"/>
      <c r="F733" s="9" cm="1">
        <f t="array" ref="F733">SUMPRODUCT((Tablo3[Şehirler]=E733)*(Tablo3[Ürün Kar Tutarı]))</f>
        <v>0</v>
      </c>
      <c r="H733" s="14"/>
      <c r="J733" s="9" cm="1">
        <f t="array" ref="J733">SUMPRODUCT((Tablo3[Urun Ad]=I733)*(Tablo3[Ürün Kar Tutarı]))</f>
        <v>0</v>
      </c>
      <c r="L733" s="37"/>
    </row>
    <row r="734" spans="1:12" x14ac:dyDescent="0.25">
      <c r="A734" s="13"/>
      <c r="B734" s="9" cm="1">
        <f t="array" ref="B734">SUMPRODUCT((Tablo3[Personel Ad]=A734)*(Tablo3[Ürün Kar Tutarı]))</f>
        <v>0</v>
      </c>
      <c r="D734" s="14"/>
      <c r="F734" s="9" cm="1">
        <f t="array" ref="F734">SUMPRODUCT((Tablo3[Şehirler]=E734)*(Tablo3[Ürün Kar Tutarı]))</f>
        <v>0</v>
      </c>
      <c r="H734" s="14"/>
      <c r="J734" s="9" cm="1">
        <f t="array" ref="J734">SUMPRODUCT((Tablo3[Urun Ad]=I734)*(Tablo3[Ürün Kar Tutarı]))</f>
        <v>0</v>
      </c>
      <c r="L734" s="37"/>
    </row>
    <row r="735" spans="1:12" x14ac:dyDescent="0.25">
      <c r="A735" s="13"/>
      <c r="B735" s="9" cm="1">
        <f t="array" ref="B735">SUMPRODUCT((Tablo3[Personel Ad]=A735)*(Tablo3[Ürün Kar Tutarı]))</f>
        <v>0</v>
      </c>
      <c r="D735" s="14"/>
      <c r="F735" s="9" cm="1">
        <f t="array" ref="F735">SUMPRODUCT((Tablo3[Şehirler]=E735)*(Tablo3[Ürün Kar Tutarı]))</f>
        <v>0</v>
      </c>
      <c r="H735" s="14"/>
      <c r="J735" s="9" cm="1">
        <f t="array" ref="J735">SUMPRODUCT((Tablo3[Urun Ad]=I735)*(Tablo3[Ürün Kar Tutarı]))</f>
        <v>0</v>
      </c>
      <c r="L735" s="37"/>
    </row>
    <row r="736" spans="1:12" x14ac:dyDescent="0.25">
      <c r="A736" s="13"/>
      <c r="B736" s="9" cm="1">
        <f t="array" ref="B736">SUMPRODUCT((Tablo3[Personel Ad]=A736)*(Tablo3[Ürün Kar Tutarı]))</f>
        <v>0</v>
      </c>
      <c r="D736" s="14"/>
      <c r="F736" s="9" cm="1">
        <f t="array" ref="F736">SUMPRODUCT((Tablo3[Şehirler]=E736)*(Tablo3[Ürün Kar Tutarı]))</f>
        <v>0</v>
      </c>
      <c r="H736" s="14"/>
      <c r="J736" s="9" cm="1">
        <f t="array" ref="J736">SUMPRODUCT((Tablo3[Urun Ad]=I736)*(Tablo3[Ürün Kar Tutarı]))</f>
        <v>0</v>
      </c>
      <c r="L736" s="37"/>
    </row>
    <row r="737" spans="1:12" x14ac:dyDescent="0.25">
      <c r="A737" s="13"/>
      <c r="B737" s="9" cm="1">
        <f t="array" ref="B737">SUMPRODUCT((Tablo3[Personel Ad]=A737)*(Tablo3[Ürün Kar Tutarı]))</f>
        <v>0</v>
      </c>
      <c r="D737" s="14"/>
      <c r="F737" s="9" cm="1">
        <f t="array" ref="F737">SUMPRODUCT((Tablo3[Şehirler]=E737)*(Tablo3[Ürün Kar Tutarı]))</f>
        <v>0</v>
      </c>
      <c r="H737" s="14"/>
      <c r="J737" s="9" cm="1">
        <f t="array" ref="J737">SUMPRODUCT((Tablo3[Urun Ad]=I737)*(Tablo3[Ürün Kar Tutarı]))</f>
        <v>0</v>
      </c>
      <c r="L737" s="37"/>
    </row>
    <row r="738" spans="1:12" x14ac:dyDescent="0.25">
      <c r="A738" s="13"/>
      <c r="B738" s="9" cm="1">
        <f t="array" ref="B738">SUMPRODUCT((Tablo3[Personel Ad]=A738)*(Tablo3[Ürün Kar Tutarı]))</f>
        <v>0</v>
      </c>
      <c r="D738" s="14"/>
      <c r="F738" s="9" cm="1">
        <f t="array" ref="F738">SUMPRODUCT((Tablo3[Şehirler]=E738)*(Tablo3[Ürün Kar Tutarı]))</f>
        <v>0</v>
      </c>
      <c r="H738" s="14"/>
      <c r="J738" s="9" cm="1">
        <f t="array" ref="J738">SUMPRODUCT((Tablo3[Urun Ad]=I738)*(Tablo3[Ürün Kar Tutarı]))</f>
        <v>0</v>
      </c>
      <c r="L738" s="37"/>
    </row>
    <row r="739" spans="1:12" x14ac:dyDescent="0.25">
      <c r="A739" s="13"/>
      <c r="B739" s="9" cm="1">
        <f t="array" ref="B739">SUMPRODUCT((Tablo3[Personel Ad]=A739)*(Tablo3[Ürün Kar Tutarı]))</f>
        <v>0</v>
      </c>
      <c r="D739" s="14"/>
      <c r="F739" s="9" cm="1">
        <f t="array" ref="F739">SUMPRODUCT((Tablo3[Şehirler]=E739)*(Tablo3[Ürün Kar Tutarı]))</f>
        <v>0</v>
      </c>
      <c r="H739" s="14"/>
      <c r="J739" s="9" cm="1">
        <f t="array" ref="J739">SUMPRODUCT((Tablo3[Urun Ad]=I739)*(Tablo3[Ürün Kar Tutarı]))</f>
        <v>0</v>
      </c>
      <c r="L739" s="37"/>
    </row>
    <row r="740" spans="1:12" x14ac:dyDescent="0.25">
      <c r="A740" s="13"/>
      <c r="B740" s="9" cm="1">
        <f t="array" ref="B740">SUMPRODUCT((Tablo3[Personel Ad]=A740)*(Tablo3[Ürün Kar Tutarı]))</f>
        <v>0</v>
      </c>
      <c r="D740" s="14"/>
      <c r="F740" s="9" cm="1">
        <f t="array" ref="F740">SUMPRODUCT((Tablo3[Şehirler]=E740)*(Tablo3[Ürün Kar Tutarı]))</f>
        <v>0</v>
      </c>
      <c r="H740" s="14"/>
      <c r="J740" s="9" cm="1">
        <f t="array" ref="J740">SUMPRODUCT((Tablo3[Urun Ad]=I740)*(Tablo3[Ürün Kar Tutarı]))</f>
        <v>0</v>
      </c>
      <c r="L740" s="37"/>
    </row>
    <row r="741" spans="1:12" x14ac:dyDescent="0.25">
      <c r="A741" s="13"/>
      <c r="B741" s="9" cm="1">
        <f t="array" ref="B741">SUMPRODUCT((Tablo3[Personel Ad]=A741)*(Tablo3[Ürün Kar Tutarı]))</f>
        <v>0</v>
      </c>
      <c r="D741" s="14"/>
      <c r="F741" s="9" cm="1">
        <f t="array" ref="F741">SUMPRODUCT((Tablo3[Şehirler]=E741)*(Tablo3[Ürün Kar Tutarı]))</f>
        <v>0</v>
      </c>
      <c r="H741" s="14"/>
      <c r="J741" s="9" cm="1">
        <f t="array" ref="J741">SUMPRODUCT((Tablo3[Urun Ad]=I741)*(Tablo3[Ürün Kar Tutarı]))</f>
        <v>0</v>
      </c>
      <c r="L741" s="37"/>
    </row>
    <row r="742" spans="1:12" x14ac:dyDescent="0.25">
      <c r="A742" s="13"/>
      <c r="B742" s="9" cm="1">
        <f t="array" ref="B742">SUMPRODUCT((Tablo3[Personel Ad]=A742)*(Tablo3[Ürün Kar Tutarı]))</f>
        <v>0</v>
      </c>
      <c r="D742" s="14"/>
      <c r="F742" s="9" cm="1">
        <f t="array" ref="F742">SUMPRODUCT((Tablo3[Şehirler]=E742)*(Tablo3[Ürün Kar Tutarı]))</f>
        <v>0</v>
      </c>
      <c r="H742" s="14"/>
      <c r="J742" s="9" cm="1">
        <f t="array" ref="J742">SUMPRODUCT((Tablo3[Urun Ad]=I742)*(Tablo3[Ürün Kar Tutarı]))</f>
        <v>0</v>
      </c>
      <c r="L742" s="37"/>
    </row>
    <row r="743" spans="1:12" x14ac:dyDescent="0.25">
      <c r="A743" s="13"/>
      <c r="B743" s="9" cm="1">
        <f t="array" ref="B743">SUMPRODUCT((Tablo3[Personel Ad]=A743)*(Tablo3[Ürün Kar Tutarı]))</f>
        <v>0</v>
      </c>
      <c r="D743" s="14"/>
      <c r="F743" s="9" cm="1">
        <f t="array" ref="F743">SUMPRODUCT((Tablo3[Şehirler]=E743)*(Tablo3[Ürün Kar Tutarı]))</f>
        <v>0</v>
      </c>
      <c r="H743" s="14"/>
      <c r="J743" s="9" cm="1">
        <f t="array" ref="J743">SUMPRODUCT((Tablo3[Urun Ad]=I743)*(Tablo3[Ürün Kar Tutarı]))</f>
        <v>0</v>
      </c>
      <c r="L743" s="37"/>
    </row>
    <row r="744" spans="1:12" x14ac:dyDescent="0.25">
      <c r="A744" s="13"/>
      <c r="B744" s="9" cm="1">
        <f t="array" ref="B744">SUMPRODUCT((Tablo3[Personel Ad]=A744)*(Tablo3[Ürün Kar Tutarı]))</f>
        <v>0</v>
      </c>
      <c r="D744" s="14"/>
      <c r="F744" s="9" cm="1">
        <f t="array" ref="F744">SUMPRODUCT((Tablo3[Şehirler]=E744)*(Tablo3[Ürün Kar Tutarı]))</f>
        <v>0</v>
      </c>
      <c r="H744" s="14"/>
      <c r="J744" s="9" cm="1">
        <f t="array" ref="J744">SUMPRODUCT((Tablo3[Urun Ad]=I744)*(Tablo3[Ürün Kar Tutarı]))</f>
        <v>0</v>
      </c>
      <c r="L744" s="37"/>
    </row>
    <row r="745" spans="1:12" x14ac:dyDescent="0.25">
      <c r="A745" s="13"/>
      <c r="B745" s="9" cm="1">
        <f t="array" ref="B745">SUMPRODUCT((Tablo3[Personel Ad]=A745)*(Tablo3[Ürün Kar Tutarı]))</f>
        <v>0</v>
      </c>
      <c r="D745" s="14"/>
      <c r="F745" s="9" cm="1">
        <f t="array" ref="F745">SUMPRODUCT((Tablo3[Şehirler]=E745)*(Tablo3[Ürün Kar Tutarı]))</f>
        <v>0</v>
      </c>
      <c r="H745" s="14"/>
      <c r="J745" s="9" cm="1">
        <f t="array" ref="J745">SUMPRODUCT((Tablo3[Urun Ad]=I745)*(Tablo3[Ürün Kar Tutarı]))</f>
        <v>0</v>
      </c>
      <c r="L745" s="37"/>
    </row>
    <row r="746" spans="1:12" x14ac:dyDescent="0.25">
      <c r="A746" s="13"/>
      <c r="B746" s="9" cm="1">
        <f t="array" ref="B746">SUMPRODUCT((Tablo3[Personel Ad]=A746)*(Tablo3[Ürün Kar Tutarı]))</f>
        <v>0</v>
      </c>
      <c r="D746" s="14"/>
      <c r="F746" s="9" cm="1">
        <f t="array" ref="F746">SUMPRODUCT((Tablo3[Şehirler]=E746)*(Tablo3[Ürün Kar Tutarı]))</f>
        <v>0</v>
      </c>
      <c r="H746" s="14"/>
      <c r="J746" s="9" cm="1">
        <f t="array" ref="J746">SUMPRODUCT((Tablo3[Urun Ad]=I746)*(Tablo3[Ürün Kar Tutarı]))</f>
        <v>0</v>
      </c>
      <c r="L746" s="37"/>
    </row>
    <row r="747" spans="1:12" x14ac:dyDescent="0.25">
      <c r="A747" s="13"/>
      <c r="B747" s="9" cm="1">
        <f t="array" ref="B747">SUMPRODUCT((Tablo3[Personel Ad]=A747)*(Tablo3[Ürün Kar Tutarı]))</f>
        <v>0</v>
      </c>
      <c r="D747" s="14"/>
      <c r="F747" s="9" cm="1">
        <f t="array" ref="F747">SUMPRODUCT((Tablo3[Şehirler]=E747)*(Tablo3[Ürün Kar Tutarı]))</f>
        <v>0</v>
      </c>
      <c r="H747" s="14"/>
      <c r="J747" s="9" cm="1">
        <f t="array" ref="J747">SUMPRODUCT((Tablo3[Urun Ad]=I747)*(Tablo3[Ürün Kar Tutarı]))</f>
        <v>0</v>
      </c>
      <c r="L747" s="37"/>
    </row>
    <row r="748" spans="1:12" x14ac:dyDescent="0.25">
      <c r="A748" s="13"/>
      <c r="B748" s="9" cm="1">
        <f t="array" ref="B748">SUMPRODUCT((Tablo3[Personel Ad]=A748)*(Tablo3[Ürün Kar Tutarı]))</f>
        <v>0</v>
      </c>
      <c r="D748" s="14"/>
      <c r="F748" s="9" cm="1">
        <f t="array" ref="F748">SUMPRODUCT((Tablo3[Şehirler]=E748)*(Tablo3[Ürün Kar Tutarı]))</f>
        <v>0</v>
      </c>
      <c r="H748" s="14"/>
      <c r="J748" s="9" cm="1">
        <f t="array" ref="J748">SUMPRODUCT((Tablo3[Urun Ad]=I748)*(Tablo3[Ürün Kar Tutarı]))</f>
        <v>0</v>
      </c>
      <c r="L748" s="37"/>
    </row>
    <row r="749" spans="1:12" x14ac:dyDescent="0.25">
      <c r="A749" s="13"/>
      <c r="B749" s="9" cm="1">
        <f t="array" ref="B749">SUMPRODUCT((Tablo3[Personel Ad]=A749)*(Tablo3[Ürün Kar Tutarı]))</f>
        <v>0</v>
      </c>
      <c r="D749" s="14"/>
      <c r="F749" s="9" cm="1">
        <f t="array" ref="F749">SUMPRODUCT((Tablo3[Şehirler]=E749)*(Tablo3[Ürün Kar Tutarı]))</f>
        <v>0</v>
      </c>
      <c r="H749" s="14"/>
      <c r="J749" s="9" cm="1">
        <f t="array" ref="J749">SUMPRODUCT((Tablo3[Urun Ad]=I749)*(Tablo3[Ürün Kar Tutarı]))</f>
        <v>0</v>
      </c>
      <c r="L749" s="37"/>
    </row>
    <row r="750" spans="1:12" x14ac:dyDescent="0.25">
      <c r="A750" s="13"/>
      <c r="B750" s="9" cm="1">
        <f t="array" ref="B750">SUMPRODUCT((Tablo3[Personel Ad]=A750)*(Tablo3[Ürün Kar Tutarı]))</f>
        <v>0</v>
      </c>
      <c r="D750" s="14"/>
      <c r="F750" s="9" cm="1">
        <f t="array" ref="F750">SUMPRODUCT((Tablo3[Şehirler]=E750)*(Tablo3[Ürün Kar Tutarı]))</f>
        <v>0</v>
      </c>
      <c r="H750" s="14"/>
      <c r="J750" s="9" cm="1">
        <f t="array" ref="J750">SUMPRODUCT((Tablo3[Urun Ad]=I750)*(Tablo3[Ürün Kar Tutarı]))</f>
        <v>0</v>
      </c>
      <c r="L750" s="37"/>
    </row>
    <row r="751" spans="1:12" x14ac:dyDescent="0.25">
      <c r="A751" s="13"/>
      <c r="B751" s="9" cm="1">
        <f t="array" ref="B751">SUMPRODUCT((Tablo3[Personel Ad]=A751)*(Tablo3[Ürün Kar Tutarı]))</f>
        <v>0</v>
      </c>
      <c r="D751" s="14"/>
      <c r="F751" s="9" cm="1">
        <f t="array" ref="F751">SUMPRODUCT((Tablo3[Şehirler]=E751)*(Tablo3[Ürün Kar Tutarı]))</f>
        <v>0</v>
      </c>
      <c r="H751" s="14"/>
      <c r="J751" s="9" cm="1">
        <f t="array" ref="J751">SUMPRODUCT((Tablo3[Urun Ad]=I751)*(Tablo3[Ürün Kar Tutarı]))</f>
        <v>0</v>
      </c>
      <c r="L751" s="37"/>
    </row>
    <row r="752" spans="1:12" x14ac:dyDescent="0.25">
      <c r="A752" s="13"/>
      <c r="B752" s="9" cm="1">
        <f t="array" ref="B752">SUMPRODUCT((Tablo3[Personel Ad]=A752)*(Tablo3[Ürün Kar Tutarı]))</f>
        <v>0</v>
      </c>
      <c r="D752" s="14"/>
      <c r="F752" s="9" cm="1">
        <f t="array" ref="F752">SUMPRODUCT((Tablo3[Şehirler]=E752)*(Tablo3[Ürün Kar Tutarı]))</f>
        <v>0</v>
      </c>
      <c r="H752" s="14"/>
      <c r="J752" s="9" cm="1">
        <f t="array" ref="J752">SUMPRODUCT((Tablo3[Urun Ad]=I752)*(Tablo3[Ürün Kar Tutarı]))</f>
        <v>0</v>
      </c>
      <c r="L752" s="37"/>
    </row>
    <row r="753" spans="1:12" x14ac:dyDescent="0.25">
      <c r="A753" s="13"/>
      <c r="B753" s="9" cm="1">
        <f t="array" ref="B753">SUMPRODUCT((Tablo3[Personel Ad]=A753)*(Tablo3[Ürün Kar Tutarı]))</f>
        <v>0</v>
      </c>
      <c r="D753" s="14"/>
      <c r="F753" s="9" cm="1">
        <f t="array" ref="F753">SUMPRODUCT((Tablo3[Şehirler]=E753)*(Tablo3[Ürün Kar Tutarı]))</f>
        <v>0</v>
      </c>
      <c r="H753" s="14"/>
      <c r="J753" s="9" cm="1">
        <f t="array" ref="J753">SUMPRODUCT((Tablo3[Urun Ad]=I753)*(Tablo3[Ürün Kar Tutarı]))</f>
        <v>0</v>
      </c>
      <c r="L753" s="37"/>
    </row>
    <row r="754" spans="1:12" x14ac:dyDescent="0.25">
      <c r="A754" s="13"/>
      <c r="B754" s="9" cm="1">
        <f t="array" ref="B754">SUMPRODUCT((Tablo3[Personel Ad]=A754)*(Tablo3[Ürün Kar Tutarı]))</f>
        <v>0</v>
      </c>
      <c r="D754" s="14"/>
      <c r="F754" s="9" cm="1">
        <f t="array" ref="F754">SUMPRODUCT((Tablo3[Şehirler]=E754)*(Tablo3[Ürün Kar Tutarı]))</f>
        <v>0</v>
      </c>
      <c r="H754" s="14"/>
      <c r="J754" s="9" cm="1">
        <f t="array" ref="J754">SUMPRODUCT((Tablo3[Urun Ad]=I754)*(Tablo3[Ürün Kar Tutarı]))</f>
        <v>0</v>
      </c>
      <c r="L754" s="37"/>
    </row>
    <row r="755" spans="1:12" x14ac:dyDescent="0.25">
      <c r="A755" s="13"/>
      <c r="B755" s="9" cm="1">
        <f t="array" ref="B755">SUMPRODUCT((Tablo3[Personel Ad]=A755)*(Tablo3[Ürün Kar Tutarı]))</f>
        <v>0</v>
      </c>
      <c r="D755" s="14"/>
      <c r="F755" s="9" cm="1">
        <f t="array" ref="F755">SUMPRODUCT((Tablo3[Şehirler]=E755)*(Tablo3[Ürün Kar Tutarı]))</f>
        <v>0</v>
      </c>
      <c r="H755" s="14"/>
      <c r="J755" s="9" cm="1">
        <f t="array" ref="J755">SUMPRODUCT((Tablo3[Urun Ad]=I755)*(Tablo3[Ürün Kar Tutarı]))</f>
        <v>0</v>
      </c>
      <c r="L755" s="37"/>
    </row>
    <row r="756" spans="1:12" x14ac:dyDescent="0.25">
      <c r="A756" s="13"/>
      <c r="B756" s="9" cm="1">
        <f t="array" ref="B756">SUMPRODUCT((Tablo3[Personel Ad]=A756)*(Tablo3[Ürün Kar Tutarı]))</f>
        <v>0</v>
      </c>
      <c r="D756" s="14"/>
      <c r="F756" s="9" cm="1">
        <f t="array" ref="F756">SUMPRODUCT((Tablo3[Şehirler]=E756)*(Tablo3[Ürün Kar Tutarı]))</f>
        <v>0</v>
      </c>
      <c r="H756" s="14"/>
      <c r="J756" s="9" cm="1">
        <f t="array" ref="J756">SUMPRODUCT((Tablo3[Urun Ad]=I756)*(Tablo3[Ürün Kar Tutarı]))</f>
        <v>0</v>
      </c>
      <c r="L756" s="37"/>
    </row>
    <row r="757" spans="1:12" x14ac:dyDescent="0.25">
      <c r="A757" s="13"/>
      <c r="B757" s="9" cm="1">
        <f t="array" ref="B757">SUMPRODUCT((Tablo3[Personel Ad]=A757)*(Tablo3[Ürün Kar Tutarı]))</f>
        <v>0</v>
      </c>
      <c r="D757" s="14"/>
      <c r="F757" s="9" cm="1">
        <f t="array" ref="F757">SUMPRODUCT((Tablo3[Şehirler]=E757)*(Tablo3[Ürün Kar Tutarı]))</f>
        <v>0</v>
      </c>
      <c r="H757" s="14"/>
      <c r="J757" s="9" cm="1">
        <f t="array" ref="J757">SUMPRODUCT((Tablo3[Urun Ad]=I757)*(Tablo3[Ürün Kar Tutarı]))</f>
        <v>0</v>
      </c>
      <c r="L757" s="37"/>
    </row>
    <row r="758" spans="1:12" x14ac:dyDescent="0.25">
      <c r="A758" s="13"/>
      <c r="B758" s="9" cm="1">
        <f t="array" ref="B758">SUMPRODUCT((Tablo3[Personel Ad]=A758)*(Tablo3[Ürün Kar Tutarı]))</f>
        <v>0</v>
      </c>
      <c r="D758" s="14"/>
      <c r="F758" s="9" cm="1">
        <f t="array" ref="F758">SUMPRODUCT((Tablo3[Şehirler]=E758)*(Tablo3[Ürün Kar Tutarı]))</f>
        <v>0</v>
      </c>
      <c r="H758" s="14"/>
      <c r="J758" s="9" cm="1">
        <f t="array" ref="J758">SUMPRODUCT((Tablo3[Urun Ad]=I758)*(Tablo3[Ürün Kar Tutarı]))</f>
        <v>0</v>
      </c>
      <c r="L758" s="37"/>
    </row>
    <row r="759" spans="1:12" x14ac:dyDescent="0.25">
      <c r="A759" s="13"/>
      <c r="B759" s="9" cm="1">
        <f t="array" ref="B759">SUMPRODUCT((Tablo3[Personel Ad]=A759)*(Tablo3[Ürün Kar Tutarı]))</f>
        <v>0</v>
      </c>
      <c r="D759" s="14"/>
      <c r="F759" s="9" cm="1">
        <f t="array" ref="F759">SUMPRODUCT((Tablo3[Şehirler]=E759)*(Tablo3[Ürün Kar Tutarı]))</f>
        <v>0</v>
      </c>
      <c r="H759" s="14"/>
      <c r="J759" s="9" cm="1">
        <f t="array" ref="J759">SUMPRODUCT((Tablo3[Urun Ad]=I759)*(Tablo3[Ürün Kar Tutarı]))</f>
        <v>0</v>
      </c>
      <c r="L759" s="37"/>
    </row>
    <row r="760" spans="1:12" x14ac:dyDescent="0.25">
      <c r="A760" s="13"/>
      <c r="B760" s="9" cm="1">
        <f t="array" ref="B760">SUMPRODUCT((Tablo3[Personel Ad]=A760)*(Tablo3[Ürün Kar Tutarı]))</f>
        <v>0</v>
      </c>
      <c r="D760" s="14"/>
      <c r="F760" s="9" cm="1">
        <f t="array" ref="F760">SUMPRODUCT((Tablo3[Şehirler]=E760)*(Tablo3[Ürün Kar Tutarı]))</f>
        <v>0</v>
      </c>
      <c r="H760" s="14"/>
      <c r="J760" s="9" cm="1">
        <f t="array" ref="J760">SUMPRODUCT((Tablo3[Urun Ad]=I760)*(Tablo3[Ürün Kar Tutarı]))</f>
        <v>0</v>
      </c>
      <c r="L760" s="37"/>
    </row>
    <row r="761" spans="1:12" x14ac:dyDescent="0.25">
      <c r="A761" s="13"/>
      <c r="B761" s="9" cm="1">
        <f t="array" ref="B761">SUMPRODUCT((Tablo3[Personel Ad]=A761)*(Tablo3[Ürün Kar Tutarı]))</f>
        <v>0</v>
      </c>
      <c r="D761" s="14"/>
      <c r="F761" s="9" cm="1">
        <f t="array" ref="F761">SUMPRODUCT((Tablo3[Şehirler]=E761)*(Tablo3[Ürün Kar Tutarı]))</f>
        <v>0</v>
      </c>
      <c r="H761" s="14"/>
      <c r="J761" s="9" cm="1">
        <f t="array" ref="J761">SUMPRODUCT((Tablo3[Urun Ad]=I761)*(Tablo3[Ürün Kar Tutarı]))</f>
        <v>0</v>
      </c>
      <c r="L761" s="37"/>
    </row>
    <row r="762" spans="1:12" x14ac:dyDescent="0.25">
      <c r="A762" s="13"/>
      <c r="B762" s="9" cm="1">
        <f t="array" ref="B762">SUMPRODUCT((Tablo3[Personel Ad]=A762)*(Tablo3[Ürün Kar Tutarı]))</f>
        <v>0</v>
      </c>
      <c r="D762" s="14"/>
      <c r="F762" s="9" cm="1">
        <f t="array" ref="F762">SUMPRODUCT((Tablo3[Şehirler]=E762)*(Tablo3[Ürün Kar Tutarı]))</f>
        <v>0</v>
      </c>
      <c r="H762" s="14"/>
      <c r="J762" s="9" cm="1">
        <f t="array" ref="J762">SUMPRODUCT((Tablo3[Urun Ad]=I762)*(Tablo3[Ürün Kar Tutarı]))</f>
        <v>0</v>
      </c>
      <c r="L762" s="37"/>
    </row>
    <row r="763" spans="1:12" x14ac:dyDescent="0.25">
      <c r="A763" s="13"/>
      <c r="B763" s="9" cm="1">
        <f t="array" ref="B763">SUMPRODUCT((Tablo3[Personel Ad]=A763)*(Tablo3[Ürün Kar Tutarı]))</f>
        <v>0</v>
      </c>
      <c r="D763" s="14"/>
      <c r="F763" s="9" cm="1">
        <f t="array" ref="F763">SUMPRODUCT((Tablo3[Şehirler]=E763)*(Tablo3[Ürün Kar Tutarı]))</f>
        <v>0</v>
      </c>
      <c r="H763" s="14"/>
      <c r="J763" s="9" cm="1">
        <f t="array" ref="J763">SUMPRODUCT((Tablo3[Urun Ad]=I763)*(Tablo3[Ürün Kar Tutarı]))</f>
        <v>0</v>
      </c>
      <c r="L763" s="37"/>
    </row>
    <row r="764" spans="1:12" x14ac:dyDescent="0.25">
      <c r="A764" s="13"/>
      <c r="B764" s="9" cm="1">
        <f t="array" ref="B764">SUMPRODUCT((Tablo3[Personel Ad]=A764)*(Tablo3[Ürün Kar Tutarı]))</f>
        <v>0</v>
      </c>
      <c r="D764" s="14"/>
      <c r="F764" s="9" cm="1">
        <f t="array" ref="F764">SUMPRODUCT((Tablo3[Şehirler]=E764)*(Tablo3[Ürün Kar Tutarı]))</f>
        <v>0</v>
      </c>
      <c r="H764" s="14"/>
      <c r="J764" s="9" cm="1">
        <f t="array" ref="J764">SUMPRODUCT((Tablo3[Urun Ad]=I764)*(Tablo3[Ürün Kar Tutarı]))</f>
        <v>0</v>
      </c>
      <c r="L764" s="37"/>
    </row>
    <row r="765" spans="1:12" x14ac:dyDescent="0.25">
      <c r="A765" s="13"/>
      <c r="B765" s="9" cm="1">
        <f t="array" ref="B765">SUMPRODUCT((Tablo3[Personel Ad]=A765)*(Tablo3[Ürün Kar Tutarı]))</f>
        <v>0</v>
      </c>
      <c r="D765" s="14"/>
      <c r="F765" s="9" cm="1">
        <f t="array" ref="F765">SUMPRODUCT((Tablo3[Şehirler]=E765)*(Tablo3[Ürün Kar Tutarı]))</f>
        <v>0</v>
      </c>
      <c r="H765" s="14"/>
      <c r="J765" s="9" cm="1">
        <f t="array" ref="J765">SUMPRODUCT((Tablo3[Urun Ad]=I765)*(Tablo3[Ürün Kar Tutarı]))</f>
        <v>0</v>
      </c>
      <c r="L765" s="37"/>
    </row>
    <row r="766" spans="1:12" x14ac:dyDescent="0.25">
      <c r="A766" s="13"/>
      <c r="B766" s="9" cm="1">
        <f t="array" ref="B766">SUMPRODUCT((Tablo3[Personel Ad]=A766)*(Tablo3[Ürün Kar Tutarı]))</f>
        <v>0</v>
      </c>
      <c r="D766" s="14"/>
      <c r="F766" s="9" cm="1">
        <f t="array" ref="F766">SUMPRODUCT((Tablo3[Şehirler]=E766)*(Tablo3[Ürün Kar Tutarı]))</f>
        <v>0</v>
      </c>
      <c r="H766" s="14"/>
      <c r="J766" s="9" cm="1">
        <f t="array" ref="J766">SUMPRODUCT((Tablo3[Urun Ad]=I766)*(Tablo3[Ürün Kar Tutarı]))</f>
        <v>0</v>
      </c>
      <c r="L766" s="37"/>
    </row>
    <row r="767" spans="1:12" x14ac:dyDescent="0.25">
      <c r="A767" s="13"/>
      <c r="B767" s="9" cm="1">
        <f t="array" ref="B767">SUMPRODUCT((Tablo3[Personel Ad]=A767)*(Tablo3[Ürün Kar Tutarı]))</f>
        <v>0</v>
      </c>
      <c r="D767" s="14"/>
      <c r="F767" s="9" cm="1">
        <f t="array" ref="F767">SUMPRODUCT((Tablo3[Şehirler]=E767)*(Tablo3[Ürün Kar Tutarı]))</f>
        <v>0</v>
      </c>
      <c r="H767" s="14"/>
      <c r="J767" s="9" cm="1">
        <f t="array" ref="J767">SUMPRODUCT((Tablo3[Urun Ad]=I767)*(Tablo3[Ürün Kar Tutarı]))</f>
        <v>0</v>
      </c>
      <c r="L767" s="37"/>
    </row>
    <row r="768" spans="1:12" x14ac:dyDescent="0.25">
      <c r="A768" s="13"/>
      <c r="B768" s="9" cm="1">
        <f t="array" ref="B768">SUMPRODUCT((Tablo3[Personel Ad]=A768)*(Tablo3[Ürün Kar Tutarı]))</f>
        <v>0</v>
      </c>
      <c r="D768" s="14"/>
      <c r="F768" s="9" cm="1">
        <f t="array" ref="F768">SUMPRODUCT((Tablo3[Şehirler]=E768)*(Tablo3[Ürün Kar Tutarı]))</f>
        <v>0</v>
      </c>
      <c r="H768" s="14"/>
      <c r="J768" s="9" cm="1">
        <f t="array" ref="J768">SUMPRODUCT((Tablo3[Urun Ad]=I768)*(Tablo3[Ürün Kar Tutarı]))</f>
        <v>0</v>
      </c>
      <c r="L768" s="37"/>
    </row>
    <row r="769" spans="1:12" x14ac:dyDescent="0.25">
      <c r="A769" s="13"/>
      <c r="B769" s="9" cm="1">
        <f t="array" ref="B769">SUMPRODUCT((Tablo3[Personel Ad]=A769)*(Tablo3[Ürün Kar Tutarı]))</f>
        <v>0</v>
      </c>
      <c r="D769" s="14"/>
      <c r="F769" s="9" cm="1">
        <f t="array" ref="F769">SUMPRODUCT((Tablo3[Şehirler]=E769)*(Tablo3[Ürün Kar Tutarı]))</f>
        <v>0</v>
      </c>
      <c r="H769" s="14"/>
      <c r="J769" s="9" cm="1">
        <f t="array" ref="J769">SUMPRODUCT((Tablo3[Urun Ad]=I769)*(Tablo3[Ürün Kar Tutarı]))</f>
        <v>0</v>
      </c>
      <c r="L769" s="37"/>
    </row>
    <row r="770" spans="1:12" x14ac:dyDescent="0.25">
      <c r="A770" s="13"/>
      <c r="B770" s="9" cm="1">
        <f t="array" ref="B770">SUMPRODUCT((Tablo3[Personel Ad]=A770)*(Tablo3[Ürün Kar Tutarı]))</f>
        <v>0</v>
      </c>
      <c r="D770" s="14"/>
      <c r="F770" s="9" cm="1">
        <f t="array" ref="F770">SUMPRODUCT((Tablo3[Şehirler]=E770)*(Tablo3[Ürün Kar Tutarı]))</f>
        <v>0</v>
      </c>
      <c r="H770" s="14"/>
      <c r="J770" s="9" cm="1">
        <f t="array" ref="J770">SUMPRODUCT((Tablo3[Urun Ad]=I770)*(Tablo3[Ürün Kar Tutarı]))</f>
        <v>0</v>
      </c>
      <c r="L770" s="37"/>
    </row>
    <row r="771" spans="1:12" x14ac:dyDescent="0.25">
      <c r="A771" s="13"/>
      <c r="B771" s="9" cm="1">
        <f t="array" ref="B771">SUMPRODUCT((Tablo3[Personel Ad]=A771)*(Tablo3[Ürün Kar Tutarı]))</f>
        <v>0</v>
      </c>
      <c r="D771" s="14"/>
      <c r="F771" s="9" cm="1">
        <f t="array" ref="F771">SUMPRODUCT((Tablo3[Şehirler]=E771)*(Tablo3[Ürün Kar Tutarı]))</f>
        <v>0</v>
      </c>
      <c r="H771" s="14"/>
      <c r="J771" s="9" cm="1">
        <f t="array" ref="J771">SUMPRODUCT((Tablo3[Urun Ad]=I771)*(Tablo3[Ürün Kar Tutarı]))</f>
        <v>0</v>
      </c>
      <c r="L771" s="37"/>
    </row>
    <row r="772" spans="1:12" x14ac:dyDescent="0.25">
      <c r="A772" s="13"/>
      <c r="B772" s="9" cm="1">
        <f t="array" ref="B772">SUMPRODUCT((Tablo3[Personel Ad]=A772)*(Tablo3[Ürün Kar Tutarı]))</f>
        <v>0</v>
      </c>
      <c r="D772" s="14"/>
      <c r="F772" s="9" cm="1">
        <f t="array" ref="F772">SUMPRODUCT((Tablo3[Şehirler]=E772)*(Tablo3[Ürün Kar Tutarı]))</f>
        <v>0</v>
      </c>
      <c r="H772" s="14"/>
      <c r="J772" s="9" cm="1">
        <f t="array" ref="J772">SUMPRODUCT((Tablo3[Urun Ad]=I772)*(Tablo3[Ürün Kar Tutarı]))</f>
        <v>0</v>
      </c>
      <c r="L772" s="37"/>
    </row>
    <row r="773" spans="1:12" x14ac:dyDescent="0.25">
      <c r="A773" s="13"/>
      <c r="B773" s="9" cm="1">
        <f t="array" ref="B773">SUMPRODUCT((Tablo3[Personel Ad]=A773)*(Tablo3[Ürün Kar Tutarı]))</f>
        <v>0</v>
      </c>
      <c r="D773" s="14"/>
      <c r="F773" s="9" cm="1">
        <f t="array" ref="F773">SUMPRODUCT((Tablo3[Şehirler]=E773)*(Tablo3[Ürün Kar Tutarı]))</f>
        <v>0</v>
      </c>
      <c r="H773" s="14"/>
      <c r="J773" s="9" cm="1">
        <f t="array" ref="J773">SUMPRODUCT((Tablo3[Urun Ad]=I773)*(Tablo3[Ürün Kar Tutarı]))</f>
        <v>0</v>
      </c>
      <c r="L773" s="37"/>
    </row>
    <row r="774" spans="1:12" x14ac:dyDescent="0.25">
      <c r="A774" s="13"/>
      <c r="B774" s="9" cm="1">
        <f t="array" ref="B774">SUMPRODUCT((Tablo3[Personel Ad]=A774)*(Tablo3[Ürün Kar Tutarı]))</f>
        <v>0</v>
      </c>
      <c r="D774" s="14"/>
      <c r="F774" s="9" cm="1">
        <f t="array" ref="F774">SUMPRODUCT((Tablo3[Şehirler]=E774)*(Tablo3[Ürün Kar Tutarı]))</f>
        <v>0</v>
      </c>
      <c r="H774" s="14"/>
      <c r="J774" s="9" cm="1">
        <f t="array" ref="J774">SUMPRODUCT((Tablo3[Urun Ad]=I774)*(Tablo3[Ürün Kar Tutarı]))</f>
        <v>0</v>
      </c>
      <c r="L774" s="37"/>
    </row>
    <row r="775" spans="1:12" x14ac:dyDescent="0.25">
      <c r="A775" s="13"/>
      <c r="B775" s="9" cm="1">
        <f t="array" ref="B775">SUMPRODUCT((Tablo3[Personel Ad]=A775)*(Tablo3[Ürün Kar Tutarı]))</f>
        <v>0</v>
      </c>
      <c r="D775" s="14"/>
      <c r="F775" s="9" cm="1">
        <f t="array" ref="F775">SUMPRODUCT((Tablo3[Şehirler]=E775)*(Tablo3[Ürün Kar Tutarı]))</f>
        <v>0</v>
      </c>
      <c r="H775" s="14"/>
      <c r="J775" s="9" cm="1">
        <f t="array" ref="J775">SUMPRODUCT((Tablo3[Urun Ad]=I775)*(Tablo3[Ürün Kar Tutarı]))</f>
        <v>0</v>
      </c>
      <c r="L775" s="37"/>
    </row>
    <row r="776" spans="1:12" x14ac:dyDescent="0.25">
      <c r="A776" s="13"/>
      <c r="B776" s="9" cm="1">
        <f t="array" ref="B776">SUMPRODUCT((Tablo3[Personel Ad]=A776)*(Tablo3[Ürün Kar Tutarı]))</f>
        <v>0</v>
      </c>
      <c r="D776" s="14"/>
      <c r="F776" s="9" cm="1">
        <f t="array" ref="F776">SUMPRODUCT((Tablo3[Şehirler]=E776)*(Tablo3[Ürün Kar Tutarı]))</f>
        <v>0</v>
      </c>
      <c r="H776" s="14"/>
      <c r="J776" s="9" cm="1">
        <f t="array" ref="J776">SUMPRODUCT((Tablo3[Urun Ad]=I776)*(Tablo3[Ürün Kar Tutarı]))</f>
        <v>0</v>
      </c>
      <c r="L776" s="37"/>
    </row>
    <row r="777" spans="1:12" x14ac:dyDescent="0.25">
      <c r="A777" s="13"/>
      <c r="B777" s="9" cm="1">
        <f t="array" ref="B777">SUMPRODUCT((Tablo3[Personel Ad]=A777)*(Tablo3[Ürün Kar Tutarı]))</f>
        <v>0</v>
      </c>
      <c r="D777" s="14"/>
      <c r="F777" s="9" cm="1">
        <f t="array" ref="F777">SUMPRODUCT((Tablo3[Şehirler]=E777)*(Tablo3[Ürün Kar Tutarı]))</f>
        <v>0</v>
      </c>
      <c r="H777" s="14"/>
      <c r="J777" s="9" cm="1">
        <f t="array" ref="J777">SUMPRODUCT((Tablo3[Urun Ad]=I777)*(Tablo3[Ürün Kar Tutarı]))</f>
        <v>0</v>
      </c>
      <c r="L777" s="37"/>
    </row>
    <row r="778" spans="1:12" x14ac:dyDescent="0.25">
      <c r="A778" s="13"/>
      <c r="B778" s="9" cm="1">
        <f t="array" ref="B778">SUMPRODUCT((Tablo3[Personel Ad]=A778)*(Tablo3[Ürün Kar Tutarı]))</f>
        <v>0</v>
      </c>
      <c r="D778" s="14"/>
      <c r="F778" s="9" cm="1">
        <f t="array" ref="F778">SUMPRODUCT((Tablo3[Şehirler]=E778)*(Tablo3[Ürün Kar Tutarı]))</f>
        <v>0</v>
      </c>
      <c r="H778" s="14"/>
      <c r="J778" s="9" cm="1">
        <f t="array" ref="J778">SUMPRODUCT((Tablo3[Urun Ad]=I778)*(Tablo3[Ürün Kar Tutarı]))</f>
        <v>0</v>
      </c>
      <c r="L778" s="37"/>
    </row>
    <row r="779" spans="1:12" x14ac:dyDescent="0.25">
      <c r="A779" s="13"/>
      <c r="B779" s="9" cm="1">
        <f t="array" ref="B779">SUMPRODUCT((Tablo3[Personel Ad]=A779)*(Tablo3[Ürün Kar Tutarı]))</f>
        <v>0</v>
      </c>
      <c r="D779" s="14"/>
      <c r="F779" s="9" cm="1">
        <f t="array" ref="F779">SUMPRODUCT((Tablo3[Şehirler]=E779)*(Tablo3[Ürün Kar Tutarı]))</f>
        <v>0</v>
      </c>
      <c r="H779" s="14"/>
      <c r="J779" s="9" cm="1">
        <f t="array" ref="J779">SUMPRODUCT((Tablo3[Urun Ad]=I779)*(Tablo3[Ürün Kar Tutarı]))</f>
        <v>0</v>
      </c>
      <c r="L779" s="37"/>
    </row>
    <row r="780" spans="1:12" x14ac:dyDescent="0.25">
      <c r="A780" s="13"/>
      <c r="B780" s="9" cm="1">
        <f t="array" ref="B780">SUMPRODUCT((Tablo3[Personel Ad]=A780)*(Tablo3[Ürün Kar Tutarı]))</f>
        <v>0</v>
      </c>
      <c r="D780" s="14"/>
      <c r="F780" s="9" cm="1">
        <f t="array" ref="F780">SUMPRODUCT((Tablo3[Şehirler]=E780)*(Tablo3[Ürün Kar Tutarı]))</f>
        <v>0</v>
      </c>
      <c r="H780" s="14"/>
      <c r="J780" s="9" cm="1">
        <f t="array" ref="J780">SUMPRODUCT((Tablo3[Urun Ad]=I780)*(Tablo3[Ürün Kar Tutarı]))</f>
        <v>0</v>
      </c>
      <c r="L780" s="37"/>
    </row>
    <row r="781" spans="1:12" x14ac:dyDescent="0.25">
      <c r="A781" s="13"/>
      <c r="B781" s="9" cm="1">
        <f t="array" ref="B781">SUMPRODUCT((Tablo3[Personel Ad]=A781)*(Tablo3[Ürün Kar Tutarı]))</f>
        <v>0</v>
      </c>
      <c r="D781" s="14"/>
      <c r="F781" s="9" cm="1">
        <f t="array" ref="F781">SUMPRODUCT((Tablo3[Şehirler]=E781)*(Tablo3[Ürün Kar Tutarı]))</f>
        <v>0</v>
      </c>
      <c r="H781" s="14"/>
      <c r="J781" s="9" cm="1">
        <f t="array" ref="J781">SUMPRODUCT((Tablo3[Urun Ad]=I781)*(Tablo3[Ürün Kar Tutarı]))</f>
        <v>0</v>
      </c>
      <c r="L781" s="37"/>
    </row>
    <row r="782" spans="1:12" x14ac:dyDescent="0.25">
      <c r="A782" s="13"/>
      <c r="B782" s="9" cm="1">
        <f t="array" ref="B782">SUMPRODUCT((Tablo3[Personel Ad]=A782)*(Tablo3[Ürün Kar Tutarı]))</f>
        <v>0</v>
      </c>
      <c r="D782" s="14"/>
      <c r="F782" s="9" cm="1">
        <f t="array" ref="F782">SUMPRODUCT((Tablo3[Şehirler]=E782)*(Tablo3[Ürün Kar Tutarı]))</f>
        <v>0</v>
      </c>
      <c r="H782" s="14"/>
      <c r="J782" s="9" cm="1">
        <f t="array" ref="J782">SUMPRODUCT((Tablo3[Urun Ad]=I782)*(Tablo3[Ürün Kar Tutarı]))</f>
        <v>0</v>
      </c>
      <c r="L782" s="37"/>
    </row>
    <row r="783" spans="1:12" x14ac:dyDescent="0.25">
      <c r="A783" s="13"/>
      <c r="B783" s="9" cm="1">
        <f t="array" ref="B783">SUMPRODUCT((Tablo3[Personel Ad]=A783)*(Tablo3[Ürün Kar Tutarı]))</f>
        <v>0</v>
      </c>
      <c r="D783" s="14"/>
      <c r="F783" s="9" cm="1">
        <f t="array" ref="F783">SUMPRODUCT((Tablo3[Şehirler]=E783)*(Tablo3[Ürün Kar Tutarı]))</f>
        <v>0</v>
      </c>
      <c r="H783" s="14"/>
      <c r="J783" s="9" cm="1">
        <f t="array" ref="J783">SUMPRODUCT((Tablo3[Urun Ad]=I783)*(Tablo3[Ürün Kar Tutarı]))</f>
        <v>0</v>
      </c>
      <c r="L783" s="37"/>
    </row>
    <row r="784" spans="1:12" x14ac:dyDescent="0.25">
      <c r="A784" s="13"/>
      <c r="B784" s="9" cm="1">
        <f t="array" ref="B784">SUMPRODUCT((Tablo3[Personel Ad]=A784)*(Tablo3[Ürün Kar Tutarı]))</f>
        <v>0</v>
      </c>
      <c r="D784" s="14"/>
      <c r="F784" s="9" cm="1">
        <f t="array" ref="F784">SUMPRODUCT((Tablo3[Şehirler]=E784)*(Tablo3[Ürün Kar Tutarı]))</f>
        <v>0</v>
      </c>
      <c r="H784" s="14"/>
      <c r="J784" s="9" cm="1">
        <f t="array" ref="J784">SUMPRODUCT((Tablo3[Urun Ad]=I784)*(Tablo3[Ürün Kar Tutarı]))</f>
        <v>0</v>
      </c>
      <c r="L784" s="37"/>
    </row>
    <row r="785" spans="1:12" x14ac:dyDescent="0.25">
      <c r="A785" s="13"/>
      <c r="B785" s="9" cm="1">
        <f t="array" ref="B785">SUMPRODUCT((Tablo3[Personel Ad]=A785)*(Tablo3[Ürün Kar Tutarı]))</f>
        <v>0</v>
      </c>
      <c r="D785" s="14"/>
      <c r="F785" s="9" cm="1">
        <f t="array" ref="F785">SUMPRODUCT((Tablo3[Şehirler]=E785)*(Tablo3[Ürün Kar Tutarı]))</f>
        <v>0</v>
      </c>
      <c r="H785" s="14"/>
      <c r="J785" s="9" cm="1">
        <f t="array" ref="J785">SUMPRODUCT((Tablo3[Urun Ad]=I785)*(Tablo3[Ürün Kar Tutarı]))</f>
        <v>0</v>
      </c>
      <c r="L785" s="37"/>
    </row>
    <row r="786" spans="1:12" x14ac:dyDescent="0.25">
      <c r="A786" s="13"/>
      <c r="B786" s="9" cm="1">
        <f t="array" ref="B786">SUMPRODUCT((Tablo3[Personel Ad]=A786)*(Tablo3[Ürün Kar Tutarı]))</f>
        <v>0</v>
      </c>
      <c r="D786" s="14"/>
      <c r="F786" s="9" cm="1">
        <f t="array" ref="F786">SUMPRODUCT((Tablo3[Şehirler]=E786)*(Tablo3[Ürün Kar Tutarı]))</f>
        <v>0</v>
      </c>
      <c r="H786" s="14"/>
      <c r="J786" s="9" cm="1">
        <f t="array" ref="J786">SUMPRODUCT((Tablo3[Urun Ad]=I786)*(Tablo3[Ürün Kar Tutarı]))</f>
        <v>0</v>
      </c>
      <c r="L786" s="37"/>
    </row>
    <row r="787" spans="1:12" x14ac:dyDescent="0.25">
      <c r="A787" s="13"/>
      <c r="B787" s="9" cm="1">
        <f t="array" ref="B787">SUMPRODUCT((Tablo3[Personel Ad]=A787)*(Tablo3[Ürün Kar Tutarı]))</f>
        <v>0</v>
      </c>
      <c r="D787" s="14"/>
      <c r="F787" s="9" cm="1">
        <f t="array" ref="F787">SUMPRODUCT((Tablo3[Şehirler]=E787)*(Tablo3[Ürün Kar Tutarı]))</f>
        <v>0</v>
      </c>
      <c r="H787" s="14"/>
      <c r="J787" s="9" cm="1">
        <f t="array" ref="J787">SUMPRODUCT((Tablo3[Urun Ad]=I787)*(Tablo3[Ürün Kar Tutarı]))</f>
        <v>0</v>
      </c>
      <c r="L787" s="37"/>
    </row>
    <row r="788" spans="1:12" x14ac:dyDescent="0.25">
      <c r="A788" s="13"/>
      <c r="B788" s="9" cm="1">
        <f t="array" ref="B788">SUMPRODUCT((Tablo3[Personel Ad]=A788)*(Tablo3[Ürün Kar Tutarı]))</f>
        <v>0</v>
      </c>
      <c r="D788" s="14"/>
      <c r="F788" s="9" cm="1">
        <f t="array" ref="F788">SUMPRODUCT((Tablo3[Şehirler]=E788)*(Tablo3[Ürün Kar Tutarı]))</f>
        <v>0</v>
      </c>
      <c r="H788" s="14"/>
      <c r="J788" s="9" cm="1">
        <f t="array" ref="J788">SUMPRODUCT((Tablo3[Urun Ad]=I788)*(Tablo3[Ürün Kar Tutarı]))</f>
        <v>0</v>
      </c>
      <c r="L788" s="37"/>
    </row>
    <row r="789" spans="1:12" x14ac:dyDescent="0.25">
      <c r="A789" s="13"/>
      <c r="B789" s="9" cm="1">
        <f t="array" ref="B789">SUMPRODUCT((Tablo3[Personel Ad]=A789)*(Tablo3[Ürün Kar Tutarı]))</f>
        <v>0</v>
      </c>
      <c r="D789" s="14"/>
      <c r="F789" s="9" cm="1">
        <f t="array" ref="F789">SUMPRODUCT((Tablo3[Şehirler]=E789)*(Tablo3[Ürün Kar Tutarı]))</f>
        <v>0</v>
      </c>
      <c r="H789" s="14"/>
      <c r="J789" s="9" cm="1">
        <f t="array" ref="J789">SUMPRODUCT((Tablo3[Urun Ad]=I789)*(Tablo3[Ürün Kar Tutarı]))</f>
        <v>0</v>
      </c>
      <c r="L789" s="37"/>
    </row>
    <row r="790" spans="1:12" x14ac:dyDescent="0.25">
      <c r="A790" s="13"/>
      <c r="B790" s="9" cm="1">
        <f t="array" ref="B790">SUMPRODUCT((Tablo3[Personel Ad]=A790)*(Tablo3[Ürün Kar Tutarı]))</f>
        <v>0</v>
      </c>
      <c r="D790" s="14"/>
      <c r="F790" s="9" cm="1">
        <f t="array" ref="F790">SUMPRODUCT((Tablo3[Şehirler]=E790)*(Tablo3[Ürün Kar Tutarı]))</f>
        <v>0</v>
      </c>
      <c r="H790" s="14"/>
      <c r="J790" s="9" cm="1">
        <f t="array" ref="J790">SUMPRODUCT((Tablo3[Urun Ad]=I790)*(Tablo3[Ürün Kar Tutarı]))</f>
        <v>0</v>
      </c>
      <c r="L790" s="37"/>
    </row>
    <row r="791" spans="1:12" x14ac:dyDescent="0.25">
      <c r="A791" s="13"/>
      <c r="B791" s="9" cm="1">
        <f t="array" ref="B791">SUMPRODUCT((Tablo3[Personel Ad]=A791)*(Tablo3[Ürün Kar Tutarı]))</f>
        <v>0</v>
      </c>
      <c r="D791" s="14"/>
      <c r="F791" s="9" cm="1">
        <f t="array" ref="F791">SUMPRODUCT((Tablo3[Şehirler]=E791)*(Tablo3[Ürün Kar Tutarı]))</f>
        <v>0</v>
      </c>
      <c r="H791" s="14"/>
      <c r="J791" s="9" cm="1">
        <f t="array" ref="J791">SUMPRODUCT((Tablo3[Urun Ad]=I791)*(Tablo3[Ürün Kar Tutarı]))</f>
        <v>0</v>
      </c>
      <c r="L791" s="37"/>
    </row>
    <row r="792" spans="1:12" x14ac:dyDescent="0.25">
      <c r="A792" s="13"/>
      <c r="B792" s="9" cm="1">
        <f t="array" ref="B792">SUMPRODUCT((Tablo3[Personel Ad]=A792)*(Tablo3[Ürün Kar Tutarı]))</f>
        <v>0</v>
      </c>
      <c r="D792" s="14"/>
      <c r="F792" s="9" cm="1">
        <f t="array" ref="F792">SUMPRODUCT((Tablo3[Şehirler]=E792)*(Tablo3[Ürün Kar Tutarı]))</f>
        <v>0</v>
      </c>
      <c r="H792" s="14"/>
      <c r="J792" s="9" cm="1">
        <f t="array" ref="J792">SUMPRODUCT((Tablo3[Urun Ad]=I792)*(Tablo3[Ürün Kar Tutarı]))</f>
        <v>0</v>
      </c>
      <c r="L792" s="37"/>
    </row>
    <row r="793" spans="1:12" x14ac:dyDescent="0.25">
      <c r="A793" s="13"/>
      <c r="B793" s="9" cm="1">
        <f t="array" ref="B793">SUMPRODUCT((Tablo3[Personel Ad]=A793)*(Tablo3[Ürün Kar Tutarı]))</f>
        <v>0</v>
      </c>
      <c r="D793" s="14"/>
      <c r="F793" s="9" cm="1">
        <f t="array" ref="F793">SUMPRODUCT((Tablo3[Şehirler]=E793)*(Tablo3[Ürün Kar Tutarı]))</f>
        <v>0</v>
      </c>
      <c r="H793" s="14"/>
      <c r="J793" s="9" cm="1">
        <f t="array" ref="J793">SUMPRODUCT((Tablo3[Urun Ad]=I793)*(Tablo3[Ürün Kar Tutarı]))</f>
        <v>0</v>
      </c>
      <c r="L793" s="37"/>
    </row>
    <row r="794" spans="1:12" x14ac:dyDescent="0.25">
      <c r="A794" s="13"/>
      <c r="B794" s="9" cm="1">
        <f t="array" ref="B794">SUMPRODUCT((Tablo3[Personel Ad]=A794)*(Tablo3[Ürün Kar Tutarı]))</f>
        <v>0</v>
      </c>
      <c r="D794" s="14"/>
      <c r="F794" s="9" cm="1">
        <f t="array" ref="F794">SUMPRODUCT((Tablo3[Şehirler]=E794)*(Tablo3[Ürün Kar Tutarı]))</f>
        <v>0</v>
      </c>
      <c r="H794" s="14"/>
      <c r="J794" s="9" cm="1">
        <f t="array" ref="J794">SUMPRODUCT((Tablo3[Urun Ad]=I794)*(Tablo3[Ürün Kar Tutarı]))</f>
        <v>0</v>
      </c>
      <c r="L794" s="37"/>
    </row>
    <row r="795" spans="1:12" x14ac:dyDescent="0.25">
      <c r="A795" s="13"/>
      <c r="B795" s="9" cm="1">
        <f t="array" ref="B795">SUMPRODUCT((Tablo3[Personel Ad]=A795)*(Tablo3[Ürün Kar Tutarı]))</f>
        <v>0</v>
      </c>
      <c r="D795" s="14"/>
      <c r="F795" s="9" cm="1">
        <f t="array" ref="F795">SUMPRODUCT((Tablo3[Şehirler]=E795)*(Tablo3[Ürün Kar Tutarı]))</f>
        <v>0</v>
      </c>
      <c r="H795" s="14"/>
      <c r="J795" s="9" cm="1">
        <f t="array" ref="J795">SUMPRODUCT((Tablo3[Urun Ad]=I795)*(Tablo3[Ürün Kar Tutarı]))</f>
        <v>0</v>
      </c>
      <c r="L795" s="37"/>
    </row>
    <row r="796" spans="1:12" x14ac:dyDescent="0.25">
      <c r="A796" s="13"/>
      <c r="B796" s="9" cm="1">
        <f t="array" ref="B796">SUMPRODUCT((Tablo3[Personel Ad]=A796)*(Tablo3[Ürün Kar Tutarı]))</f>
        <v>0</v>
      </c>
      <c r="D796" s="14"/>
      <c r="F796" s="9" cm="1">
        <f t="array" ref="F796">SUMPRODUCT((Tablo3[Şehirler]=E796)*(Tablo3[Ürün Kar Tutarı]))</f>
        <v>0</v>
      </c>
      <c r="H796" s="14"/>
      <c r="J796" s="9" cm="1">
        <f t="array" ref="J796">SUMPRODUCT((Tablo3[Urun Ad]=I796)*(Tablo3[Ürün Kar Tutarı]))</f>
        <v>0</v>
      </c>
      <c r="L796" s="37"/>
    </row>
    <row r="797" spans="1:12" x14ac:dyDescent="0.25">
      <c r="A797" s="13"/>
      <c r="B797" s="9" cm="1">
        <f t="array" ref="B797">SUMPRODUCT((Tablo3[Personel Ad]=A797)*(Tablo3[Ürün Kar Tutarı]))</f>
        <v>0</v>
      </c>
      <c r="D797" s="14"/>
      <c r="F797" s="9" cm="1">
        <f t="array" ref="F797">SUMPRODUCT((Tablo3[Şehirler]=E797)*(Tablo3[Ürün Kar Tutarı]))</f>
        <v>0</v>
      </c>
      <c r="H797" s="14"/>
      <c r="J797" s="9" cm="1">
        <f t="array" ref="J797">SUMPRODUCT((Tablo3[Urun Ad]=I797)*(Tablo3[Ürün Kar Tutarı]))</f>
        <v>0</v>
      </c>
      <c r="L797" s="37"/>
    </row>
    <row r="798" spans="1:12" x14ac:dyDescent="0.25">
      <c r="A798" s="13"/>
      <c r="B798" s="9" cm="1">
        <f t="array" ref="B798">SUMPRODUCT((Tablo3[Personel Ad]=A798)*(Tablo3[Ürün Kar Tutarı]))</f>
        <v>0</v>
      </c>
      <c r="D798" s="14"/>
      <c r="F798" s="9" cm="1">
        <f t="array" ref="F798">SUMPRODUCT((Tablo3[Şehirler]=E798)*(Tablo3[Ürün Kar Tutarı]))</f>
        <v>0</v>
      </c>
      <c r="H798" s="14"/>
      <c r="J798" s="9" cm="1">
        <f t="array" ref="J798">SUMPRODUCT((Tablo3[Urun Ad]=I798)*(Tablo3[Ürün Kar Tutarı]))</f>
        <v>0</v>
      </c>
      <c r="L798" s="37"/>
    </row>
    <row r="799" spans="1:12" x14ac:dyDescent="0.25">
      <c r="A799" s="13"/>
      <c r="B799" s="9" cm="1">
        <f t="array" ref="B799">SUMPRODUCT((Tablo3[Personel Ad]=A799)*(Tablo3[Ürün Kar Tutarı]))</f>
        <v>0</v>
      </c>
      <c r="D799" s="14"/>
      <c r="F799" s="9" cm="1">
        <f t="array" ref="F799">SUMPRODUCT((Tablo3[Şehirler]=E799)*(Tablo3[Ürün Kar Tutarı]))</f>
        <v>0</v>
      </c>
      <c r="H799" s="14"/>
      <c r="J799" s="9" cm="1">
        <f t="array" ref="J799">SUMPRODUCT((Tablo3[Urun Ad]=I799)*(Tablo3[Ürün Kar Tutarı]))</f>
        <v>0</v>
      </c>
      <c r="L799" s="37"/>
    </row>
    <row r="800" spans="1:12" x14ac:dyDescent="0.25">
      <c r="A800" s="13"/>
      <c r="B800" s="9" cm="1">
        <f t="array" ref="B800">SUMPRODUCT((Tablo3[Personel Ad]=A800)*(Tablo3[Ürün Kar Tutarı]))</f>
        <v>0</v>
      </c>
      <c r="D800" s="14"/>
      <c r="F800" s="9" cm="1">
        <f t="array" ref="F800">SUMPRODUCT((Tablo3[Şehirler]=E800)*(Tablo3[Ürün Kar Tutarı]))</f>
        <v>0</v>
      </c>
      <c r="H800" s="14"/>
      <c r="J800" s="9" cm="1">
        <f t="array" ref="J800">SUMPRODUCT((Tablo3[Urun Ad]=I800)*(Tablo3[Ürün Kar Tutarı]))</f>
        <v>0</v>
      </c>
      <c r="L800" s="37"/>
    </row>
    <row r="801" spans="1:12" x14ac:dyDescent="0.25">
      <c r="A801" s="13"/>
      <c r="B801" s="9" cm="1">
        <f t="array" ref="B801">SUMPRODUCT((Tablo3[Personel Ad]=A801)*(Tablo3[Ürün Kar Tutarı]))</f>
        <v>0</v>
      </c>
      <c r="D801" s="14"/>
      <c r="F801" s="9" cm="1">
        <f t="array" ref="F801">SUMPRODUCT((Tablo3[Şehirler]=E801)*(Tablo3[Ürün Kar Tutarı]))</f>
        <v>0</v>
      </c>
      <c r="H801" s="14"/>
      <c r="J801" s="9" cm="1">
        <f t="array" ref="J801">SUMPRODUCT((Tablo3[Urun Ad]=I801)*(Tablo3[Ürün Kar Tutarı]))</f>
        <v>0</v>
      </c>
      <c r="L801" s="37"/>
    </row>
    <row r="802" spans="1:12" x14ac:dyDescent="0.25">
      <c r="A802" s="13"/>
      <c r="B802" s="9" cm="1">
        <f t="array" ref="B802">SUMPRODUCT((Tablo3[Personel Ad]=A802)*(Tablo3[Ürün Kar Tutarı]))</f>
        <v>0</v>
      </c>
      <c r="D802" s="14"/>
      <c r="F802" s="9" cm="1">
        <f t="array" ref="F802">SUMPRODUCT((Tablo3[Şehirler]=E802)*(Tablo3[Ürün Kar Tutarı]))</f>
        <v>0</v>
      </c>
      <c r="H802" s="14"/>
      <c r="J802" s="9" cm="1">
        <f t="array" ref="J802">SUMPRODUCT((Tablo3[Urun Ad]=I802)*(Tablo3[Ürün Kar Tutarı]))</f>
        <v>0</v>
      </c>
      <c r="L802" s="37"/>
    </row>
    <row r="803" spans="1:12" x14ac:dyDescent="0.25">
      <c r="A803" s="13"/>
      <c r="B803" s="9" cm="1">
        <f t="array" ref="B803">SUMPRODUCT((Tablo3[Personel Ad]=A803)*(Tablo3[Ürün Kar Tutarı]))</f>
        <v>0</v>
      </c>
      <c r="D803" s="14"/>
      <c r="F803" s="9" cm="1">
        <f t="array" ref="F803">SUMPRODUCT((Tablo3[Şehirler]=E803)*(Tablo3[Ürün Kar Tutarı]))</f>
        <v>0</v>
      </c>
      <c r="H803" s="14"/>
      <c r="J803" s="9" cm="1">
        <f t="array" ref="J803">SUMPRODUCT((Tablo3[Urun Ad]=I803)*(Tablo3[Ürün Kar Tutarı]))</f>
        <v>0</v>
      </c>
      <c r="L803" s="37"/>
    </row>
    <row r="804" spans="1:12" x14ac:dyDescent="0.25">
      <c r="A804" s="13"/>
      <c r="B804" s="9" cm="1">
        <f t="array" ref="B804">SUMPRODUCT((Tablo3[Personel Ad]=A804)*(Tablo3[Ürün Kar Tutarı]))</f>
        <v>0</v>
      </c>
      <c r="D804" s="14"/>
      <c r="F804" s="9" cm="1">
        <f t="array" ref="F804">SUMPRODUCT((Tablo3[Şehirler]=E804)*(Tablo3[Ürün Kar Tutarı]))</f>
        <v>0</v>
      </c>
      <c r="H804" s="14"/>
      <c r="J804" s="9" cm="1">
        <f t="array" ref="J804">SUMPRODUCT((Tablo3[Urun Ad]=I804)*(Tablo3[Ürün Kar Tutarı]))</f>
        <v>0</v>
      </c>
      <c r="L804" s="37"/>
    </row>
    <row r="805" spans="1:12" x14ac:dyDescent="0.25">
      <c r="A805" s="13"/>
      <c r="B805" s="9" cm="1">
        <f t="array" ref="B805">SUMPRODUCT((Tablo3[Personel Ad]=A805)*(Tablo3[Ürün Kar Tutarı]))</f>
        <v>0</v>
      </c>
      <c r="D805" s="14"/>
      <c r="F805" s="9" cm="1">
        <f t="array" ref="F805">SUMPRODUCT((Tablo3[Şehirler]=E805)*(Tablo3[Ürün Kar Tutarı]))</f>
        <v>0</v>
      </c>
      <c r="H805" s="14"/>
      <c r="J805" s="9" cm="1">
        <f t="array" ref="J805">SUMPRODUCT((Tablo3[Urun Ad]=I805)*(Tablo3[Ürün Kar Tutarı]))</f>
        <v>0</v>
      </c>
      <c r="L805" s="37"/>
    </row>
    <row r="806" spans="1:12" x14ac:dyDescent="0.25">
      <c r="A806" s="13"/>
      <c r="B806" s="9" cm="1">
        <f t="array" ref="B806">SUMPRODUCT((Tablo3[Personel Ad]=A806)*(Tablo3[Ürün Kar Tutarı]))</f>
        <v>0</v>
      </c>
      <c r="D806" s="14"/>
      <c r="F806" s="9" cm="1">
        <f t="array" ref="F806">SUMPRODUCT((Tablo3[Şehirler]=E806)*(Tablo3[Ürün Kar Tutarı]))</f>
        <v>0</v>
      </c>
      <c r="H806" s="14"/>
      <c r="J806" s="9" cm="1">
        <f t="array" ref="J806">SUMPRODUCT((Tablo3[Urun Ad]=I806)*(Tablo3[Ürün Kar Tutarı]))</f>
        <v>0</v>
      </c>
      <c r="L806" s="37"/>
    </row>
    <row r="807" spans="1:12" x14ac:dyDescent="0.25">
      <c r="A807" s="13"/>
      <c r="B807" s="9" cm="1">
        <f t="array" ref="B807">SUMPRODUCT((Tablo3[Personel Ad]=A807)*(Tablo3[Ürün Kar Tutarı]))</f>
        <v>0</v>
      </c>
      <c r="D807" s="14"/>
      <c r="F807" s="9" cm="1">
        <f t="array" ref="F807">SUMPRODUCT((Tablo3[Şehirler]=E807)*(Tablo3[Ürün Kar Tutarı]))</f>
        <v>0</v>
      </c>
      <c r="H807" s="14"/>
      <c r="J807" s="9" cm="1">
        <f t="array" ref="J807">SUMPRODUCT((Tablo3[Urun Ad]=I807)*(Tablo3[Ürün Kar Tutarı]))</f>
        <v>0</v>
      </c>
      <c r="L807" s="37"/>
    </row>
    <row r="808" spans="1:12" x14ac:dyDescent="0.25">
      <c r="A808" s="13"/>
      <c r="B808" s="9" cm="1">
        <f t="array" ref="B808">SUMPRODUCT((Tablo3[Personel Ad]=A808)*(Tablo3[Ürün Kar Tutarı]))</f>
        <v>0</v>
      </c>
      <c r="D808" s="14"/>
      <c r="F808" s="9" cm="1">
        <f t="array" ref="F808">SUMPRODUCT((Tablo3[Şehirler]=E808)*(Tablo3[Ürün Kar Tutarı]))</f>
        <v>0</v>
      </c>
      <c r="H808" s="14"/>
      <c r="J808" s="9" cm="1">
        <f t="array" ref="J808">SUMPRODUCT((Tablo3[Urun Ad]=I808)*(Tablo3[Ürün Kar Tutarı]))</f>
        <v>0</v>
      </c>
      <c r="L808" s="37"/>
    </row>
    <row r="809" spans="1:12" x14ac:dyDescent="0.25">
      <c r="A809" s="13"/>
      <c r="B809" s="9" cm="1">
        <f t="array" ref="B809">SUMPRODUCT((Tablo3[Personel Ad]=A809)*(Tablo3[Ürün Kar Tutarı]))</f>
        <v>0</v>
      </c>
      <c r="D809" s="14"/>
      <c r="F809" s="9" cm="1">
        <f t="array" ref="F809">SUMPRODUCT((Tablo3[Şehirler]=E809)*(Tablo3[Ürün Kar Tutarı]))</f>
        <v>0</v>
      </c>
      <c r="H809" s="14"/>
      <c r="J809" s="9" cm="1">
        <f t="array" ref="J809">SUMPRODUCT((Tablo3[Urun Ad]=I809)*(Tablo3[Ürün Kar Tutarı]))</f>
        <v>0</v>
      </c>
      <c r="L809" s="37"/>
    </row>
    <row r="810" spans="1:12" x14ac:dyDescent="0.25">
      <c r="A810" s="13"/>
      <c r="B810" s="9" cm="1">
        <f t="array" ref="B810">SUMPRODUCT((Tablo3[Personel Ad]=A810)*(Tablo3[Ürün Kar Tutarı]))</f>
        <v>0</v>
      </c>
      <c r="D810" s="14"/>
      <c r="F810" s="9" cm="1">
        <f t="array" ref="F810">SUMPRODUCT((Tablo3[Şehirler]=E810)*(Tablo3[Ürün Kar Tutarı]))</f>
        <v>0</v>
      </c>
      <c r="H810" s="14"/>
      <c r="J810" s="9" cm="1">
        <f t="array" ref="J810">SUMPRODUCT((Tablo3[Urun Ad]=I810)*(Tablo3[Ürün Kar Tutarı]))</f>
        <v>0</v>
      </c>
      <c r="L810" s="37"/>
    </row>
    <row r="811" spans="1:12" x14ac:dyDescent="0.25">
      <c r="A811" s="13"/>
      <c r="B811" s="9" cm="1">
        <f t="array" ref="B811">SUMPRODUCT((Tablo3[Personel Ad]=A811)*(Tablo3[Ürün Kar Tutarı]))</f>
        <v>0</v>
      </c>
      <c r="D811" s="14"/>
      <c r="F811" s="9" cm="1">
        <f t="array" ref="F811">SUMPRODUCT((Tablo3[Şehirler]=E811)*(Tablo3[Ürün Kar Tutarı]))</f>
        <v>0</v>
      </c>
      <c r="H811" s="14"/>
      <c r="J811" s="9" cm="1">
        <f t="array" ref="J811">SUMPRODUCT((Tablo3[Urun Ad]=I811)*(Tablo3[Ürün Kar Tutarı]))</f>
        <v>0</v>
      </c>
      <c r="L811" s="37"/>
    </row>
    <row r="812" spans="1:12" x14ac:dyDescent="0.25">
      <c r="A812" s="13"/>
      <c r="B812" s="9" cm="1">
        <f t="array" ref="B812">SUMPRODUCT((Tablo3[Personel Ad]=A812)*(Tablo3[Ürün Kar Tutarı]))</f>
        <v>0</v>
      </c>
      <c r="D812" s="14"/>
      <c r="F812" s="9" cm="1">
        <f t="array" ref="F812">SUMPRODUCT((Tablo3[Şehirler]=E812)*(Tablo3[Ürün Kar Tutarı]))</f>
        <v>0</v>
      </c>
      <c r="H812" s="14"/>
      <c r="J812" s="9" cm="1">
        <f t="array" ref="J812">SUMPRODUCT((Tablo3[Urun Ad]=I812)*(Tablo3[Ürün Kar Tutarı]))</f>
        <v>0</v>
      </c>
      <c r="L812" s="37"/>
    </row>
    <row r="813" spans="1:12" x14ac:dyDescent="0.25">
      <c r="A813" s="13"/>
      <c r="B813" s="9" cm="1">
        <f t="array" ref="B813">SUMPRODUCT((Tablo3[Personel Ad]=A813)*(Tablo3[Ürün Kar Tutarı]))</f>
        <v>0</v>
      </c>
      <c r="D813" s="14"/>
      <c r="F813" s="9" cm="1">
        <f t="array" ref="F813">SUMPRODUCT((Tablo3[Şehirler]=E813)*(Tablo3[Ürün Kar Tutarı]))</f>
        <v>0</v>
      </c>
      <c r="H813" s="14"/>
      <c r="J813" s="9" cm="1">
        <f t="array" ref="J813">SUMPRODUCT((Tablo3[Urun Ad]=I813)*(Tablo3[Ürün Kar Tutarı]))</f>
        <v>0</v>
      </c>
      <c r="L813" s="37"/>
    </row>
    <row r="814" spans="1:12" x14ac:dyDescent="0.25">
      <c r="A814" s="13"/>
      <c r="B814" s="9" cm="1">
        <f t="array" ref="B814">SUMPRODUCT((Tablo3[Personel Ad]=A814)*(Tablo3[Ürün Kar Tutarı]))</f>
        <v>0</v>
      </c>
      <c r="D814" s="14"/>
      <c r="F814" s="9" cm="1">
        <f t="array" ref="F814">SUMPRODUCT((Tablo3[Şehirler]=E814)*(Tablo3[Ürün Kar Tutarı]))</f>
        <v>0</v>
      </c>
      <c r="H814" s="14"/>
      <c r="J814" s="9" cm="1">
        <f t="array" ref="J814">SUMPRODUCT((Tablo3[Urun Ad]=I814)*(Tablo3[Ürün Kar Tutarı]))</f>
        <v>0</v>
      </c>
      <c r="L814" s="37"/>
    </row>
    <row r="815" spans="1:12" x14ac:dyDescent="0.25">
      <c r="A815" s="13"/>
      <c r="B815" s="9" cm="1">
        <f t="array" ref="B815">SUMPRODUCT((Tablo3[Personel Ad]=A815)*(Tablo3[Ürün Kar Tutarı]))</f>
        <v>0</v>
      </c>
      <c r="D815" s="14"/>
      <c r="F815" s="9" cm="1">
        <f t="array" ref="F815">SUMPRODUCT((Tablo3[Şehirler]=E815)*(Tablo3[Ürün Kar Tutarı]))</f>
        <v>0</v>
      </c>
      <c r="H815" s="14"/>
      <c r="J815" s="9" cm="1">
        <f t="array" ref="J815">SUMPRODUCT((Tablo3[Urun Ad]=I815)*(Tablo3[Ürün Kar Tutarı]))</f>
        <v>0</v>
      </c>
      <c r="L815" s="37"/>
    </row>
    <row r="816" spans="1:12" x14ac:dyDescent="0.25">
      <c r="A816" s="13"/>
      <c r="B816" s="9" cm="1">
        <f t="array" ref="B816">SUMPRODUCT((Tablo3[Personel Ad]=A816)*(Tablo3[Ürün Kar Tutarı]))</f>
        <v>0</v>
      </c>
      <c r="D816" s="14"/>
      <c r="F816" s="9" cm="1">
        <f t="array" ref="F816">SUMPRODUCT((Tablo3[Şehirler]=E816)*(Tablo3[Ürün Kar Tutarı]))</f>
        <v>0</v>
      </c>
      <c r="H816" s="14"/>
      <c r="J816" s="9" cm="1">
        <f t="array" ref="J816">SUMPRODUCT((Tablo3[Urun Ad]=I816)*(Tablo3[Ürün Kar Tutarı]))</f>
        <v>0</v>
      </c>
      <c r="L816" s="37"/>
    </row>
    <row r="817" spans="1:12" x14ac:dyDescent="0.25">
      <c r="A817" s="13"/>
      <c r="B817" s="9" cm="1">
        <f t="array" ref="B817">SUMPRODUCT((Tablo3[Personel Ad]=A817)*(Tablo3[Ürün Kar Tutarı]))</f>
        <v>0</v>
      </c>
      <c r="D817" s="14"/>
      <c r="F817" s="9" cm="1">
        <f t="array" ref="F817">SUMPRODUCT((Tablo3[Şehirler]=E817)*(Tablo3[Ürün Kar Tutarı]))</f>
        <v>0</v>
      </c>
      <c r="H817" s="14"/>
      <c r="J817" s="9" cm="1">
        <f t="array" ref="J817">SUMPRODUCT((Tablo3[Urun Ad]=I817)*(Tablo3[Ürün Kar Tutarı]))</f>
        <v>0</v>
      </c>
      <c r="L817" s="37"/>
    </row>
    <row r="818" spans="1:12" x14ac:dyDescent="0.25">
      <c r="A818" s="13"/>
      <c r="B818" s="9" cm="1">
        <f t="array" ref="B818">SUMPRODUCT((Tablo3[Personel Ad]=A818)*(Tablo3[Ürün Kar Tutarı]))</f>
        <v>0</v>
      </c>
      <c r="D818" s="14"/>
      <c r="F818" s="9" cm="1">
        <f t="array" ref="F818">SUMPRODUCT((Tablo3[Şehirler]=E818)*(Tablo3[Ürün Kar Tutarı]))</f>
        <v>0</v>
      </c>
      <c r="H818" s="14"/>
      <c r="J818" s="9" cm="1">
        <f t="array" ref="J818">SUMPRODUCT((Tablo3[Urun Ad]=I818)*(Tablo3[Ürün Kar Tutarı]))</f>
        <v>0</v>
      </c>
      <c r="L818" s="37"/>
    </row>
    <row r="819" spans="1:12" x14ac:dyDescent="0.25">
      <c r="A819" s="13"/>
      <c r="B819" s="9" cm="1">
        <f t="array" ref="B819">SUMPRODUCT((Tablo3[Personel Ad]=A819)*(Tablo3[Ürün Kar Tutarı]))</f>
        <v>0</v>
      </c>
      <c r="D819" s="14"/>
      <c r="F819" s="9" cm="1">
        <f t="array" ref="F819">SUMPRODUCT((Tablo3[Şehirler]=E819)*(Tablo3[Ürün Kar Tutarı]))</f>
        <v>0</v>
      </c>
      <c r="H819" s="14"/>
      <c r="J819" s="9" cm="1">
        <f t="array" ref="J819">SUMPRODUCT((Tablo3[Urun Ad]=I819)*(Tablo3[Ürün Kar Tutarı]))</f>
        <v>0</v>
      </c>
      <c r="L819" s="37"/>
    </row>
    <row r="820" spans="1:12" x14ac:dyDescent="0.25">
      <c r="A820" s="13"/>
      <c r="B820" s="9" cm="1">
        <f t="array" ref="B820">SUMPRODUCT((Tablo3[Personel Ad]=A820)*(Tablo3[Ürün Kar Tutarı]))</f>
        <v>0</v>
      </c>
      <c r="D820" s="14"/>
      <c r="F820" s="9" cm="1">
        <f t="array" ref="F820">SUMPRODUCT((Tablo3[Şehirler]=E820)*(Tablo3[Ürün Kar Tutarı]))</f>
        <v>0</v>
      </c>
      <c r="H820" s="14"/>
      <c r="J820" s="9" cm="1">
        <f t="array" ref="J820">SUMPRODUCT((Tablo3[Urun Ad]=I820)*(Tablo3[Ürün Kar Tutarı]))</f>
        <v>0</v>
      </c>
      <c r="L820" s="37"/>
    </row>
    <row r="821" spans="1:12" x14ac:dyDescent="0.25">
      <c r="A821" s="13"/>
      <c r="B821" s="9" cm="1">
        <f t="array" ref="B821">SUMPRODUCT((Tablo3[Personel Ad]=A821)*(Tablo3[Ürün Kar Tutarı]))</f>
        <v>0</v>
      </c>
      <c r="D821" s="14"/>
      <c r="F821" s="9" cm="1">
        <f t="array" ref="F821">SUMPRODUCT((Tablo3[Şehirler]=E821)*(Tablo3[Ürün Kar Tutarı]))</f>
        <v>0</v>
      </c>
      <c r="H821" s="14"/>
      <c r="J821" s="9" cm="1">
        <f t="array" ref="J821">SUMPRODUCT((Tablo3[Urun Ad]=I821)*(Tablo3[Ürün Kar Tutarı]))</f>
        <v>0</v>
      </c>
      <c r="L821" s="37"/>
    </row>
    <row r="822" spans="1:12" x14ac:dyDescent="0.25">
      <c r="A822" s="13"/>
      <c r="B822" s="9" cm="1">
        <f t="array" ref="B822">SUMPRODUCT((Tablo3[Personel Ad]=A822)*(Tablo3[Ürün Kar Tutarı]))</f>
        <v>0</v>
      </c>
      <c r="D822" s="14"/>
      <c r="F822" s="9" cm="1">
        <f t="array" ref="F822">SUMPRODUCT((Tablo3[Şehirler]=E822)*(Tablo3[Ürün Kar Tutarı]))</f>
        <v>0</v>
      </c>
      <c r="H822" s="14"/>
      <c r="J822" s="9" cm="1">
        <f t="array" ref="J822">SUMPRODUCT((Tablo3[Urun Ad]=I822)*(Tablo3[Ürün Kar Tutarı]))</f>
        <v>0</v>
      </c>
      <c r="L822" s="37"/>
    </row>
    <row r="823" spans="1:12" x14ac:dyDescent="0.25">
      <c r="A823" s="13"/>
      <c r="B823" s="9" cm="1">
        <f t="array" ref="B823">SUMPRODUCT((Tablo3[Personel Ad]=A823)*(Tablo3[Ürün Kar Tutarı]))</f>
        <v>0</v>
      </c>
      <c r="D823" s="14"/>
      <c r="F823" s="9" cm="1">
        <f t="array" ref="F823">SUMPRODUCT((Tablo3[Şehirler]=E823)*(Tablo3[Ürün Kar Tutarı]))</f>
        <v>0</v>
      </c>
      <c r="H823" s="14"/>
      <c r="J823" s="9" cm="1">
        <f t="array" ref="J823">SUMPRODUCT((Tablo3[Urun Ad]=I823)*(Tablo3[Ürün Kar Tutarı]))</f>
        <v>0</v>
      </c>
      <c r="L823" s="37"/>
    </row>
    <row r="824" spans="1:12" x14ac:dyDescent="0.25">
      <c r="A824" s="13"/>
      <c r="B824" s="9" cm="1">
        <f t="array" ref="B824">SUMPRODUCT((Tablo3[Personel Ad]=A824)*(Tablo3[Ürün Kar Tutarı]))</f>
        <v>0</v>
      </c>
      <c r="D824" s="14"/>
      <c r="F824" s="9" cm="1">
        <f t="array" ref="F824">SUMPRODUCT((Tablo3[Şehirler]=E824)*(Tablo3[Ürün Kar Tutarı]))</f>
        <v>0</v>
      </c>
      <c r="H824" s="14"/>
      <c r="J824" s="9" cm="1">
        <f t="array" ref="J824">SUMPRODUCT((Tablo3[Urun Ad]=I824)*(Tablo3[Ürün Kar Tutarı]))</f>
        <v>0</v>
      </c>
      <c r="L824" s="37"/>
    </row>
    <row r="825" spans="1:12" x14ac:dyDescent="0.25">
      <c r="A825" s="13"/>
      <c r="B825" s="9" cm="1">
        <f t="array" ref="B825">SUMPRODUCT((Tablo3[Personel Ad]=A825)*(Tablo3[Ürün Kar Tutarı]))</f>
        <v>0</v>
      </c>
      <c r="D825" s="14"/>
      <c r="F825" s="9" cm="1">
        <f t="array" ref="F825">SUMPRODUCT((Tablo3[Şehirler]=E825)*(Tablo3[Ürün Kar Tutarı]))</f>
        <v>0</v>
      </c>
      <c r="H825" s="14"/>
      <c r="J825" s="9" cm="1">
        <f t="array" ref="J825">SUMPRODUCT((Tablo3[Urun Ad]=I825)*(Tablo3[Ürün Kar Tutarı]))</f>
        <v>0</v>
      </c>
      <c r="L825" s="37"/>
    </row>
    <row r="826" spans="1:12" x14ac:dyDescent="0.25">
      <c r="A826" s="13"/>
      <c r="B826" s="9" cm="1">
        <f t="array" ref="B826">SUMPRODUCT((Tablo3[Personel Ad]=A826)*(Tablo3[Ürün Kar Tutarı]))</f>
        <v>0</v>
      </c>
      <c r="D826" s="14"/>
      <c r="F826" s="9" cm="1">
        <f t="array" ref="F826">SUMPRODUCT((Tablo3[Şehirler]=E826)*(Tablo3[Ürün Kar Tutarı]))</f>
        <v>0</v>
      </c>
      <c r="H826" s="14"/>
      <c r="J826" s="9" cm="1">
        <f t="array" ref="J826">SUMPRODUCT((Tablo3[Urun Ad]=I826)*(Tablo3[Ürün Kar Tutarı]))</f>
        <v>0</v>
      </c>
      <c r="L826" s="37"/>
    </row>
    <row r="827" spans="1:12" x14ac:dyDescent="0.25">
      <c r="A827" s="13"/>
      <c r="B827" s="9" cm="1">
        <f t="array" ref="B827">SUMPRODUCT((Tablo3[Personel Ad]=A827)*(Tablo3[Ürün Kar Tutarı]))</f>
        <v>0</v>
      </c>
      <c r="D827" s="14"/>
      <c r="F827" s="9" cm="1">
        <f t="array" ref="F827">SUMPRODUCT((Tablo3[Şehirler]=E827)*(Tablo3[Ürün Kar Tutarı]))</f>
        <v>0</v>
      </c>
      <c r="H827" s="14"/>
      <c r="J827" s="9" cm="1">
        <f t="array" ref="J827">SUMPRODUCT((Tablo3[Urun Ad]=I827)*(Tablo3[Ürün Kar Tutarı]))</f>
        <v>0</v>
      </c>
      <c r="L827" s="37"/>
    </row>
    <row r="828" spans="1:12" x14ac:dyDescent="0.25">
      <c r="A828" s="13"/>
      <c r="B828" s="9" cm="1">
        <f t="array" ref="B828">SUMPRODUCT((Tablo3[Personel Ad]=A828)*(Tablo3[Ürün Kar Tutarı]))</f>
        <v>0</v>
      </c>
      <c r="D828" s="14"/>
      <c r="F828" s="9" cm="1">
        <f t="array" ref="F828">SUMPRODUCT((Tablo3[Şehirler]=E828)*(Tablo3[Ürün Kar Tutarı]))</f>
        <v>0</v>
      </c>
      <c r="H828" s="14"/>
      <c r="J828" s="9" cm="1">
        <f t="array" ref="J828">SUMPRODUCT((Tablo3[Urun Ad]=I828)*(Tablo3[Ürün Kar Tutarı]))</f>
        <v>0</v>
      </c>
      <c r="L828" s="37"/>
    </row>
    <row r="829" spans="1:12" x14ac:dyDescent="0.25">
      <c r="A829" s="13"/>
      <c r="B829" s="9" cm="1">
        <f t="array" ref="B829">SUMPRODUCT((Tablo3[Personel Ad]=A829)*(Tablo3[Ürün Kar Tutarı]))</f>
        <v>0</v>
      </c>
      <c r="D829" s="14"/>
      <c r="F829" s="9" cm="1">
        <f t="array" ref="F829">SUMPRODUCT((Tablo3[Şehirler]=E829)*(Tablo3[Ürün Kar Tutarı]))</f>
        <v>0</v>
      </c>
      <c r="H829" s="14"/>
      <c r="J829" s="9" cm="1">
        <f t="array" ref="J829">SUMPRODUCT((Tablo3[Urun Ad]=I829)*(Tablo3[Ürün Kar Tutarı]))</f>
        <v>0</v>
      </c>
      <c r="L829" s="37"/>
    </row>
    <row r="830" spans="1:12" x14ac:dyDescent="0.25">
      <c r="A830" s="13"/>
      <c r="B830" s="9" cm="1">
        <f t="array" ref="B830">SUMPRODUCT((Tablo3[Personel Ad]=A830)*(Tablo3[Ürün Kar Tutarı]))</f>
        <v>0</v>
      </c>
      <c r="D830" s="14"/>
      <c r="F830" s="9" cm="1">
        <f t="array" ref="F830">SUMPRODUCT((Tablo3[Şehirler]=E830)*(Tablo3[Ürün Kar Tutarı]))</f>
        <v>0</v>
      </c>
      <c r="H830" s="14"/>
      <c r="J830" s="9" cm="1">
        <f t="array" ref="J830">SUMPRODUCT((Tablo3[Urun Ad]=I830)*(Tablo3[Ürün Kar Tutarı]))</f>
        <v>0</v>
      </c>
      <c r="L830" s="37"/>
    </row>
    <row r="831" spans="1:12" x14ac:dyDescent="0.25">
      <c r="A831" s="13"/>
      <c r="B831" s="9" cm="1">
        <f t="array" ref="B831">SUMPRODUCT((Tablo3[Personel Ad]=A831)*(Tablo3[Ürün Kar Tutarı]))</f>
        <v>0</v>
      </c>
      <c r="D831" s="14"/>
      <c r="F831" s="9" cm="1">
        <f t="array" ref="F831">SUMPRODUCT((Tablo3[Şehirler]=E831)*(Tablo3[Ürün Kar Tutarı]))</f>
        <v>0</v>
      </c>
      <c r="H831" s="14"/>
      <c r="J831" s="9" cm="1">
        <f t="array" ref="J831">SUMPRODUCT((Tablo3[Urun Ad]=I831)*(Tablo3[Ürün Kar Tutarı]))</f>
        <v>0</v>
      </c>
      <c r="L831" s="37"/>
    </row>
    <row r="832" spans="1:12" x14ac:dyDescent="0.25">
      <c r="A832" s="13"/>
      <c r="B832" s="9" cm="1">
        <f t="array" ref="B832">SUMPRODUCT((Tablo3[Personel Ad]=A832)*(Tablo3[Ürün Kar Tutarı]))</f>
        <v>0</v>
      </c>
      <c r="D832" s="14"/>
      <c r="F832" s="9" cm="1">
        <f t="array" ref="F832">SUMPRODUCT((Tablo3[Şehirler]=E832)*(Tablo3[Ürün Kar Tutarı]))</f>
        <v>0</v>
      </c>
      <c r="H832" s="14"/>
      <c r="J832" s="9" cm="1">
        <f t="array" ref="J832">SUMPRODUCT((Tablo3[Urun Ad]=I832)*(Tablo3[Ürün Kar Tutarı]))</f>
        <v>0</v>
      </c>
      <c r="L832" s="37"/>
    </row>
    <row r="833" spans="1:12" x14ac:dyDescent="0.25">
      <c r="A833" s="13"/>
      <c r="B833" s="9" cm="1">
        <f t="array" ref="B833">SUMPRODUCT((Tablo3[Personel Ad]=A833)*(Tablo3[Ürün Kar Tutarı]))</f>
        <v>0</v>
      </c>
      <c r="D833" s="14"/>
      <c r="F833" s="9" cm="1">
        <f t="array" ref="F833">SUMPRODUCT((Tablo3[Şehirler]=E833)*(Tablo3[Ürün Kar Tutarı]))</f>
        <v>0</v>
      </c>
      <c r="H833" s="14"/>
      <c r="J833" s="9" cm="1">
        <f t="array" ref="J833">SUMPRODUCT((Tablo3[Urun Ad]=I833)*(Tablo3[Ürün Kar Tutarı]))</f>
        <v>0</v>
      </c>
      <c r="L833" s="37"/>
    </row>
    <row r="834" spans="1:12" x14ac:dyDescent="0.25">
      <c r="A834" s="13"/>
      <c r="B834" s="9" cm="1">
        <f t="array" ref="B834">SUMPRODUCT((Tablo3[Personel Ad]=A834)*(Tablo3[Ürün Kar Tutarı]))</f>
        <v>0</v>
      </c>
      <c r="D834" s="14"/>
      <c r="F834" s="9" cm="1">
        <f t="array" ref="F834">SUMPRODUCT((Tablo3[Şehirler]=E834)*(Tablo3[Ürün Kar Tutarı]))</f>
        <v>0</v>
      </c>
      <c r="H834" s="14"/>
      <c r="J834" s="9" cm="1">
        <f t="array" ref="J834">SUMPRODUCT((Tablo3[Urun Ad]=I834)*(Tablo3[Ürün Kar Tutarı]))</f>
        <v>0</v>
      </c>
      <c r="L834" s="37"/>
    </row>
    <row r="835" spans="1:12" x14ac:dyDescent="0.25">
      <c r="A835" s="13"/>
      <c r="B835" s="9" cm="1">
        <f t="array" ref="B835">SUMPRODUCT((Tablo3[Personel Ad]=A835)*(Tablo3[Ürün Kar Tutarı]))</f>
        <v>0</v>
      </c>
      <c r="D835" s="14"/>
      <c r="F835" s="9" cm="1">
        <f t="array" ref="F835">SUMPRODUCT((Tablo3[Şehirler]=E835)*(Tablo3[Ürün Kar Tutarı]))</f>
        <v>0</v>
      </c>
      <c r="H835" s="14"/>
      <c r="J835" s="9" cm="1">
        <f t="array" ref="J835">SUMPRODUCT((Tablo3[Urun Ad]=I835)*(Tablo3[Ürün Kar Tutarı]))</f>
        <v>0</v>
      </c>
      <c r="L835" s="37"/>
    </row>
    <row r="836" spans="1:12" x14ac:dyDescent="0.25">
      <c r="A836" s="13"/>
      <c r="B836" s="9" cm="1">
        <f t="array" ref="B836">SUMPRODUCT((Tablo3[Personel Ad]=A836)*(Tablo3[Ürün Kar Tutarı]))</f>
        <v>0</v>
      </c>
      <c r="D836" s="14"/>
      <c r="F836" s="9" cm="1">
        <f t="array" ref="F836">SUMPRODUCT((Tablo3[Şehirler]=E836)*(Tablo3[Ürün Kar Tutarı]))</f>
        <v>0</v>
      </c>
      <c r="H836" s="14"/>
      <c r="J836" s="9" cm="1">
        <f t="array" ref="J836">SUMPRODUCT((Tablo3[Urun Ad]=I836)*(Tablo3[Ürün Kar Tutarı]))</f>
        <v>0</v>
      </c>
      <c r="L836" s="37"/>
    </row>
    <row r="837" spans="1:12" x14ac:dyDescent="0.25">
      <c r="A837" s="13"/>
      <c r="B837" s="9" cm="1">
        <f t="array" ref="B837">SUMPRODUCT((Tablo3[Personel Ad]=A837)*(Tablo3[Ürün Kar Tutarı]))</f>
        <v>0</v>
      </c>
      <c r="D837" s="14"/>
      <c r="F837" s="9" cm="1">
        <f t="array" ref="F837">SUMPRODUCT((Tablo3[Şehirler]=E837)*(Tablo3[Ürün Kar Tutarı]))</f>
        <v>0</v>
      </c>
      <c r="H837" s="14"/>
      <c r="J837" s="9" cm="1">
        <f t="array" ref="J837">SUMPRODUCT((Tablo3[Urun Ad]=I837)*(Tablo3[Ürün Kar Tutarı]))</f>
        <v>0</v>
      </c>
      <c r="L837" s="37"/>
    </row>
    <row r="838" spans="1:12" x14ac:dyDescent="0.25">
      <c r="A838" s="13"/>
      <c r="B838" s="9" cm="1">
        <f t="array" ref="B838">SUMPRODUCT((Tablo3[Personel Ad]=A838)*(Tablo3[Ürün Kar Tutarı]))</f>
        <v>0</v>
      </c>
      <c r="D838" s="14"/>
      <c r="F838" s="9" cm="1">
        <f t="array" ref="F838">SUMPRODUCT((Tablo3[Şehirler]=E838)*(Tablo3[Ürün Kar Tutarı]))</f>
        <v>0</v>
      </c>
      <c r="H838" s="14"/>
      <c r="J838" s="9" cm="1">
        <f t="array" ref="J838">SUMPRODUCT((Tablo3[Urun Ad]=I838)*(Tablo3[Ürün Kar Tutarı]))</f>
        <v>0</v>
      </c>
      <c r="L838" s="37"/>
    </row>
    <row r="839" spans="1:12" x14ac:dyDescent="0.25">
      <c r="A839" s="13"/>
      <c r="B839" s="9" cm="1">
        <f t="array" ref="B839">SUMPRODUCT((Tablo3[Personel Ad]=A839)*(Tablo3[Ürün Kar Tutarı]))</f>
        <v>0</v>
      </c>
      <c r="D839" s="14"/>
      <c r="F839" s="9" cm="1">
        <f t="array" ref="F839">SUMPRODUCT((Tablo3[Şehirler]=E839)*(Tablo3[Ürün Kar Tutarı]))</f>
        <v>0</v>
      </c>
      <c r="H839" s="14"/>
      <c r="J839" s="9" cm="1">
        <f t="array" ref="J839">SUMPRODUCT((Tablo3[Urun Ad]=I839)*(Tablo3[Ürün Kar Tutarı]))</f>
        <v>0</v>
      </c>
      <c r="L839" s="37"/>
    </row>
    <row r="840" spans="1:12" x14ac:dyDescent="0.25">
      <c r="A840" s="13"/>
      <c r="B840" s="9" cm="1">
        <f t="array" ref="B840">SUMPRODUCT((Tablo3[Personel Ad]=A840)*(Tablo3[Ürün Kar Tutarı]))</f>
        <v>0</v>
      </c>
      <c r="D840" s="14"/>
      <c r="F840" s="9" cm="1">
        <f t="array" ref="F840">SUMPRODUCT((Tablo3[Şehirler]=E840)*(Tablo3[Ürün Kar Tutarı]))</f>
        <v>0</v>
      </c>
      <c r="H840" s="14"/>
      <c r="J840" s="9" cm="1">
        <f t="array" ref="J840">SUMPRODUCT((Tablo3[Urun Ad]=I840)*(Tablo3[Ürün Kar Tutarı]))</f>
        <v>0</v>
      </c>
      <c r="L840" s="37"/>
    </row>
    <row r="841" spans="1:12" x14ac:dyDescent="0.25">
      <c r="A841" s="13"/>
      <c r="B841" s="9" cm="1">
        <f t="array" ref="B841">SUMPRODUCT((Tablo3[Personel Ad]=A841)*(Tablo3[Ürün Kar Tutarı]))</f>
        <v>0</v>
      </c>
      <c r="D841" s="14"/>
      <c r="F841" s="9" cm="1">
        <f t="array" ref="F841">SUMPRODUCT((Tablo3[Şehirler]=E841)*(Tablo3[Ürün Kar Tutarı]))</f>
        <v>0</v>
      </c>
      <c r="H841" s="14"/>
      <c r="J841" s="9" cm="1">
        <f t="array" ref="J841">SUMPRODUCT((Tablo3[Urun Ad]=I841)*(Tablo3[Ürün Kar Tutarı]))</f>
        <v>0</v>
      </c>
      <c r="L841" s="37"/>
    </row>
    <row r="842" spans="1:12" x14ac:dyDescent="0.25">
      <c r="A842" s="13"/>
      <c r="B842" s="9" cm="1">
        <f t="array" ref="B842">SUMPRODUCT((Tablo3[Personel Ad]=A842)*(Tablo3[Ürün Kar Tutarı]))</f>
        <v>0</v>
      </c>
      <c r="D842" s="14"/>
      <c r="F842" s="9" cm="1">
        <f t="array" ref="F842">SUMPRODUCT((Tablo3[Şehirler]=E842)*(Tablo3[Ürün Kar Tutarı]))</f>
        <v>0</v>
      </c>
      <c r="H842" s="14"/>
      <c r="J842" s="9" cm="1">
        <f t="array" ref="J842">SUMPRODUCT((Tablo3[Urun Ad]=I842)*(Tablo3[Ürün Kar Tutarı]))</f>
        <v>0</v>
      </c>
      <c r="L842" s="37"/>
    </row>
    <row r="843" spans="1:12" x14ac:dyDescent="0.25">
      <c r="A843" s="13"/>
      <c r="B843" s="9" cm="1">
        <f t="array" ref="B843">SUMPRODUCT((Tablo3[Personel Ad]=A843)*(Tablo3[Ürün Kar Tutarı]))</f>
        <v>0</v>
      </c>
      <c r="D843" s="14"/>
      <c r="F843" s="9" cm="1">
        <f t="array" ref="F843">SUMPRODUCT((Tablo3[Şehirler]=E843)*(Tablo3[Ürün Kar Tutarı]))</f>
        <v>0</v>
      </c>
      <c r="H843" s="14"/>
      <c r="J843" s="9" cm="1">
        <f t="array" ref="J843">SUMPRODUCT((Tablo3[Urun Ad]=I843)*(Tablo3[Ürün Kar Tutarı]))</f>
        <v>0</v>
      </c>
      <c r="L843" s="37"/>
    </row>
    <row r="844" spans="1:12" x14ac:dyDescent="0.25">
      <c r="A844" s="13"/>
      <c r="B844" s="9" cm="1">
        <f t="array" ref="B844">SUMPRODUCT((Tablo3[Personel Ad]=A844)*(Tablo3[Ürün Kar Tutarı]))</f>
        <v>0</v>
      </c>
      <c r="D844" s="14"/>
      <c r="F844" s="9" cm="1">
        <f t="array" ref="F844">SUMPRODUCT((Tablo3[Şehirler]=E844)*(Tablo3[Ürün Kar Tutarı]))</f>
        <v>0</v>
      </c>
      <c r="H844" s="14"/>
      <c r="J844" s="9" cm="1">
        <f t="array" ref="J844">SUMPRODUCT((Tablo3[Urun Ad]=I844)*(Tablo3[Ürün Kar Tutarı]))</f>
        <v>0</v>
      </c>
      <c r="L844" s="37"/>
    </row>
    <row r="845" spans="1:12" x14ac:dyDescent="0.25">
      <c r="A845" s="13"/>
      <c r="B845" s="9" cm="1">
        <f t="array" ref="B845">SUMPRODUCT((Tablo3[Personel Ad]=A845)*(Tablo3[Ürün Kar Tutarı]))</f>
        <v>0</v>
      </c>
      <c r="D845" s="14"/>
      <c r="F845" s="9" cm="1">
        <f t="array" ref="F845">SUMPRODUCT((Tablo3[Şehirler]=E845)*(Tablo3[Ürün Kar Tutarı]))</f>
        <v>0</v>
      </c>
      <c r="H845" s="14"/>
      <c r="J845" s="9" cm="1">
        <f t="array" ref="J845">SUMPRODUCT((Tablo3[Urun Ad]=I845)*(Tablo3[Ürün Kar Tutarı]))</f>
        <v>0</v>
      </c>
      <c r="L845" s="37"/>
    </row>
    <row r="846" spans="1:12" x14ac:dyDescent="0.25">
      <c r="A846" s="13"/>
      <c r="B846" s="9" cm="1">
        <f t="array" ref="B846">SUMPRODUCT((Tablo3[Personel Ad]=A846)*(Tablo3[Ürün Kar Tutarı]))</f>
        <v>0</v>
      </c>
      <c r="D846" s="14"/>
      <c r="F846" s="9" cm="1">
        <f t="array" ref="F846">SUMPRODUCT((Tablo3[Şehirler]=E846)*(Tablo3[Ürün Kar Tutarı]))</f>
        <v>0</v>
      </c>
      <c r="H846" s="14"/>
      <c r="J846" s="9" cm="1">
        <f t="array" ref="J846">SUMPRODUCT((Tablo3[Urun Ad]=I846)*(Tablo3[Ürün Kar Tutarı]))</f>
        <v>0</v>
      </c>
      <c r="L846" s="37"/>
    </row>
    <row r="847" spans="1:12" x14ac:dyDescent="0.25">
      <c r="A847" s="13"/>
      <c r="B847" s="9" cm="1">
        <f t="array" ref="B847">SUMPRODUCT((Tablo3[Personel Ad]=A847)*(Tablo3[Ürün Kar Tutarı]))</f>
        <v>0</v>
      </c>
      <c r="D847" s="14"/>
      <c r="F847" s="9" cm="1">
        <f t="array" ref="F847">SUMPRODUCT((Tablo3[Şehirler]=E847)*(Tablo3[Ürün Kar Tutarı]))</f>
        <v>0</v>
      </c>
      <c r="H847" s="14"/>
      <c r="J847" s="9" cm="1">
        <f t="array" ref="J847">SUMPRODUCT((Tablo3[Urun Ad]=I847)*(Tablo3[Ürün Kar Tutarı]))</f>
        <v>0</v>
      </c>
      <c r="L847" s="37"/>
    </row>
    <row r="848" spans="1:12" x14ac:dyDescent="0.25">
      <c r="A848" s="13"/>
      <c r="B848" s="9" cm="1">
        <f t="array" ref="B848">SUMPRODUCT((Tablo3[Personel Ad]=A848)*(Tablo3[Ürün Kar Tutarı]))</f>
        <v>0</v>
      </c>
      <c r="D848" s="14"/>
      <c r="F848" s="9" cm="1">
        <f t="array" ref="F848">SUMPRODUCT((Tablo3[Şehirler]=E848)*(Tablo3[Ürün Kar Tutarı]))</f>
        <v>0</v>
      </c>
      <c r="H848" s="14"/>
      <c r="J848" s="9" cm="1">
        <f t="array" ref="J848">SUMPRODUCT((Tablo3[Urun Ad]=I848)*(Tablo3[Ürün Kar Tutarı]))</f>
        <v>0</v>
      </c>
      <c r="L848" s="37"/>
    </row>
    <row r="849" spans="1:12" x14ac:dyDescent="0.25">
      <c r="A849" s="13"/>
      <c r="B849" s="9" cm="1">
        <f t="array" ref="B849">SUMPRODUCT((Tablo3[Personel Ad]=A849)*(Tablo3[Ürün Kar Tutarı]))</f>
        <v>0</v>
      </c>
      <c r="D849" s="14"/>
      <c r="F849" s="9" cm="1">
        <f t="array" ref="F849">SUMPRODUCT((Tablo3[Şehirler]=E849)*(Tablo3[Ürün Kar Tutarı]))</f>
        <v>0</v>
      </c>
      <c r="H849" s="14"/>
      <c r="J849" s="9" cm="1">
        <f t="array" ref="J849">SUMPRODUCT((Tablo3[Urun Ad]=I849)*(Tablo3[Ürün Kar Tutarı]))</f>
        <v>0</v>
      </c>
      <c r="L849" s="37"/>
    </row>
    <row r="850" spans="1:12" x14ac:dyDescent="0.25">
      <c r="A850" s="13"/>
      <c r="B850" s="9" cm="1">
        <f t="array" ref="B850">SUMPRODUCT((Tablo3[Personel Ad]=A850)*(Tablo3[Ürün Kar Tutarı]))</f>
        <v>0</v>
      </c>
      <c r="D850" s="14"/>
      <c r="F850" s="9" cm="1">
        <f t="array" ref="F850">SUMPRODUCT((Tablo3[Şehirler]=E850)*(Tablo3[Ürün Kar Tutarı]))</f>
        <v>0</v>
      </c>
      <c r="H850" s="14"/>
      <c r="J850" s="9" cm="1">
        <f t="array" ref="J850">SUMPRODUCT((Tablo3[Urun Ad]=I850)*(Tablo3[Ürün Kar Tutarı]))</f>
        <v>0</v>
      </c>
      <c r="L850" s="37"/>
    </row>
    <row r="851" spans="1:12" x14ac:dyDescent="0.25">
      <c r="A851" s="13"/>
      <c r="B851" s="9" cm="1">
        <f t="array" ref="B851">SUMPRODUCT((Tablo3[Personel Ad]=A851)*(Tablo3[Ürün Kar Tutarı]))</f>
        <v>0</v>
      </c>
      <c r="D851" s="14"/>
      <c r="F851" s="9" cm="1">
        <f t="array" ref="F851">SUMPRODUCT((Tablo3[Şehirler]=E851)*(Tablo3[Ürün Kar Tutarı]))</f>
        <v>0</v>
      </c>
      <c r="H851" s="14"/>
      <c r="J851" s="9" cm="1">
        <f t="array" ref="J851">SUMPRODUCT((Tablo3[Urun Ad]=I851)*(Tablo3[Ürün Kar Tutarı]))</f>
        <v>0</v>
      </c>
      <c r="L851" s="37"/>
    </row>
    <row r="852" spans="1:12" x14ac:dyDescent="0.25">
      <c r="A852" s="13"/>
      <c r="B852" s="9" cm="1">
        <f t="array" ref="B852">SUMPRODUCT((Tablo3[Personel Ad]=A852)*(Tablo3[Ürün Kar Tutarı]))</f>
        <v>0</v>
      </c>
      <c r="D852" s="14"/>
      <c r="F852" s="9" cm="1">
        <f t="array" ref="F852">SUMPRODUCT((Tablo3[Şehirler]=E852)*(Tablo3[Ürün Kar Tutarı]))</f>
        <v>0</v>
      </c>
      <c r="H852" s="14"/>
      <c r="J852" s="9" cm="1">
        <f t="array" ref="J852">SUMPRODUCT((Tablo3[Urun Ad]=I852)*(Tablo3[Ürün Kar Tutarı]))</f>
        <v>0</v>
      </c>
      <c r="L852" s="37"/>
    </row>
    <row r="853" spans="1:12" x14ac:dyDescent="0.25">
      <c r="A853" s="13"/>
      <c r="B853" s="9" cm="1">
        <f t="array" ref="B853">SUMPRODUCT((Tablo3[Personel Ad]=A853)*(Tablo3[Ürün Kar Tutarı]))</f>
        <v>0</v>
      </c>
      <c r="D853" s="14"/>
      <c r="F853" s="9" cm="1">
        <f t="array" ref="F853">SUMPRODUCT((Tablo3[Şehirler]=E853)*(Tablo3[Ürün Kar Tutarı]))</f>
        <v>0</v>
      </c>
      <c r="H853" s="14"/>
      <c r="J853" s="9" cm="1">
        <f t="array" ref="J853">SUMPRODUCT((Tablo3[Urun Ad]=I853)*(Tablo3[Ürün Kar Tutarı]))</f>
        <v>0</v>
      </c>
      <c r="L853" s="37"/>
    </row>
    <row r="854" spans="1:12" x14ac:dyDescent="0.25">
      <c r="A854" s="13"/>
      <c r="B854" s="9" cm="1">
        <f t="array" ref="B854">SUMPRODUCT((Tablo3[Personel Ad]=A854)*(Tablo3[Ürün Kar Tutarı]))</f>
        <v>0</v>
      </c>
      <c r="D854" s="14"/>
      <c r="F854" s="9" cm="1">
        <f t="array" ref="F854">SUMPRODUCT((Tablo3[Şehirler]=E854)*(Tablo3[Ürün Kar Tutarı]))</f>
        <v>0</v>
      </c>
      <c r="H854" s="14"/>
      <c r="J854" s="9" cm="1">
        <f t="array" ref="J854">SUMPRODUCT((Tablo3[Urun Ad]=I854)*(Tablo3[Ürün Kar Tutarı]))</f>
        <v>0</v>
      </c>
      <c r="L854" s="37"/>
    </row>
    <row r="855" spans="1:12" x14ac:dyDescent="0.25">
      <c r="A855" s="13"/>
      <c r="B855" s="9" cm="1">
        <f t="array" ref="B855">SUMPRODUCT((Tablo3[Personel Ad]=A855)*(Tablo3[Ürün Kar Tutarı]))</f>
        <v>0</v>
      </c>
      <c r="D855" s="14"/>
      <c r="F855" s="9" cm="1">
        <f t="array" ref="F855">SUMPRODUCT((Tablo3[Şehirler]=E855)*(Tablo3[Ürün Kar Tutarı]))</f>
        <v>0</v>
      </c>
      <c r="H855" s="14"/>
      <c r="J855" s="9" cm="1">
        <f t="array" ref="J855">SUMPRODUCT((Tablo3[Urun Ad]=I855)*(Tablo3[Ürün Kar Tutarı]))</f>
        <v>0</v>
      </c>
      <c r="L855" s="37"/>
    </row>
    <row r="856" spans="1:12" x14ac:dyDescent="0.25">
      <c r="A856" s="13"/>
      <c r="B856" s="9" cm="1">
        <f t="array" ref="B856">SUMPRODUCT((Tablo3[Personel Ad]=A856)*(Tablo3[Ürün Kar Tutarı]))</f>
        <v>0</v>
      </c>
      <c r="D856" s="14"/>
      <c r="F856" s="9" cm="1">
        <f t="array" ref="F856">SUMPRODUCT((Tablo3[Şehirler]=E856)*(Tablo3[Ürün Kar Tutarı]))</f>
        <v>0</v>
      </c>
      <c r="H856" s="14"/>
      <c r="J856" s="9" cm="1">
        <f t="array" ref="J856">SUMPRODUCT((Tablo3[Urun Ad]=I856)*(Tablo3[Ürün Kar Tutarı]))</f>
        <v>0</v>
      </c>
      <c r="L856" s="37"/>
    </row>
    <row r="857" spans="1:12" x14ac:dyDescent="0.25">
      <c r="A857" s="13"/>
      <c r="B857" s="9" cm="1">
        <f t="array" ref="B857">SUMPRODUCT((Tablo3[Personel Ad]=A857)*(Tablo3[Ürün Kar Tutarı]))</f>
        <v>0</v>
      </c>
      <c r="D857" s="14"/>
      <c r="F857" s="9" cm="1">
        <f t="array" ref="F857">SUMPRODUCT((Tablo3[Şehirler]=E857)*(Tablo3[Ürün Kar Tutarı]))</f>
        <v>0</v>
      </c>
      <c r="H857" s="14"/>
      <c r="J857" s="9" cm="1">
        <f t="array" ref="J857">SUMPRODUCT((Tablo3[Urun Ad]=I857)*(Tablo3[Ürün Kar Tutarı]))</f>
        <v>0</v>
      </c>
      <c r="L857" s="37"/>
    </row>
    <row r="858" spans="1:12" x14ac:dyDescent="0.25">
      <c r="A858" s="13"/>
      <c r="B858" s="9" cm="1">
        <f t="array" ref="B858">SUMPRODUCT((Tablo3[Personel Ad]=A858)*(Tablo3[Ürün Kar Tutarı]))</f>
        <v>0</v>
      </c>
      <c r="D858" s="14"/>
      <c r="F858" s="9" cm="1">
        <f t="array" ref="F858">SUMPRODUCT((Tablo3[Şehirler]=E858)*(Tablo3[Ürün Kar Tutarı]))</f>
        <v>0</v>
      </c>
      <c r="H858" s="14"/>
      <c r="J858" s="9" cm="1">
        <f t="array" ref="J858">SUMPRODUCT((Tablo3[Urun Ad]=I858)*(Tablo3[Ürün Kar Tutarı]))</f>
        <v>0</v>
      </c>
      <c r="L858" s="37"/>
    </row>
    <row r="859" spans="1:12" x14ac:dyDescent="0.25">
      <c r="A859" s="13"/>
      <c r="B859" s="9" cm="1">
        <f t="array" ref="B859">SUMPRODUCT((Tablo3[Personel Ad]=A859)*(Tablo3[Ürün Kar Tutarı]))</f>
        <v>0</v>
      </c>
      <c r="D859" s="14"/>
      <c r="F859" s="9" cm="1">
        <f t="array" ref="F859">SUMPRODUCT((Tablo3[Şehirler]=E859)*(Tablo3[Ürün Kar Tutarı]))</f>
        <v>0</v>
      </c>
      <c r="H859" s="14"/>
      <c r="J859" s="9" cm="1">
        <f t="array" ref="J859">SUMPRODUCT((Tablo3[Urun Ad]=I859)*(Tablo3[Ürün Kar Tutarı]))</f>
        <v>0</v>
      </c>
      <c r="L859" s="37"/>
    </row>
    <row r="860" spans="1:12" x14ac:dyDescent="0.25">
      <c r="A860" s="13"/>
      <c r="B860" s="9" cm="1">
        <f t="array" ref="B860">SUMPRODUCT((Tablo3[Personel Ad]=A860)*(Tablo3[Ürün Kar Tutarı]))</f>
        <v>0</v>
      </c>
      <c r="D860" s="14"/>
      <c r="F860" s="9" cm="1">
        <f t="array" ref="F860">SUMPRODUCT((Tablo3[Şehirler]=E860)*(Tablo3[Ürün Kar Tutarı]))</f>
        <v>0</v>
      </c>
      <c r="H860" s="14"/>
      <c r="J860" s="9" cm="1">
        <f t="array" ref="J860">SUMPRODUCT((Tablo3[Urun Ad]=I860)*(Tablo3[Ürün Kar Tutarı]))</f>
        <v>0</v>
      </c>
      <c r="L860" s="37"/>
    </row>
    <row r="861" spans="1:12" x14ac:dyDescent="0.25">
      <c r="A861" s="13"/>
      <c r="B861" s="9" cm="1">
        <f t="array" ref="B861">SUMPRODUCT((Tablo3[Personel Ad]=A861)*(Tablo3[Ürün Kar Tutarı]))</f>
        <v>0</v>
      </c>
      <c r="D861" s="14"/>
      <c r="F861" s="9" cm="1">
        <f t="array" ref="F861">SUMPRODUCT((Tablo3[Şehirler]=E861)*(Tablo3[Ürün Kar Tutarı]))</f>
        <v>0</v>
      </c>
      <c r="H861" s="14"/>
      <c r="J861" s="9" cm="1">
        <f t="array" ref="J861">SUMPRODUCT((Tablo3[Urun Ad]=I861)*(Tablo3[Ürün Kar Tutarı]))</f>
        <v>0</v>
      </c>
      <c r="L861" s="37"/>
    </row>
    <row r="862" spans="1:12" x14ac:dyDescent="0.25">
      <c r="A862" s="13"/>
      <c r="B862" s="9" cm="1">
        <f t="array" ref="B862">SUMPRODUCT((Tablo3[Personel Ad]=A862)*(Tablo3[Ürün Kar Tutarı]))</f>
        <v>0</v>
      </c>
      <c r="D862" s="14"/>
      <c r="F862" s="9" cm="1">
        <f t="array" ref="F862">SUMPRODUCT((Tablo3[Şehirler]=E862)*(Tablo3[Ürün Kar Tutarı]))</f>
        <v>0</v>
      </c>
      <c r="H862" s="14"/>
      <c r="J862" s="9" cm="1">
        <f t="array" ref="J862">SUMPRODUCT((Tablo3[Urun Ad]=I862)*(Tablo3[Ürün Kar Tutarı]))</f>
        <v>0</v>
      </c>
      <c r="L862" s="37"/>
    </row>
    <row r="863" spans="1:12" x14ac:dyDescent="0.25">
      <c r="A863" s="13"/>
      <c r="B863" s="9" cm="1">
        <f t="array" ref="B863">SUMPRODUCT((Tablo3[Personel Ad]=A863)*(Tablo3[Ürün Kar Tutarı]))</f>
        <v>0</v>
      </c>
      <c r="D863" s="14"/>
      <c r="F863" s="9" cm="1">
        <f t="array" ref="F863">SUMPRODUCT((Tablo3[Şehirler]=E863)*(Tablo3[Ürün Kar Tutarı]))</f>
        <v>0</v>
      </c>
      <c r="H863" s="14"/>
      <c r="J863" s="9" cm="1">
        <f t="array" ref="J863">SUMPRODUCT((Tablo3[Urun Ad]=I863)*(Tablo3[Ürün Kar Tutarı]))</f>
        <v>0</v>
      </c>
      <c r="L863" s="37"/>
    </row>
    <row r="864" spans="1:12" x14ac:dyDescent="0.25">
      <c r="A864" s="13"/>
      <c r="B864" s="9" cm="1">
        <f t="array" ref="B864">SUMPRODUCT((Tablo3[Personel Ad]=A864)*(Tablo3[Ürün Kar Tutarı]))</f>
        <v>0</v>
      </c>
      <c r="D864" s="14"/>
      <c r="F864" s="9" cm="1">
        <f t="array" ref="F864">SUMPRODUCT((Tablo3[Şehirler]=E864)*(Tablo3[Ürün Kar Tutarı]))</f>
        <v>0</v>
      </c>
      <c r="H864" s="14"/>
      <c r="J864" s="9" cm="1">
        <f t="array" ref="J864">SUMPRODUCT((Tablo3[Urun Ad]=I864)*(Tablo3[Ürün Kar Tutarı]))</f>
        <v>0</v>
      </c>
      <c r="L864" s="37"/>
    </row>
    <row r="865" spans="1:12" x14ac:dyDescent="0.25">
      <c r="A865" s="13"/>
      <c r="B865" s="9" cm="1">
        <f t="array" ref="B865">SUMPRODUCT((Tablo3[Personel Ad]=A865)*(Tablo3[Ürün Kar Tutarı]))</f>
        <v>0</v>
      </c>
      <c r="D865" s="14"/>
      <c r="F865" s="9" cm="1">
        <f t="array" ref="F865">SUMPRODUCT((Tablo3[Şehirler]=E865)*(Tablo3[Ürün Kar Tutarı]))</f>
        <v>0</v>
      </c>
      <c r="H865" s="14"/>
      <c r="J865" s="9" cm="1">
        <f t="array" ref="J865">SUMPRODUCT((Tablo3[Urun Ad]=I865)*(Tablo3[Ürün Kar Tutarı]))</f>
        <v>0</v>
      </c>
      <c r="L865" s="37"/>
    </row>
    <row r="866" spans="1:12" x14ac:dyDescent="0.25">
      <c r="A866" s="13"/>
      <c r="B866" s="9" cm="1">
        <f t="array" ref="B866">SUMPRODUCT((Tablo3[Personel Ad]=A866)*(Tablo3[Ürün Kar Tutarı]))</f>
        <v>0</v>
      </c>
      <c r="D866" s="14"/>
      <c r="F866" s="9" cm="1">
        <f t="array" ref="F866">SUMPRODUCT((Tablo3[Şehirler]=E866)*(Tablo3[Ürün Kar Tutarı]))</f>
        <v>0</v>
      </c>
      <c r="H866" s="14"/>
      <c r="J866" s="9" cm="1">
        <f t="array" ref="J866">SUMPRODUCT((Tablo3[Urun Ad]=I866)*(Tablo3[Ürün Kar Tutarı]))</f>
        <v>0</v>
      </c>
      <c r="L866" s="37"/>
    </row>
    <row r="867" spans="1:12" x14ac:dyDescent="0.25">
      <c r="A867" s="13"/>
      <c r="B867" s="9" cm="1">
        <f t="array" ref="B867">SUMPRODUCT((Tablo3[Personel Ad]=A867)*(Tablo3[Ürün Kar Tutarı]))</f>
        <v>0</v>
      </c>
      <c r="D867" s="14"/>
      <c r="F867" s="9" cm="1">
        <f t="array" ref="F867">SUMPRODUCT((Tablo3[Şehirler]=E867)*(Tablo3[Ürün Kar Tutarı]))</f>
        <v>0</v>
      </c>
      <c r="H867" s="14"/>
      <c r="J867" s="9" cm="1">
        <f t="array" ref="J867">SUMPRODUCT((Tablo3[Urun Ad]=I867)*(Tablo3[Ürün Kar Tutarı]))</f>
        <v>0</v>
      </c>
      <c r="L867" s="37"/>
    </row>
    <row r="868" spans="1:12" x14ac:dyDescent="0.25">
      <c r="A868" s="13"/>
      <c r="B868" s="9" cm="1">
        <f t="array" ref="B868">SUMPRODUCT((Tablo3[Personel Ad]=A868)*(Tablo3[Ürün Kar Tutarı]))</f>
        <v>0</v>
      </c>
      <c r="D868" s="14"/>
      <c r="F868" s="9" cm="1">
        <f t="array" ref="F868">SUMPRODUCT((Tablo3[Şehirler]=E868)*(Tablo3[Ürün Kar Tutarı]))</f>
        <v>0</v>
      </c>
      <c r="H868" s="14"/>
      <c r="J868" s="9" cm="1">
        <f t="array" ref="J868">SUMPRODUCT((Tablo3[Urun Ad]=I868)*(Tablo3[Ürün Kar Tutarı]))</f>
        <v>0</v>
      </c>
      <c r="L868" s="37"/>
    </row>
    <row r="869" spans="1:12" x14ac:dyDescent="0.25">
      <c r="A869" s="13"/>
      <c r="B869" s="9" cm="1">
        <f t="array" ref="B869">SUMPRODUCT((Tablo3[Personel Ad]=A869)*(Tablo3[Ürün Kar Tutarı]))</f>
        <v>0</v>
      </c>
      <c r="D869" s="14"/>
      <c r="F869" s="9" cm="1">
        <f t="array" ref="F869">SUMPRODUCT((Tablo3[Şehirler]=E869)*(Tablo3[Ürün Kar Tutarı]))</f>
        <v>0</v>
      </c>
      <c r="H869" s="14"/>
      <c r="J869" s="9" cm="1">
        <f t="array" ref="J869">SUMPRODUCT((Tablo3[Urun Ad]=I869)*(Tablo3[Ürün Kar Tutarı]))</f>
        <v>0</v>
      </c>
      <c r="L869" s="37"/>
    </row>
    <row r="870" spans="1:12" x14ac:dyDescent="0.25">
      <c r="A870" s="13"/>
      <c r="B870" s="9" cm="1">
        <f t="array" ref="B870">SUMPRODUCT((Tablo3[Personel Ad]=A870)*(Tablo3[Ürün Kar Tutarı]))</f>
        <v>0</v>
      </c>
      <c r="D870" s="14"/>
      <c r="F870" s="9" cm="1">
        <f t="array" ref="F870">SUMPRODUCT((Tablo3[Şehirler]=E870)*(Tablo3[Ürün Kar Tutarı]))</f>
        <v>0</v>
      </c>
      <c r="H870" s="14"/>
      <c r="J870" s="9" cm="1">
        <f t="array" ref="J870">SUMPRODUCT((Tablo3[Urun Ad]=I870)*(Tablo3[Ürün Kar Tutarı]))</f>
        <v>0</v>
      </c>
      <c r="L870" s="37"/>
    </row>
    <row r="871" spans="1:12" x14ac:dyDescent="0.25">
      <c r="A871" s="13"/>
      <c r="B871" s="9" cm="1">
        <f t="array" ref="B871">SUMPRODUCT((Tablo3[Personel Ad]=A871)*(Tablo3[Ürün Kar Tutarı]))</f>
        <v>0</v>
      </c>
      <c r="D871" s="14"/>
      <c r="F871" s="9" cm="1">
        <f t="array" ref="F871">SUMPRODUCT((Tablo3[Şehirler]=E871)*(Tablo3[Ürün Kar Tutarı]))</f>
        <v>0</v>
      </c>
      <c r="H871" s="14"/>
      <c r="J871" s="9" cm="1">
        <f t="array" ref="J871">SUMPRODUCT((Tablo3[Urun Ad]=I871)*(Tablo3[Ürün Kar Tutarı]))</f>
        <v>0</v>
      </c>
      <c r="L871" s="37"/>
    </row>
    <row r="872" spans="1:12" x14ac:dyDescent="0.25">
      <c r="A872" s="13"/>
      <c r="B872" s="9" cm="1">
        <f t="array" ref="B872">SUMPRODUCT((Tablo3[Personel Ad]=A872)*(Tablo3[Ürün Kar Tutarı]))</f>
        <v>0</v>
      </c>
      <c r="D872" s="14"/>
      <c r="F872" s="9" cm="1">
        <f t="array" ref="F872">SUMPRODUCT((Tablo3[Şehirler]=E872)*(Tablo3[Ürün Kar Tutarı]))</f>
        <v>0</v>
      </c>
      <c r="H872" s="14"/>
      <c r="J872" s="9" cm="1">
        <f t="array" ref="J872">SUMPRODUCT((Tablo3[Urun Ad]=I872)*(Tablo3[Ürün Kar Tutarı]))</f>
        <v>0</v>
      </c>
      <c r="L872" s="37"/>
    </row>
    <row r="873" spans="1:12" x14ac:dyDescent="0.25">
      <c r="A873" s="13"/>
      <c r="B873" s="9" cm="1">
        <f t="array" ref="B873">SUMPRODUCT((Tablo3[Personel Ad]=A873)*(Tablo3[Ürün Kar Tutarı]))</f>
        <v>0</v>
      </c>
      <c r="D873" s="14"/>
      <c r="F873" s="9" cm="1">
        <f t="array" ref="F873">SUMPRODUCT((Tablo3[Şehirler]=E873)*(Tablo3[Ürün Kar Tutarı]))</f>
        <v>0</v>
      </c>
      <c r="H873" s="14"/>
      <c r="J873" s="9" cm="1">
        <f t="array" ref="J873">SUMPRODUCT((Tablo3[Urun Ad]=I873)*(Tablo3[Ürün Kar Tutarı]))</f>
        <v>0</v>
      </c>
      <c r="L873" s="37"/>
    </row>
    <row r="874" spans="1:12" x14ac:dyDescent="0.25">
      <c r="A874" s="13"/>
      <c r="B874" s="9" cm="1">
        <f t="array" ref="B874">SUMPRODUCT((Tablo3[Personel Ad]=A874)*(Tablo3[Ürün Kar Tutarı]))</f>
        <v>0</v>
      </c>
      <c r="D874" s="14"/>
      <c r="F874" s="9" cm="1">
        <f t="array" ref="F874">SUMPRODUCT((Tablo3[Şehirler]=E874)*(Tablo3[Ürün Kar Tutarı]))</f>
        <v>0</v>
      </c>
      <c r="H874" s="14"/>
      <c r="J874" s="9" cm="1">
        <f t="array" ref="J874">SUMPRODUCT((Tablo3[Urun Ad]=I874)*(Tablo3[Ürün Kar Tutarı]))</f>
        <v>0</v>
      </c>
      <c r="L874" s="37"/>
    </row>
    <row r="875" spans="1:12" x14ac:dyDescent="0.25">
      <c r="A875" s="13"/>
      <c r="B875" s="9" cm="1">
        <f t="array" ref="B875">SUMPRODUCT((Tablo3[Personel Ad]=A875)*(Tablo3[Ürün Kar Tutarı]))</f>
        <v>0</v>
      </c>
      <c r="D875" s="14"/>
      <c r="F875" s="9" cm="1">
        <f t="array" ref="F875">SUMPRODUCT((Tablo3[Şehirler]=E875)*(Tablo3[Ürün Kar Tutarı]))</f>
        <v>0</v>
      </c>
      <c r="H875" s="14"/>
      <c r="J875" s="9" cm="1">
        <f t="array" ref="J875">SUMPRODUCT((Tablo3[Urun Ad]=I875)*(Tablo3[Ürün Kar Tutarı]))</f>
        <v>0</v>
      </c>
      <c r="L875" s="37"/>
    </row>
    <row r="876" spans="1:12" x14ac:dyDescent="0.25">
      <c r="A876" s="13"/>
      <c r="B876" s="9" cm="1">
        <f t="array" ref="B876">SUMPRODUCT((Tablo3[Personel Ad]=A876)*(Tablo3[Ürün Kar Tutarı]))</f>
        <v>0</v>
      </c>
      <c r="D876" s="14"/>
      <c r="F876" s="9" cm="1">
        <f t="array" ref="F876">SUMPRODUCT((Tablo3[Şehirler]=E876)*(Tablo3[Ürün Kar Tutarı]))</f>
        <v>0</v>
      </c>
      <c r="H876" s="14"/>
      <c r="J876" s="9" cm="1">
        <f t="array" ref="J876">SUMPRODUCT((Tablo3[Urun Ad]=I876)*(Tablo3[Ürün Kar Tutarı]))</f>
        <v>0</v>
      </c>
      <c r="L876" s="37"/>
    </row>
    <row r="877" spans="1:12" x14ac:dyDescent="0.25">
      <c r="A877" s="13"/>
      <c r="B877" s="9" cm="1">
        <f t="array" ref="B877">SUMPRODUCT((Tablo3[Personel Ad]=A877)*(Tablo3[Ürün Kar Tutarı]))</f>
        <v>0</v>
      </c>
      <c r="D877" s="14"/>
      <c r="F877" s="9" cm="1">
        <f t="array" ref="F877">SUMPRODUCT((Tablo3[Şehirler]=E877)*(Tablo3[Ürün Kar Tutarı]))</f>
        <v>0</v>
      </c>
      <c r="H877" s="14"/>
      <c r="J877" s="9" cm="1">
        <f t="array" ref="J877">SUMPRODUCT((Tablo3[Urun Ad]=I877)*(Tablo3[Ürün Kar Tutarı]))</f>
        <v>0</v>
      </c>
      <c r="L877" s="37"/>
    </row>
    <row r="878" spans="1:12" x14ac:dyDescent="0.25">
      <c r="A878" s="13"/>
      <c r="B878" s="9" cm="1">
        <f t="array" ref="B878">SUMPRODUCT((Tablo3[Personel Ad]=A878)*(Tablo3[Ürün Kar Tutarı]))</f>
        <v>0</v>
      </c>
      <c r="D878" s="14"/>
      <c r="F878" s="9" cm="1">
        <f t="array" ref="F878">SUMPRODUCT((Tablo3[Şehirler]=E878)*(Tablo3[Ürün Kar Tutarı]))</f>
        <v>0</v>
      </c>
      <c r="H878" s="14"/>
      <c r="J878" s="9" cm="1">
        <f t="array" ref="J878">SUMPRODUCT((Tablo3[Urun Ad]=I878)*(Tablo3[Ürün Kar Tutarı]))</f>
        <v>0</v>
      </c>
      <c r="L878" s="37"/>
    </row>
    <row r="879" spans="1:12" x14ac:dyDescent="0.25">
      <c r="A879" s="13"/>
      <c r="B879" s="9" cm="1">
        <f t="array" ref="B879">SUMPRODUCT((Tablo3[Personel Ad]=A879)*(Tablo3[Ürün Kar Tutarı]))</f>
        <v>0</v>
      </c>
      <c r="D879" s="14"/>
      <c r="F879" s="9" cm="1">
        <f t="array" ref="F879">SUMPRODUCT((Tablo3[Şehirler]=E879)*(Tablo3[Ürün Kar Tutarı]))</f>
        <v>0</v>
      </c>
      <c r="H879" s="14"/>
      <c r="J879" s="9" cm="1">
        <f t="array" ref="J879">SUMPRODUCT((Tablo3[Urun Ad]=I879)*(Tablo3[Ürün Kar Tutarı]))</f>
        <v>0</v>
      </c>
      <c r="L879" s="37"/>
    </row>
    <row r="880" spans="1:12" x14ac:dyDescent="0.25">
      <c r="A880" s="13"/>
      <c r="B880" s="9" cm="1">
        <f t="array" ref="B880">SUMPRODUCT((Tablo3[Personel Ad]=A880)*(Tablo3[Ürün Kar Tutarı]))</f>
        <v>0</v>
      </c>
      <c r="D880" s="14"/>
      <c r="F880" s="9" cm="1">
        <f t="array" ref="F880">SUMPRODUCT((Tablo3[Şehirler]=E880)*(Tablo3[Ürün Kar Tutarı]))</f>
        <v>0</v>
      </c>
      <c r="H880" s="14"/>
      <c r="J880" s="9" cm="1">
        <f t="array" ref="J880">SUMPRODUCT((Tablo3[Urun Ad]=I880)*(Tablo3[Ürün Kar Tutarı]))</f>
        <v>0</v>
      </c>
      <c r="L880" s="37"/>
    </row>
    <row r="881" spans="1:12" x14ac:dyDescent="0.25">
      <c r="A881" s="13"/>
      <c r="B881" s="9" cm="1">
        <f t="array" ref="B881">SUMPRODUCT((Tablo3[Personel Ad]=A881)*(Tablo3[Ürün Kar Tutarı]))</f>
        <v>0</v>
      </c>
      <c r="D881" s="14"/>
      <c r="F881" s="9" cm="1">
        <f t="array" ref="F881">SUMPRODUCT((Tablo3[Şehirler]=E881)*(Tablo3[Ürün Kar Tutarı]))</f>
        <v>0</v>
      </c>
      <c r="H881" s="14"/>
      <c r="J881" s="9" cm="1">
        <f t="array" ref="J881">SUMPRODUCT((Tablo3[Urun Ad]=I881)*(Tablo3[Ürün Kar Tutarı]))</f>
        <v>0</v>
      </c>
      <c r="L881" s="37"/>
    </row>
    <row r="882" spans="1:12" x14ac:dyDescent="0.25">
      <c r="A882" s="13"/>
      <c r="B882" s="9" cm="1">
        <f t="array" ref="B882">SUMPRODUCT((Tablo3[Personel Ad]=A882)*(Tablo3[Ürün Kar Tutarı]))</f>
        <v>0</v>
      </c>
      <c r="D882" s="14"/>
      <c r="F882" s="9" cm="1">
        <f t="array" ref="F882">SUMPRODUCT((Tablo3[Şehirler]=E882)*(Tablo3[Ürün Kar Tutarı]))</f>
        <v>0</v>
      </c>
      <c r="H882" s="14"/>
      <c r="J882" s="9" cm="1">
        <f t="array" ref="J882">SUMPRODUCT((Tablo3[Urun Ad]=I882)*(Tablo3[Ürün Kar Tutarı]))</f>
        <v>0</v>
      </c>
      <c r="L882" s="37"/>
    </row>
    <row r="883" spans="1:12" x14ac:dyDescent="0.25">
      <c r="A883" s="13"/>
      <c r="B883" s="9" cm="1">
        <f t="array" ref="B883">SUMPRODUCT((Tablo3[Personel Ad]=A883)*(Tablo3[Ürün Kar Tutarı]))</f>
        <v>0</v>
      </c>
      <c r="D883" s="14"/>
      <c r="F883" s="9" cm="1">
        <f t="array" ref="F883">SUMPRODUCT((Tablo3[Şehirler]=E883)*(Tablo3[Ürün Kar Tutarı]))</f>
        <v>0</v>
      </c>
      <c r="H883" s="14"/>
      <c r="J883" s="9" cm="1">
        <f t="array" ref="J883">SUMPRODUCT((Tablo3[Urun Ad]=I883)*(Tablo3[Ürün Kar Tutarı]))</f>
        <v>0</v>
      </c>
      <c r="L883" s="37"/>
    </row>
    <row r="884" spans="1:12" x14ac:dyDescent="0.25">
      <c r="A884" s="13"/>
      <c r="B884" s="9" cm="1">
        <f t="array" ref="B884">SUMPRODUCT((Tablo3[Personel Ad]=A884)*(Tablo3[Ürün Kar Tutarı]))</f>
        <v>0</v>
      </c>
      <c r="D884" s="14"/>
      <c r="F884" s="9" cm="1">
        <f t="array" ref="F884">SUMPRODUCT((Tablo3[Şehirler]=E884)*(Tablo3[Ürün Kar Tutarı]))</f>
        <v>0</v>
      </c>
      <c r="H884" s="14"/>
      <c r="J884" s="9" cm="1">
        <f t="array" ref="J884">SUMPRODUCT((Tablo3[Urun Ad]=I884)*(Tablo3[Ürün Kar Tutarı]))</f>
        <v>0</v>
      </c>
      <c r="L884" s="37"/>
    </row>
    <row r="885" spans="1:12" x14ac:dyDescent="0.25">
      <c r="A885" s="13"/>
      <c r="B885" s="9" cm="1">
        <f t="array" ref="B885">SUMPRODUCT((Tablo3[Personel Ad]=A885)*(Tablo3[Ürün Kar Tutarı]))</f>
        <v>0</v>
      </c>
      <c r="D885" s="14"/>
      <c r="F885" s="9" cm="1">
        <f t="array" ref="F885">SUMPRODUCT((Tablo3[Şehirler]=E885)*(Tablo3[Ürün Kar Tutarı]))</f>
        <v>0</v>
      </c>
      <c r="H885" s="14"/>
      <c r="J885" s="9" cm="1">
        <f t="array" ref="J885">SUMPRODUCT((Tablo3[Urun Ad]=I885)*(Tablo3[Ürün Kar Tutarı]))</f>
        <v>0</v>
      </c>
      <c r="L885" s="37"/>
    </row>
    <row r="886" spans="1:12" x14ac:dyDescent="0.25">
      <c r="A886" s="13"/>
      <c r="B886" s="9" cm="1">
        <f t="array" ref="B886">SUMPRODUCT((Tablo3[Personel Ad]=A886)*(Tablo3[Ürün Kar Tutarı]))</f>
        <v>0</v>
      </c>
      <c r="D886" s="14"/>
      <c r="F886" s="9" cm="1">
        <f t="array" ref="F886">SUMPRODUCT((Tablo3[Şehirler]=E886)*(Tablo3[Ürün Kar Tutarı]))</f>
        <v>0</v>
      </c>
      <c r="H886" s="14"/>
      <c r="J886" s="9" cm="1">
        <f t="array" ref="J886">SUMPRODUCT((Tablo3[Urun Ad]=I886)*(Tablo3[Ürün Kar Tutarı]))</f>
        <v>0</v>
      </c>
      <c r="L886" s="37"/>
    </row>
    <row r="887" spans="1:12" x14ac:dyDescent="0.25">
      <c r="A887" s="13"/>
      <c r="B887" s="9" cm="1">
        <f t="array" ref="B887">SUMPRODUCT((Tablo3[Personel Ad]=A887)*(Tablo3[Ürün Kar Tutarı]))</f>
        <v>0</v>
      </c>
      <c r="D887" s="14"/>
      <c r="F887" s="9" cm="1">
        <f t="array" ref="F887">SUMPRODUCT((Tablo3[Şehirler]=E887)*(Tablo3[Ürün Kar Tutarı]))</f>
        <v>0</v>
      </c>
      <c r="H887" s="14"/>
      <c r="J887" s="9" cm="1">
        <f t="array" ref="J887">SUMPRODUCT((Tablo3[Urun Ad]=I887)*(Tablo3[Ürün Kar Tutarı]))</f>
        <v>0</v>
      </c>
      <c r="L887" s="37"/>
    </row>
    <row r="888" spans="1:12" x14ac:dyDescent="0.25">
      <c r="A888" s="13"/>
      <c r="B888" s="9" cm="1">
        <f t="array" ref="B888">SUMPRODUCT((Tablo3[Personel Ad]=A888)*(Tablo3[Ürün Kar Tutarı]))</f>
        <v>0</v>
      </c>
      <c r="D888" s="14"/>
      <c r="F888" s="9" cm="1">
        <f t="array" ref="F888">SUMPRODUCT((Tablo3[Şehirler]=E888)*(Tablo3[Ürün Kar Tutarı]))</f>
        <v>0</v>
      </c>
      <c r="H888" s="14"/>
      <c r="J888" s="9" cm="1">
        <f t="array" ref="J888">SUMPRODUCT((Tablo3[Urun Ad]=I888)*(Tablo3[Ürün Kar Tutarı]))</f>
        <v>0</v>
      </c>
      <c r="L888" s="37"/>
    </row>
    <row r="889" spans="1:12" x14ac:dyDescent="0.25">
      <c r="A889" s="13"/>
      <c r="B889" s="9" cm="1">
        <f t="array" ref="B889">SUMPRODUCT((Tablo3[Personel Ad]=A889)*(Tablo3[Ürün Kar Tutarı]))</f>
        <v>0</v>
      </c>
      <c r="D889" s="14"/>
      <c r="F889" s="9" cm="1">
        <f t="array" ref="F889">SUMPRODUCT((Tablo3[Şehirler]=E889)*(Tablo3[Ürün Kar Tutarı]))</f>
        <v>0</v>
      </c>
      <c r="H889" s="14"/>
      <c r="J889" s="9" cm="1">
        <f t="array" ref="J889">SUMPRODUCT((Tablo3[Urun Ad]=I889)*(Tablo3[Ürün Kar Tutarı]))</f>
        <v>0</v>
      </c>
      <c r="L889" s="37"/>
    </row>
    <row r="890" spans="1:12" x14ac:dyDescent="0.25">
      <c r="A890" s="13"/>
      <c r="B890" s="9" cm="1">
        <f t="array" ref="B890">SUMPRODUCT((Tablo3[Personel Ad]=A890)*(Tablo3[Ürün Kar Tutarı]))</f>
        <v>0</v>
      </c>
      <c r="D890" s="14"/>
      <c r="F890" s="9" cm="1">
        <f t="array" ref="F890">SUMPRODUCT((Tablo3[Şehirler]=E890)*(Tablo3[Ürün Kar Tutarı]))</f>
        <v>0</v>
      </c>
      <c r="H890" s="14"/>
      <c r="J890" s="9" cm="1">
        <f t="array" ref="J890">SUMPRODUCT((Tablo3[Urun Ad]=I890)*(Tablo3[Ürün Kar Tutarı]))</f>
        <v>0</v>
      </c>
      <c r="L890" s="37"/>
    </row>
    <row r="891" spans="1:12" x14ac:dyDescent="0.25">
      <c r="A891" s="13"/>
      <c r="B891" s="9" cm="1">
        <f t="array" ref="B891">SUMPRODUCT((Tablo3[Personel Ad]=A891)*(Tablo3[Ürün Kar Tutarı]))</f>
        <v>0</v>
      </c>
      <c r="D891" s="14"/>
      <c r="F891" s="9" cm="1">
        <f t="array" ref="F891">SUMPRODUCT((Tablo3[Şehirler]=E891)*(Tablo3[Ürün Kar Tutarı]))</f>
        <v>0</v>
      </c>
      <c r="H891" s="14"/>
      <c r="J891" s="9" cm="1">
        <f t="array" ref="J891">SUMPRODUCT((Tablo3[Urun Ad]=I891)*(Tablo3[Ürün Kar Tutarı]))</f>
        <v>0</v>
      </c>
      <c r="L891" s="37"/>
    </row>
    <row r="892" spans="1:12" x14ac:dyDescent="0.25">
      <c r="A892" s="13"/>
      <c r="B892" s="9" cm="1">
        <f t="array" ref="B892">SUMPRODUCT((Tablo3[Personel Ad]=A892)*(Tablo3[Ürün Kar Tutarı]))</f>
        <v>0</v>
      </c>
      <c r="D892" s="14"/>
      <c r="F892" s="9" cm="1">
        <f t="array" ref="F892">SUMPRODUCT((Tablo3[Şehirler]=E892)*(Tablo3[Ürün Kar Tutarı]))</f>
        <v>0</v>
      </c>
      <c r="H892" s="14"/>
      <c r="J892" s="9" cm="1">
        <f t="array" ref="J892">SUMPRODUCT((Tablo3[Urun Ad]=I892)*(Tablo3[Ürün Kar Tutarı]))</f>
        <v>0</v>
      </c>
      <c r="L892" s="37"/>
    </row>
    <row r="893" spans="1:12" x14ac:dyDescent="0.25">
      <c r="A893" s="13"/>
      <c r="B893" s="9" cm="1">
        <f t="array" ref="B893">SUMPRODUCT((Tablo3[Personel Ad]=A893)*(Tablo3[Ürün Kar Tutarı]))</f>
        <v>0</v>
      </c>
      <c r="D893" s="14"/>
      <c r="F893" s="9" cm="1">
        <f t="array" ref="F893">SUMPRODUCT((Tablo3[Şehirler]=E893)*(Tablo3[Ürün Kar Tutarı]))</f>
        <v>0</v>
      </c>
      <c r="H893" s="14"/>
      <c r="J893" s="9" cm="1">
        <f t="array" ref="J893">SUMPRODUCT((Tablo3[Urun Ad]=I893)*(Tablo3[Ürün Kar Tutarı]))</f>
        <v>0</v>
      </c>
      <c r="L893" s="37"/>
    </row>
    <row r="894" spans="1:12" x14ac:dyDescent="0.25">
      <c r="A894" s="13"/>
      <c r="B894" s="9" cm="1">
        <f t="array" ref="B894">SUMPRODUCT((Tablo3[Personel Ad]=A894)*(Tablo3[Ürün Kar Tutarı]))</f>
        <v>0</v>
      </c>
      <c r="D894" s="14"/>
      <c r="F894" s="9" cm="1">
        <f t="array" ref="F894">SUMPRODUCT((Tablo3[Şehirler]=E894)*(Tablo3[Ürün Kar Tutarı]))</f>
        <v>0</v>
      </c>
      <c r="H894" s="14"/>
      <c r="J894" s="9" cm="1">
        <f t="array" ref="J894">SUMPRODUCT((Tablo3[Urun Ad]=I894)*(Tablo3[Ürün Kar Tutarı]))</f>
        <v>0</v>
      </c>
      <c r="L894" s="37"/>
    </row>
    <row r="895" spans="1:12" x14ac:dyDescent="0.25">
      <c r="A895" s="13"/>
      <c r="B895" s="9" cm="1">
        <f t="array" ref="B895">SUMPRODUCT((Tablo3[Personel Ad]=A895)*(Tablo3[Ürün Kar Tutarı]))</f>
        <v>0</v>
      </c>
      <c r="D895" s="14"/>
      <c r="F895" s="9" cm="1">
        <f t="array" ref="F895">SUMPRODUCT((Tablo3[Şehirler]=E895)*(Tablo3[Ürün Kar Tutarı]))</f>
        <v>0</v>
      </c>
      <c r="H895" s="14"/>
      <c r="J895" s="9" cm="1">
        <f t="array" ref="J895">SUMPRODUCT((Tablo3[Urun Ad]=I895)*(Tablo3[Ürün Kar Tutarı]))</f>
        <v>0</v>
      </c>
      <c r="L895" s="37"/>
    </row>
    <row r="896" spans="1:12" x14ac:dyDescent="0.25">
      <c r="A896" s="13"/>
      <c r="B896" s="9" cm="1">
        <f t="array" ref="B896">SUMPRODUCT((Tablo3[Personel Ad]=A896)*(Tablo3[Ürün Kar Tutarı]))</f>
        <v>0</v>
      </c>
      <c r="D896" s="14"/>
      <c r="F896" s="9" cm="1">
        <f t="array" ref="F896">SUMPRODUCT((Tablo3[Şehirler]=E896)*(Tablo3[Ürün Kar Tutarı]))</f>
        <v>0</v>
      </c>
      <c r="H896" s="14"/>
      <c r="J896" s="9" cm="1">
        <f t="array" ref="J896">SUMPRODUCT((Tablo3[Urun Ad]=I896)*(Tablo3[Ürün Kar Tutarı]))</f>
        <v>0</v>
      </c>
      <c r="L896" s="37"/>
    </row>
    <row r="897" spans="1:12" x14ac:dyDescent="0.25">
      <c r="A897" s="13"/>
      <c r="B897" s="9" cm="1">
        <f t="array" ref="B897">SUMPRODUCT((Tablo3[Personel Ad]=A897)*(Tablo3[Ürün Kar Tutarı]))</f>
        <v>0</v>
      </c>
      <c r="D897" s="14"/>
      <c r="F897" s="9" cm="1">
        <f t="array" ref="F897">SUMPRODUCT((Tablo3[Şehirler]=E897)*(Tablo3[Ürün Kar Tutarı]))</f>
        <v>0</v>
      </c>
      <c r="H897" s="14"/>
      <c r="J897" s="9" cm="1">
        <f t="array" ref="J897">SUMPRODUCT((Tablo3[Urun Ad]=I897)*(Tablo3[Ürün Kar Tutarı]))</f>
        <v>0</v>
      </c>
      <c r="L897" s="37"/>
    </row>
    <row r="898" spans="1:12" x14ac:dyDescent="0.25">
      <c r="A898" s="13"/>
      <c r="B898" s="9" cm="1">
        <f t="array" ref="B898">SUMPRODUCT((Tablo3[Personel Ad]=A898)*(Tablo3[Ürün Kar Tutarı]))</f>
        <v>0</v>
      </c>
      <c r="D898" s="14"/>
      <c r="F898" s="9" cm="1">
        <f t="array" ref="F898">SUMPRODUCT((Tablo3[Şehirler]=E898)*(Tablo3[Ürün Kar Tutarı]))</f>
        <v>0</v>
      </c>
      <c r="H898" s="14"/>
      <c r="J898" s="9" cm="1">
        <f t="array" ref="J898">SUMPRODUCT((Tablo3[Urun Ad]=I898)*(Tablo3[Ürün Kar Tutarı]))</f>
        <v>0</v>
      </c>
      <c r="L898" s="37"/>
    </row>
    <row r="899" spans="1:12" x14ac:dyDescent="0.25">
      <c r="A899" s="13"/>
      <c r="B899" s="9" cm="1">
        <f t="array" ref="B899">SUMPRODUCT((Tablo3[Personel Ad]=A899)*(Tablo3[Ürün Kar Tutarı]))</f>
        <v>0</v>
      </c>
      <c r="D899" s="14"/>
      <c r="F899" s="9" cm="1">
        <f t="array" ref="F899">SUMPRODUCT((Tablo3[Şehirler]=E899)*(Tablo3[Ürün Kar Tutarı]))</f>
        <v>0</v>
      </c>
      <c r="H899" s="14"/>
      <c r="J899" s="9" cm="1">
        <f t="array" ref="J899">SUMPRODUCT((Tablo3[Urun Ad]=I899)*(Tablo3[Ürün Kar Tutarı]))</f>
        <v>0</v>
      </c>
      <c r="L899" s="37"/>
    </row>
    <row r="900" spans="1:12" x14ac:dyDescent="0.25">
      <c r="A900" s="13"/>
      <c r="B900" s="9" cm="1">
        <f t="array" ref="B900">SUMPRODUCT((Tablo3[Personel Ad]=A900)*(Tablo3[Ürün Kar Tutarı]))</f>
        <v>0</v>
      </c>
      <c r="D900" s="14"/>
      <c r="F900" s="9" cm="1">
        <f t="array" ref="F900">SUMPRODUCT((Tablo3[Şehirler]=E900)*(Tablo3[Ürün Kar Tutarı]))</f>
        <v>0</v>
      </c>
      <c r="H900" s="14"/>
      <c r="J900" s="9" cm="1">
        <f t="array" ref="J900">SUMPRODUCT((Tablo3[Urun Ad]=I900)*(Tablo3[Ürün Kar Tutarı]))</f>
        <v>0</v>
      </c>
      <c r="L900" s="37"/>
    </row>
    <row r="901" spans="1:12" x14ac:dyDescent="0.25">
      <c r="A901" s="13"/>
      <c r="B901" s="9" cm="1">
        <f t="array" ref="B901">SUMPRODUCT((Tablo3[Personel Ad]=A901)*(Tablo3[Ürün Kar Tutarı]))</f>
        <v>0</v>
      </c>
      <c r="D901" s="14"/>
      <c r="F901" s="9" cm="1">
        <f t="array" ref="F901">SUMPRODUCT((Tablo3[Şehirler]=E901)*(Tablo3[Ürün Kar Tutarı]))</f>
        <v>0</v>
      </c>
      <c r="H901" s="14"/>
      <c r="J901" s="9" cm="1">
        <f t="array" ref="J901">SUMPRODUCT((Tablo3[Urun Ad]=I901)*(Tablo3[Ürün Kar Tutarı]))</f>
        <v>0</v>
      </c>
      <c r="L901" s="37"/>
    </row>
    <row r="902" spans="1:12" x14ac:dyDescent="0.25">
      <c r="A902" s="13"/>
      <c r="B902" s="9" cm="1">
        <f t="array" ref="B902">SUMPRODUCT((Tablo3[Personel Ad]=A902)*(Tablo3[Ürün Kar Tutarı]))</f>
        <v>0</v>
      </c>
      <c r="D902" s="14"/>
      <c r="F902" s="9" cm="1">
        <f t="array" ref="F902">SUMPRODUCT((Tablo3[Şehirler]=E902)*(Tablo3[Ürün Kar Tutarı]))</f>
        <v>0</v>
      </c>
      <c r="H902" s="14"/>
      <c r="J902" s="9" cm="1">
        <f t="array" ref="J902">SUMPRODUCT((Tablo3[Urun Ad]=I902)*(Tablo3[Ürün Kar Tutarı]))</f>
        <v>0</v>
      </c>
      <c r="L902" s="37"/>
    </row>
    <row r="903" spans="1:12" x14ac:dyDescent="0.25">
      <c r="A903" s="13"/>
      <c r="B903" s="9" cm="1">
        <f t="array" ref="B903">SUMPRODUCT((Tablo3[Personel Ad]=A903)*(Tablo3[Ürün Kar Tutarı]))</f>
        <v>0</v>
      </c>
      <c r="D903" s="14"/>
      <c r="F903" s="9" cm="1">
        <f t="array" ref="F903">SUMPRODUCT((Tablo3[Şehirler]=E903)*(Tablo3[Ürün Kar Tutarı]))</f>
        <v>0</v>
      </c>
      <c r="H903" s="14"/>
      <c r="J903" s="9" cm="1">
        <f t="array" ref="J903">SUMPRODUCT((Tablo3[Urun Ad]=I903)*(Tablo3[Ürün Kar Tutarı]))</f>
        <v>0</v>
      </c>
      <c r="L903" s="37"/>
    </row>
    <row r="904" spans="1:12" x14ac:dyDescent="0.25">
      <c r="A904" s="13"/>
      <c r="B904" s="9" cm="1">
        <f t="array" ref="B904">SUMPRODUCT((Tablo3[Personel Ad]=A904)*(Tablo3[Ürün Kar Tutarı]))</f>
        <v>0</v>
      </c>
      <c r="D904" s="14"/>
      <c r="F904" s="9" cm="1">
        <f t="array" ref="F904">SUMPRODUCT((Tablo3[Şehirler]=E904)*(Tablo3[Ürün Kar Tutarı]))</f>
        <v>0</v>
      </c>
      <c r="H904" s="14"/>
      <c r="J904" s="9" cm="1">
        <f t="array" ref="J904">SUMPRODUCT((Tablo3[Urun Ad]=I904)*(Tablo3[Ürün Kar Tutarı]))</f>
        <v>0</v>
      </c>
      <c r="L904" s="37"/>
    </row>
    <row r="905" spans="1:12" x14ac:dyDescent="0.25">
      <c r="A905" s="13"/>
      <c r="B905" s="9" cm="1">
        <f t="array" ref="B905">SUMPRODUCT((Tablo3[Personel Ad]=A905)*(Tablo3[Ürün Kar Tutarı]))</f>
        <v>0</v>
      </c>
      <c r="D905" s="14"/>
      <c r="F905" s="9" cm="1">
        <f t="array" ref="F905">SUMPRODUCT((Tablo3[Şehirler]=E905)*(Tablo3[Ürün Kar Tutarı]))</f>
        <v>0</v>
      </c>
      <c r="H905" s="14"/>
      <c r="J905" s="9" cm="1">
        <f t="array" ref="J905">SUMPRODUCT((Tablo3[Urun Ad]=I905)*(Tablo3[Ürün Kar Tutarı]))</f>
        <v>0</v>
      </c>
      <c r="L905" s="37"/>
    </row>
    <row r="906" spans="1:12" x14ac:dyDescent="0.25">
      <c r="A906" s="13"/>
      <c r="B906" s="9" cm="1">
        <f t="array" ref="B906">SUMPRODUCT((Tablo3[Personel Ad]=A906)*(Tablo3[Ürün Kar Tutarı]))</f>
        <v>0</v>
      </c>
      <c r="D906" s="14"/>
      <c r="F906" s="9" cm="1">
        <f t="array" ref="F906">SUMPRODUCT((Tablo3[Şehirler]=E906)*(Tablo3[Ürün Kar Tutarı]))</f>
        <v>0</v>
      </c>
      <c r="H906" s="14"/>
      <c r="J906" s="9" cm="1">
        <f t="array" ref="J906">SUMPRODUCT((Tablo3[Urun Ad]=I906)*(Tablo3[Ürün Kar Tutarı]))</f>
        <v>0</v>
      </c>
      <c r="L906" s="37"/>
    </row>
    <row r="907" spans="1:12" x14ac:dyDescent="0.25">
      <c r="A907" s="13"/>
      <c r="B907" s="9" cm="1">
        <f t="array" ref="B907">SUMPRODUCT((Tablo3[Personel Ad]=A907)*(Tablo3[Ürün Kar Tutarı]))</f>
        <v>0</v>
      </c>
      <c r="D907" s="14"/>
      <c r="F907" s="9" cm="1">
        <f t="array" ref="F907">SUMPRODUCT((Tablo3[Şehirler]=E907)*(Tablo3[Ürün Kar Tutarı]))</f>
        <v>0</v>
      </c>
      <c r="H907" s="14"/>
      <c r="J907" s="9" cm="1">
        <f t="array" ref="J907">SUMPRODUCT((Tablo3[Urun Ad]=I907)*(Tablo3[Ürün Kar Tutarı]))</f>
        <v>0</v>
      </c>
      <c r="L907" s="37"/>
    </row>
    <row r="908" spans="1:12" x14ac:dyDescent="0.25">
      <c r="A908" s="13"/>
      <c r="B908" s="9" cm="1">
        <f t="array" ref="B908">SUMPRODUCT((Tablo3[Personel Ad]=A908)*(Tablo3[Ürün Kar Tutarı]))</f>
        <v>0</v>
      </c>
      <c r="D908" s="14"/>
      <c r="F908" s="9" cm="1">
        <f t="array" ref="F908">SUMPRODUCT((Tablo3[Şehirler]=E908)*(Tablo3[Ürün Kar Tutarı]))</f>
        <v>0</v>
      </c>
      <c r="H908" s="14"/>
      <c r="J908" s="9" cm="1">
        <f t="array" ref="J908">SUMPRODUCT((Tablo3[Urun Ad]=I908)*(Tablo3[Ürün Kar Tutarı]))</f>
        <v>0</v>
      </c>
      <c r="L908" s="37"/>
    </row>
    <row r="909" spans="1:12" x14ac:dyDescent="0.25">
      <c r="A909" s="13"/>
      <c r="B909" s="9" cm="1">
        <f t="array" ref="B909">SUMPRODUCT((Tablo3[Personel Ad]=A909)*(Tablo3[Ürün Kar Tutarı]))</f>
        <v>0</v>
      </c>
      <c r="D909" s="14"/>
      <c r="F909" s="9" cm="1">
        <f t="array" ref="F909">SUMPRODUCT((Tablo3[Şehirler]=E909)*(Tablo3[Ürün Kar Tutarı]))</f>
        <v>0</v>
      </c>
      <c r="H909" s="14"/>
      <c r="J909" s="9" cm="1">
        <f t="array" ref="J909">SUMPRODUCT((Tablo3[Urun Ad]=I909)*(Tablo3[Ürün Kar Tutarı]))</f>
        <v>0</v>
      </c>
      <c r="L909" s="37"/>
    </row>
    <row r="910" spans="1:12" x14ac:dyDescent="0.25">
      <c r="A910" s="13"/>
      <c r="B910" s="9" cm="1">
        <f t="array" ref="B910">SUMPRODUCT((Tablo3[Personel Ad]=A910)*(Tablo3[Ürün Kar Tutarı]))</f>
        <v>0</v>
      </c>
      <c r="D910" s="14"/>
      <c r="F910" s="9" cm="1">
        <f t="array" ref="F910">SUMPRODUCT((Tablo3[Şehirler]=E910)*(Tablo3[Ürün Kar Tutarı]))</f>
        <v>0</v>
      </c>
      <c r="H910" s="14"/>
      <c r="J910" s="9" cm="1">
        <f t="array" ref="J910">SUMPRODUCT((Tablo3[Urun Ad]=I910)*(Tablo3[Ürün Kar Tutarı]))</f>
        <v>0</v>
      </c>
      <c r="L910" s="37"/>
    </row>
    <row r="911" spans="1:12" x14ac:dyDescent="0.25">
      <c r="A911" s="13"/>
      <c r="B911" s="9" cm="1">
        <f t="array" ref="B911">SUMPRODUCT((Tablo3[Personel Ad]=A911)*(Tablo3[Ürün Kar Tutarı]))</f>
        <v>0</v>
      </c>
      <c r="D911" s="14"/>
      <c r="F911" s="9" cm="1">
        <f t="array" ref="F911">SUMPRODUCT((Tablo3[Şehirler]=E911)*(Tablo3[Ürün Kar Tutarı]))</f>
        <v>0</v>
      </c>
      <c r="H911" s="14"/>
      <c r="J911" s="9" cm="1">
        <f t="array" ref="J911">SUMPRODUCT((Tablo3[Urun Ad]=I911)*(Tablo3[Ürün Kar Tutarı]))</f>
        <v>0</v>
      </c>
      <c r="L911" s="37"/>
    </row>
    <row r="912" spans="1:12" x14ac:dyDescent="0.25">
      <c r="A912" s="13"/>
      <c r="B912" s="9" cm="1">
        <f t="array" ref="B912">SUMPRODUCT((Tablo3[Personel Ad]=A912)*(Tablo3[Ürün Kar Tutarı]))</f>
        <v>0</v>
      </c>
      <c r="D912" s="14"/>
      <c r="F912" s="9" cm="1">
        <f t="array" ref="F912">SUMPRODUCT((Tablo3[Şehirler]=E912)*(Tablo3[Ürün Kar Tutarı]))</f>
        <v>0</v>
      </c>
      <c r="H912" s="14"/>
      <c r="J912" s="9" cm="1">
        <f t="array" ref="J912">SUMPRODUCT((Tablo3[Urun Ad]=I912)*(Tablo3[Ürün Kar Tutarı]))</f>
        <v>0</v>
      </c>
      <c r="L912" s="37"/>
    </row>
    <row r="913" spans="1:12" x14ac:dyDescent="0.25">
      <c r="A913" s="13"/>
      <c r="B913" s="9" cm="1">
        <f t="array" ref="B913">SUMPRODUCT((Tablo3[Personel Ad]=A913)*(Tablo3[Ürün Kar Tutarı]))</f>
        <v>0</v>
      </c>
      <c r="D913" s="14"/>
      <c r="F913" s="9" cm="1">
        <f t="array" ref="F913">SUMPRODUCT((Tablo3[Şehirler]=E913)*(Tablo3[Ürün Kar Tutarı]))</f>
        <v>0</v>
      </c>
      <c r="H913" s="14"/>
      <c r="J913" s="9" cm="1">
        <f t="array" ref="J913">SUMPRODUCT((Tablo3[Urun Ad]=I913)*(Tablo3[Ürün Kar Tutarı]))</f>
        <v>0</v>
      </c>
      <c r="L913" s="37"/>
    </row>
    <row r="914" spans="1:12" x14ac:dyDescent="0.25">
      <c r="A914" s="13"/>
      <c r="B914" s="9" cm="1">
        <f t="array" ref="B914">SUMPRODUCT((Tablo3[Personel Ad]=A914)*(Tablo3[Ürün Kar Tutarı]))</f>
        <v>0</v>
      </c>
      <c r="D914" s="14"/>
      <c r="F914" s="9" cm="1">
        <f t="array" ref="F914">SUMPRODUCT((Tablo3[Şehirler]=E914)*(Tablo3[Ürün Kar Tutarı]))</f>
        <v>0</v>
      </c>
      <c r="H914" s="14"/>
      <c r="J914" s="9" cm="1">
        <f t="array" ref="J914">SUMPRODUCT((Tablo3[Urun Ad]=I914)*(Tablo3[Ürün Kar Tutarı]))</f>
        <v>0</v>
      </c>
      <c r="L914" s="37"/>
    </row>
    <row r="915" spans="1:12" x14ac:dyDescent="0.25">
      <c r="A915" s="13"/>
      <c r="B915" s="9" cm="1">
        <f t="array" ref="B915">SUMPRODUCT((Tablo3[Personel Ad]=A915)*(Tablo3[Ürün Kar Tutarı]))</f>
        <v>0</v>
      </c>
      <c r="D915" s="14"/>
      <c r="F915" s="9" cm="1">
        <f t="array" ref="F915">SUMPRODUCT((Tablo3[Şehirler]=E915)*(Tablo3[Ürün Kar Tutarı]))</f>
        <v>0</v>
      </c>
      <c r="H915" s="14"/>
      <c r="J915" s="9" cm="1">
        <f t="array" ref="J915">SUMPRODUCT((Tablo3[Urun Ad]=I915)*(Tablo3[Ürün Kar Tutarı]))</f>
        <v>0</v>
      </c>
      <c r="L915" s="37"/>
    </row>
    <row r="916" spans="1:12" x14ac:dyDescent="0.25">
      <c r="A916" s="13"/>
      <c r="B916" s="9" cm="1">
        <f t="array" ref="B916">SUMPRODUCT((Tablo3[Personel Ad]=A916)*(Tablo3[Ürün Kar Tutarı]))</f>
        <v>0</v>
      </c>
      <c r="D916" s="14"/>
      <c r="F916" s="9" cm="1">
        <f t="array" ref="F916">SUMPRODUCT((Tablo3[Şehirler]=E916)*(Tablo3[Ürün Kar Tutarı]))</f>
        <v>0</v>
      </c>
      <c r="H916" s="14"/>
      <c r="J916" s="9" cm="1">
        <f t="array" ref="J916">SUMPRODUCT((Tablo3[Urun Ad]=I916)*(Tablo3[Ürün Kar Tutarı]))</f>
        <v>0</v>
      </c>
      <c r="L916" s="37"/>
    </row>
    <row r="917" spans="1:12" x14ac:dyDescent="0.25">
      <c r="A917" s="13"/>
      <c r="B917" s="9" cm="1">
        <f t="array" ref="B917">SUMPRODUCT((Tablo3[Personel Ad]=A917)*(Tablo3[Ürün Kar Tutarı]))</f>
        <v>0</v>
      </c>
      <c r="D917" s="14"/>
      <c r="F917" s="9" cm="1">
        <f t="array" ref="F917">SUMPRODUCT((Tablo3[Şehirler]=E917)*(Tablo3[Ürün Kar Tutarı]))</f>
        <v>0</v>
      </c>
      <c r="H917" s="14"/>
      <c r="J917" s="9" cm="1">
        <f t="array" ref="J917">SUMPRODUCT((Tablo3[Urun Ad]=I917)*(Tablo3[Ürün Kar Tutarı]))</f>
        <v>0</v>
      </c>
      <c r="L917" s="37"/>
    </row>
    <row r="918" spans="1:12" x14ac:dyDescent="0.25">
      <c r="A918" s="13"/>
      <c r="B918" s="9" cm="1">
        <f t="array" ref="B918">SUMPRODUCT((Tablo3[Personel Ad]=A918)*(Tablo3[Ürün Kar Tutarı]))</f>
        <v>0</v>
      </c>
      <c r="D918" s="14"/>
      <c r="F918" s="9" cm="1">
        <f t="array" ref="F918">SUMPRODUCT((Tablo3[Şehirler]=E918)*(Tablo3[Ürün Kar Tutarı]))</f>
        <v>0</v>
      </c>
      <c r="H918" s="14"/>
      <c r="J918" s="9" cm="1">
        <f t="array" ref="J918">SUMPRODUCT((Tablo3[Urun Ad]=I918)*(Tablo3[Ürün Kar Tutarı]))</f>
        <v>0</v>
      </c>
      <c r="L918" s="37"/>
    </row>
    <row r="919" spans="1:12" x14ac:dyDescent="0.25">
      <c r="A919" s="13"/>
      <c r="B919" s="9" cm="1">
        <f t="array" ref="B919">SUMPRODUCT((Tablo3[Personel Ad]=A919)*(Tablo3[Ürün Kar Tutarı]))</f>
        <v>0</v>
      </c>
      <c r="D919" s="14"/>
      <c r="F919" s="9" cm="1">
        <f t="array" ref="F919">SUMPRODUCT((Tablo3[Şehirler]=E919)*(Tablo3[Ürün Kar Tutarı]))</f>
        <v>0</v>
      </c>
      <c r="H919" s="14"/>
      <c r="J919" s="9" cm="1">
        <f t="array" ref="J919">SUMPRODUCT((Tablo3[Urun Ad]=I919)*(Tablo3[Ürün Kar Tutarı]))</f>
        <v>0</v>
      </c>
      <c r="L919" s="37"/>
    </row>
    <row r="920" spans="1:12" x14ac:dyDescent="0.25">
      <c r="A920" s="13"/>
      <c r="B920" s="9" cm="1">
        <f t="array" ref="B920">SUMPRODUCT((Tablo3[Personel Ad]=A920)*(Tablo3[Ürün Kar Tutarı]))</f>
        <v>0</v>
      </c>
      <c r="D920" s="14"/>
      <c r="F920" s="9" cm="1">
        <f t="array" ref="F920">SUMPRODUCT((Tablo3[Şehirler]=E920)*(Tablo3[Ürün Kar Tutarı]))</f>
        <v>0</v>
      </c>
      <c r="H920" s="14"/>
      <c r="J920" s="9" cm="1">
        <f t="array" ref="J920">SUMPRODUCT((Tablo3[Urun Ad]=I920)*(Tablo3[Ürün Kar Tutarı]))</f>
        <v>0</v>
      </c>
      <c r="L920" s="37"/>
    </row>
    <row r="921" spans="1:12" x14ac:dyDescent="0.25">
      <c r="A921" s="13"/>
      <c r="B921" s="9" cm="1">
        <f t="array" ref="B921">SUMPRODUCT((Tablo3[Personel Ad]=A921)*(Tablo3[Ürün Kar Tutarı]))</f>
        <v>0</v>
      </c>
      <c r="D921" s="14"/>
      <c r="F921" s="9" cm="1">
        <f t="array" ref="F921">SUMPRODUCT((Tablo3[Şehirler]=E921)*(Tablo3[Ürün Kar Tutarı]))</f>
        <v>0</v>
      </c>
      <c r="H921" s="14"/>
      <c r="J921" s="9" cm="1">
        <f t="array" ref="J921">SUMPRODUCT((Tablo3[Urun Ad]=I921)*(Tablo3[Ürün Kar Tutarı]))</f>
        <v>0</v>
      </c>
      <c r="L921" s="37"/>
    </row>
    <row r="922" spans="1:12" x14ac:dyDescent="0.25">
      <c r="A922" s="13"/>
      <c r="B922" s="9" cm="1">
        <f t="array" ref="B922">SUMPRODUCT((Tablo3[Personel Ad]=A922)*(Tablo3[Ürün Kar Tutarı]))</f>
        <v>0</v>
      </c>
      <c r="D922" s="14"/>
      <c r="F922" s="9" cm="1">
        <f t="array" ref="F922">SUMPRODUCT((Tablo3[Şehirler]=E922)*(Tablo3[Ürün Kar Tutarı]))</f>
        <v>0</v>
      </c>
      <c r="H922" s="14"/>
      <c r="J922" s="9" cm="1">
        <f t="array" ref="J922">SUMPRODUCT((Tablo3[Urun Ad]=I922)*(Tablo3[Ürün Kar Tutarı]))</f>
        <v>0</v>
      </c>
      <c r="L922" s="37"/>
    </row>
    <row r="923" spans="1:12" x14ac:dyDescent="0.25">
      <c r="A923" s="13"/>
      <c r="B923" s="9" cm="1">
        <f t="array" ref="B923">SUMPRODUCT((Tablo3[Personel Ad]=A923)*(Tablo3[Ürün Kar Tutarı]))</f>
        <v>0</v>
      </c>
      <c r="D923" s="14"/>
      <c r="F923" s="9" cm="1">
        <f t="array" ref="F923">SUMPRODUCT((Tablo3[Şehirler]=E923)*(Tablo3[Ürün Kar Tutarı]))</f>
        <v>0</v>
      </c>
      <c r="H923" s="14"/>
      <c r="J923" s="9" cm="1">
        <f t="array" ref="J923">SUMPRODUCT((Tablo3[Urun Ad]=I923)*(Tablo3[Ürün Kar Tutarı]))</f>
        <v>0</v>
      </c>
      <c r="L923" s="37"/>
    </row>
    <row r="924" spans="1:12" x14ac:dyDescent="0.25">
      <c r="A924" s="13"/>
      <c r="B924" s="9" cm="1">
        <f t="array" ref="B924">SUMPRODUCT((Tablo3[Personel Ad]=A924)*(Tablo3[Ürün Kar Tutarı]))</f>
        <v>0</v>
      </c>
      <c r="D924" s="14"/>
      <c r="F924" s="9" cm="1">
        <f t="array" ref="F924">SUMPRODUCT((Tablo3[Şehirler]=E924)*(Tablo3[Ürün Kar Tutarı]))</f>
        <v>0</v>
      </c>
      <c r="H924" s="14"/>
      <c r="J924" s="9" cm="1">
        <f t="array" ref="J924">SUMPRODUCT((Tablo3[Urun Ad]=I924)*(Tablo3[Ürün Kar Tutarı]))</f>
        <v>0</v>
      </c>
      <c r="L924" s="37"/>
    </row>
    <row r="925" spans="1:12" x14ac:dyDescent="0.25">
      <c r="A925" s="13"/>
      <c r="B925" s="9" cm="1">
        <f t="array" ref="B925">SUMPRODUCT((Tablo3[Personel Ad]=A925)*(Tablo3[Ürün Kar Tutarı]))</f>
        <v>0</v>
      </c>
      <c r="D925" s="14"/>
      <c r="F925" s="9" cm="1">
        <f t="array" ref="F925">SUMPRODUCT((Tablo3[Şehirler]=E925)*(Tablo3[Ürün Kar Tutarı]))</f>
        <v>0</v>
      </c>
      <c r="H925" s="14"/>
      <c r="J925" s="9" cm="1">
        <f t="array" ref="J925">SUMPRODUCT((Tablo3[Urun Ad]=I925)*(Tablo3[Ürün Kar Tutarı]))</f>
        <v>0</v>
      </c>
      <c r="L925" s="37"/>
    </row>
    <row r="926" spans="1:12" x14ac:dyDescent="0.25">
      <c r="A926" s="13"/>
      <c r="B926" s="9" cm="1">
        <f t="array" ref="B926">SUMPRODUCT((Tablo3[Personel Ad]=A926)*(Tablo3[Ürün Kar Tutarı]))</f>
        <v>0</v>
      </c>
      <c r="D926" s="14"/>
      <c r="F926" s="9" cm="1">
        <f t="array" ref="F926">SUMPRODUCT((Tablo3[Şehirler]=E926)*(Tablo3[Ürün Kar Tutarı]))</f>
        <v>0</v>
      </c>
      <c r="H926" s="14"/>
      <c r="J926" s="9" cm="1">
        <f t="array" ref="J926">SUMPRODUCT((Tablo3[Urun Ad]=I926)*(Tablo3[Ürün Kar Tutarı]))</f>
        <v>0</v>
      </c>
      <c r="L926" s="37"/>
    </row>
    <row r="927" spans="1:12" x14ac:dyDescent="0.25">
      <c r="A927" s="13"/>
      <c r="B927" s="9" cm="1">
        <f t="array" ref="B927">SUMPRODUCT((Tablo3[Personel Ad]=A927)*(Tablo3[Ürün Kar Tutarı]))</f>
        <v>0</v>
      </c>
      <c r="D927" s="14"/>
      <c r="F927" s="9" cm="1">
        <f t="array" ref="F927">SUMPRODUCT((Tablo3[Şehirler]=E927)*(Tablo3[Ürün Kar Tutarı]))</f>
        <v>0</v>
      </c>
      <c r="H927" s="14"/>
      <c r="J927" s="9" cm="1">
        <f t="array" ref="J927">SUMPRODUCT((Tablo3[Urun Ad]=I927)*(Tablo3[Ürün Kar Tutarı]))</f>
        <v>0</v>
      </c>
      <c r="L927" s="37"/>
    </row>
    <row r="928" spans="1:12" x14ac:dyDescent="0.25">
      <c r="A928" s="13"/>
      <c r="B928" s="9" cm="1">
        <f t="array" ref="B928">SUMPRODUCT((Tablo3[Personel Ad]=A928)*(Tablo3[Ürün Kar Tutarı]))</f>
        <v>0</v>
      </c>
      <c r="D928" s="14"/>
      <c r="F928" s="9" cm="1">
        <f t="array" ref="F928">SUMPRODUCT((Tablo3[Şehirler]=E928)*(Tablo3[Ürün Kar Tutarı]))</f>
        <v>0</v>
      </c>
      <c r="H928" s="14"/>
      <c r="J928" s="9" cm="1">
        <f t="array" ref="J928">SUMPRODUCT((Tablo3[Urun Ad]=I928)*(Tablo3[Ürün Kar Tutarı]))</f>
        <v>0</v>
      </c>
      <c r="L928" s="37"/>
    </row>
    <row r="929" spans="1:12" x14ac:dyDescent="0.25">
      <c r="A929" s="13"/>
      <c r="B929" s="9" cm="1">
        <f t="array" ref="B929">SUMPRODUCT((Tablo3[Personel Ad]=A929)*(Tablo3[Ürün Kar Tutarı]))</f>
        <v>0</v>
      </c>
      <c r="D929" s="14"/>
      <c r="F929" s="9" cm="1">
        <f t="array" ref="F929">SUMPRODUCT((Tablo3[Şehirler]=E929)*(Tablo3[Ürün Kar Tutarı]))</f>
        <v>0</v>
      </c>
      <c r="H929" s="14"/>
      <c r="J929" s="9" cm="1">
        <f t="array" ref="J929">SUMPRODUCT((Tablo3[Urun Ad]=I929)*(Tablo3[Ürün Kar Tutarı]))</f>
        <v>0</v>
      </c>
      <c r="L929" s="37"/>
    </row>
    <row r="930" spans="1:12" x14ac:dyDescent="0.25">
      <c r="A930" s="13"/>
      <c r="B930" s="9" cm="1">
        <f t="array" ref="B930">SUMPRODUCT((Tablo3[Personel Ad]=A930)*(Tablo3[Ürün Kar Tutarı]))</f>
        <v>0</v>
      </c>
      <c r="D930" s="14"/>
      <c r="F930" s="9" cm="1">
        <f t="array" ref="F930">SUMPRODUCT((Tablo3[Şehirler]=E930)*(Tablo3[Ürün Kar Tutarı]))</f>
        <v>0</v>
      </c>
      <c r="H930" s="14"/>
      <c r="J930" s="9" cm="1">
        <f t="array" ref="J930">SUMPRODUCT((Tablo3[Urun Ad]=I930)*(Tablo3[Ürün Kar Tutarı]))</f>
        <v>0</v>
      </c>
      <c r="L930" s="37"/>
    </row>
    <row r="931" spans="1:12" x14ac:dyDescent="0.25">
      <c r="A931" s="13"/>
      <c r="B931" s="9" cm="1">
        <f t="array" ref="B931">SUMPRODUCT((Tablo3[Personel Ad]=A931)*(Tablo3[Ürün Kar Tutarı]))</f>
        <v>0</v>
      </c>
      <c r="D931" s="14"/>
      <c r="F931" s="9" cm="1">
        <f t="array" ref="F931">SUMPRODUCT((Tablo3[Şehirler]=E931)*(Tablo3[Ürün Kar Tutarı]))</f>
        <v>0</v>
      </c>
      <c r="H931" s="14"/>
      <c r="J931" s="9" cm="1">
        <f t="array" ref="J931">SUMPRODUCT((Tablo3[Urun Ad]=I931)*(Tablo3[Ürün Kar Tutarı]))</f>
        <v>0</v>
      </c>
      <c r="L931" s="37"/>
    </row>
    <row r="932" spans="1:12" x14ac:dyDescent="0.25">
      <c r="A932" s="13"/>
      <c r="B932" s="9" cm="1">
        <f t="array" ref="B932">SUMPRODUCT((Tablo3[Personel Ad]=A932)*(Tablo3[Ürün Kar Tutarı]))</f>
        <v>0</v>
      </c>
      <c r="D932" s="14"/>
      <c r="F932" s="9" cm="1">
        <f t="array" ref="F932">SUMPRODUCT((Tablo3[Şehirler]=E932)*(Tablo3[Ürün Kar Tutarı]))</f>
        <v>0</v>
      </c>
      <c r="H932" s="14"/>
      <c r="J932" s="9" cm="1">
        <f t="array" ref="J932">SUMPRODUCT((Tablo3[Urun Ad]=I932)*(Tablo3[Ürün Kar Tutarı]))</f>
        <v>0</v>
      </c>
      <c r="L932" s="37"/>
    </row>
    <row r="933" spans="1:12" x14ac:dyDescent="0.25">
      <c r="A933" s="13"/>
      <c r="B933" s="9" cm="1">
        <f t="array" ref="B933">SUMPRODUCT((Tablo3[Personel Ad]=A933)*(Tablo3[Ürün Kar Tutarı]))</f>
        <v>0</v>
      </c>
      <c r="D933" s="14"/>
      <c r="F933" s="9" cm="1">
        <f t="array" ref="F933">SUMPRODUCT((Tablo3[Şehirler]=E933)*(Tablo3[Ürün Kar Tutarı]))</f>
        <v>0</v>
      </c>
      <c r="H933" s="14"/>
      <c r="J933" s="9" cm="1">
        <f t="array" ref="J933">SUMPRODUCT((Tablo3[Urun Ad]=I933)*(Tablo3[Ürün Kar Tutarı]))</f>
        <v>0</v>
      </c>
      <c r="L933" s="37"/>
    </row>
    <row r="934" spans="1:12" x14ac:dyDescent="0.25">
      <c r="A934" s="13"/>
      <c r="B934" s="9" cm="1">
        <f t="array" ref="B934">SUMPRODUCT((Tablo3[Personel Ad]=A934)*(Tablo3[Ürün Kar Tutarı]))</f>
        <v>0</v>
      </c>
      <c r="D934" s="14"/>
      <c r="F934" s="9" cm="1">
        <f t="array" ref="F934">SUMPRODUCT((Tablo3[Şehirler]=E934)*(Tablo3[Ürün Kar Tutarı]))</f>
        <v>0</v>
      </c>
      <c r="H934" s="14"/>
      <c r="J934" s="9" cm="1">
        <f t="array" ref="J934">SUMPRODUCT((Tablo3[Urun Ad]=I934)*(Tablo3[Ürün Kar Tutarı]))</f>
        <v>0</v>
      </c>
      <c r="L934" s="37"/>
    </row>
    <row r="935" spans="1:12" x14ac:dyDescent="0.25">
      <c r="A935" s="13"/>
      <c r="B935" s="9" cm="1">
        <f t="array" ref="B935">SUMPRODUCT((Tablo3[Personel Ad]=A935)*(Tablo3[Ürün Kar Tutarı]))</f>
        <v>0</v>
      </c>
      <c r="D935" s="14"/>
      <c r="F935" s="9" cm="1">
        <f t="array" ref="F935">SUMPRODUCT((Tablo3[Şehirler]=E935)*(Tablo3[Ürün Kar Tutarı]))</f>
        <v>0</v>
      </c>
      <c r="H935" s="14"/>
      <c r="J935" s="9" cm="1">
        <f t="array" ref="J935">SUMPRODUCT((Tablo3[Urun Ad]=I935)*(Tablo3[Ürün Kar Tutarı]))</f>
        <v>0</v>
      </c>
      <c r="L935" s="37"/>
    </row>
    <row r="936" spans="1:12" x14ac:dyDescent="0.25">
      <c r="A936" s="13"/>
      <c r="B936" s="9" cm="1">
        <f t="array" ref="B936">SUMPRODUCT((Tablo3[Personel Ad]=A936)*(Tablo3[Ürün Kar Tutarı]))</f>
        <v>0</v>
      </c>
      <c r="D936" s="14"/>
      <c r="F936" s="9" cm="1">
        <f t="array" ref="F936">SUMPRODUCT((Tablo3[Şehirler]=E936)*(Tablo3[Ürün Kar Tutarı]))</f>
        <v>0</v>
      </c>
      <c r="H936" s="14"/>
      <c r="J936" s="9" cm="1">
        <f t="array" ref="J936">SUMPRODUCT((Tablo3[Urun Ad]=I936)*(Tablo3[Ürün Kar Tutarı]))</f>
        <v>0</v>
      </c>
      <c r="L936" s="37"/>
    </row>
    <row r="937" spans="1:12" x14ac:dyDescent="0.25">
      <c r="A937" s="13"/>
      <c r="B937" s="9" cm="1">
        <f t="array" ref="B937">SUMPRODUCT((Tablo3[Personel Ad]=A937)*(Tablo3[Ürün Kar Tutarı]))</f>
        <v>0</v>
      </c>
      <c r="D937" s="14"/>
      <c r="F937" s="9" cm="1">
        <f t="array" ref="F937">SUMPRODUCT((Tablo3[Şehirler]=E937)*(Tablo3[Ürün Kar Tutarı]))</f>
        <v>0</v>
      </c>
      <c r="H937" s="14"/>
      <c r="J937" s="9" cm="1">
        <f t="array" ref="J937">SUMPRODUCT((Tablo3[Urun Ad]=I937)*(Tablo3[Ürün Kar Tutarı]))</f>
        <v>0</v>
      </c>
      <c r="L937" s="37"/>
    </row>
    <row r="938" spans="1:12" x14ac:dyDescent="0.25">
      <c r="A938" s="13"/>
      <c r="B938" s="9" cm="1">
        <f t="array" ref="B938">SUMPRODUCT((Tablo3[Personel Ad]=A938)*(Tablo3[Ürün Kar Tutarı]))</f>
        <v>0</v>
      </c>
      <c r="D938" s="14"/>
      <c r="F938" s="9" cm="1">
        <f t="array" ref="F938">SUMPRODUCT((Tablo3[Şehirler]=E938)*(Tablo3[Ürün Kar Tutarı]))</f>
        <v>0</v>
      </c>
      <c r="H938" s="14"/>
      <c r="J938" s="9" cm="1">
        <f t="array" ref="J938">SUMPRODUCT((Tablo3[Urun Ad]=I938)*(Tablo3[Ürün Kar Tutarı]))</f>
        <v>0</v>
      </c>
      <c r="L938" s="37"/>
    </row>
    <row r="939" spans="1:12" x14ac:dyDescent="0.25">
      <c r="A939" s="13"/>
      <c r="B939" s="9" cm="1">
        <f t="array" ref="B939">SUMPRODUCT((Tablo3[Personel Ad]=A939)*(Tablo3[Ürün Kar Tutarı]))</f>
        <v>0</v>
      </c>
      <c r="D939" s="14"/>
      <c r="F939" s="9" cm="1">
        <f t="array" ref="F939">SUMPRODUCT((Tablo3[Şehirler]=E939)*(Tablo3[Ürün Kar Tutarı]))</f>
        <v>0</v>
      </c>
      <c r="H939" s="14"/>
      <c r="J939" s="9" cm="1">
        <f t="array" ref="J939">SUMPRODUCT((Tablo3[Urun Ad]=I939)*(Tablo3[Ürün Kar Tutarı]))</f>
        <v>0</v>
      </c>
      <c r="L939" s="37"/>
    </row>
    <row r="940" spans="1:12" x14ac:dyDescent="0.25">
      <c r="A940" s="13"/>
      <c r="B940" s="9" cm="1">
        <f t="array" ref="B940">SUMPRODUCT((Tablo3[Personel Ad]=A940)*(Tablo3[Ürün Kar Tutarı]))</f>
        <v>0</v>
      </c>
      <c r="D940" s="14"/>
      <c r="F940" s="9" cm="1">
        <f t="array" ref="F940">SUMPRODUCT((Tablo3[Şehirler]=E940)*(Tablo3[Ürün Kar Tutarı]))</f>
        <v>0</v>
      </c>
      <c r="H940" s="14"/>
      <c r="J940" s="9" cm="1">
        <f t="array" ref="J940">SUMPRODUCT((Tablo3[Urun Ad]=I940)*(Tablo3[Ürün Kar Tutarı]))</f>
        <v>0</v>
      </c>
      <c r="L940" s="37"/>
    </row>
    <row r="941" spans="1:12" x14ac:dyDescent="0.25">
      <c r="A941" s="13"/>
      <c r="B941" s="9" cm="1">
        <f t="array" ref="B941">SUMPRODUCT((Tablo3[Personel Ad]=A941)*(Tablo3[Ürün Kar Tutarı]))</f>
        <v>0</v>
      </c>
      <c r="D941" s="14"/>
      <c r="F941" s="9" cm="1">
        <f t="array" ref="F941">SUMPRODUCT((Tablo3[Şehirler]=E941)*(Tablo3[Ürün Kar Tutarı]))</f>
        <v>0</v>
      </c>
      <c r="H941" s="14"/>
      <c r="J941" s="9" cm="1">
        <f t="array" ref="J941">SUMPRODUCT((Tablo3[Urun Ad]=I941)*(Tablo3[Ürün Kar Tutarı]))</f>
        <v>0</v>
      </c>
      <c r="L941" s="37"/>
    </row>
    <row r="942" spans="1:12" x14ac:dyDescent="0.25">
      <c r="A942" s="13"/>
      <c r="B942" s="9" cm="1">
        <f t="array" ref="B942">SUMPRODUCT((Tablo3[Personel Ad]=A942)*(Tablo3[Ürün Kar Tutarı]))</f>
        <v>0</v>
      </c>
      <c r="D942" s="14"/>
      <c r="F942" s="9" cm="1">
        <f t="array" ref="F942">SUMPRODUCT((Tablo3[Şehirler]=E942)*(Tablo3[Ürün Kar Tutarı]))</f>
        <v>0</v>
      </c>
      <c r="H942" s="14"/>
      <c r="J942" s="9" cm="1">
        <f t="array" ref="J942">SUMPRODUCT((Tablo3[Urun Ad]=I942)*(Tablo3[Ürün Kar Tutarı]))</f>
        <v>0</v>
      </c>
      <c r="L942" s="37"/>
    </row>
    <row r="943" spans="1:12" x14ac:dyDescent="0.25">
      <c r="A943" s="13"/>
      <c r="B943" s="9" cm="1">
        <f t="array" ref="B943">SUMPRODUCT((Tablo3[Personel Ad]=A943)*(Tablo3[Ürün Kar Tutarı]))</f>
        <v>0</v>
      </c>
      <c r="D943" s="14"/>
      <c r="F943" s="9" cm="1">
        <f t="array" ref="F943">SUMPRODUCT((Tablo3[Şehirler]=E943)*(Tablo3[Ürün Kar Tutarı]))</f>
        <v>0</v>
      </c>
      <c r="H943" s="14"/>
      <c r="J943" s="9" cm="1">
        <f t="array" ref="J943">SUMPRODUCT((Tablo3[Urun Ad]=I943)*(Tablo3[Ürün Kar Tutarı]))</f>
        <v>0</v>
      </c>
      <c r="L943" s="37"/>
    </row>
    <row r="944" spans="1:12" x14ac:dyDescent="0.25">
      <c r="A944" s="13"/>
      <c r="B944" s="9" cm="1">
        <f t="array" ref="B944">SUMPRODUCT((Tablo3[Personel Ad]=A944)*(Tablo3[Ürün Kar Tutarı]))</f>
        <v>0</v>
      </c>
      <c r="D944" s="14"/>
      <c r="F944" s="9" cm="1">
        <f t="array" ref="F944">SUMPRODUCT((Tablo3[Şehirler]=E944)*(Tablo3[Ürün Kar Tutarı]))</f>
        <v>0</v>
      </c>
      <c r="H944" s="14"/>
      <c r="J944" s="9" cm="1">
        <f t="array" ref="J944">SUMPRODUCT((Tablo3[Urun Ad]=I944)*(Tablo3[Ürün Kar Tutarı]))</f>
        <v>0</v>
      </c>
      <c r="L944" s="37"/>
    </row>
    <row r="945" spans="1:12" x14ac:dyDescent="0.25">
      <c r="A945" s="13"/>
      <c r="B945" s="9" cm="1">
        <f t="array" ref="B945">SUMPRODUCT((Tablo3[Personel Ad]=A945)*(Tablo3[Ürün Kar Tutarı]))</f>
        <v>0</v>
      </c>
      <c r="D945" s="14"/>
      <c r="F945" s="9" cm="1">
        <f t="array" ref="F945">SUMPRODUCT((Tablo3[Şehirler]=E945)*(Tablo3[Ürün Kar Tutarı]))</f>
        <v>0</v>
      </c>
      <c r="H945" s="14"/>
      <c r="J945" s="9" cm="1">
        <f t="array" ref="J945">SUMPRODUCT((Tablo3[Urun Ad]=I945)*(Tablo3[Ürün Kar Tutarı]))</f>
        <v>0</v>
      </c>
      <c r="L945" s="37"/>
    </row>
    <row r="946" spans="1:12" x14ac:dyDescent="0.25">
      <c r="A946" s="13"/>
      <c r="B946" s="9" cm="1">
        <f t="array" ref="B946">SUMPRODUCT((Tablo3[Personel Ad]=A946)*(Tablo3[Ürün Kar Tutarı]))</f>
        <v>0</v>
      </c>
      <c r="D946" s="14"/>
      <c r="F946" s="9" cm="1">
        <f t="array" ref="F946">SUMPRODUCT((Tablo3[Şehirler]=E946)*(Tablo3[Ürün Kar Tutarı]))</f>
        <v>0</v>
      </c>
      <c r="H946" s="14"/>
      <c r="J946" s="9" cm="1">
        <f t="array" ref="J946">SUMPRODUCT((Tablo3[Urun Ad]=I946)*(Tablo3[Ürün Kar Tutarı]))</f>
        <v>0</v>
      </c>
      <c r="L946" s="37"/>
    </row>
    <row r="947" spans="1:12" x14ac:dyDescent="0.25">
      <c r="A947" s="13"/>
      <c r="B947" s="9" cm="1">
        <f t="array" ref="B947">SUMPRODUCT((Tablo3[Personel Ad]=A947)*(Tablo3[Ürün Kar Tutarı]))</f>
        <v>0</v>
      </c>
      <c r="D947" s="14"/>
      <c r="F947" s="9" cm="1">
        <f t="array" ref="F947">SUMPRODUCT((Tablo3[Şehirler]=E947)*(Tablo3[Ürün Kar Tutarı]))</f>
        <v>0</v>
      </c>
      <c r="H947" s="14"/>
      <c r="J947" s="9" cm="1">
        <f t="array" ref="J947">SUMPRODUCT((Tablo3[Urun Ad]=I947)*(Tablo3[Ürün Kar Tutarı]))</f>
        <v>0</v>
      </c>
      <c r="L947" s="37"/>
    </row>
    <row r="948" spans="1:12" x14ac:dyDescent="0.25">
      <c r="A948" s="13"/>
      <c r="B948" s="9" cm="1">
        <f t="array" ref="B948">SUMPRODUCT((Tablo3[Personel Ad]=A948)*(Tablo3[Ürün Kar Tutarı]))</f>
        <v>0</v>
      </c>
      <c r="D948" s="14"/>
      <c r="F948" s="9" cm="1">
        <f t="array" ref="F948">SUMPRODUCT((Tablo3[Şehirler]=E948)*(Tablo3[Ürün Kar Tutarı]))</f>
        <v>0</v>
      </c>
      <c r="H948" s="14"/>
      <c r="J948" s="9" cm="1">
        <f t="array" ref="J948">SUMPRODUCT((Tablo3[Urun Ad]=I948)*(Tablo3[Ürün Kar Tutarı]))</f>
        <v>0</v>
      </c>
      <c r="L948" s="37"/>
    </row>
    <row r="949" spans="1:12" x14ac:dyDescent="0.25">
      <c r="A949" s="13"/>
      <c r="B949" s="9" cm="1">
        <f t="array" ref="B949">SUMPRODUCT((Tablo3[Personel Ad]=A949)*(Tablo3[Ürün Kar Tutarı]))</f>
        <v>0</v>
      </c>
      <c r="D949" s="14"/>
      <c r="F949" s="9" cm="1">
        <f t="array" ref="F949">SUMPRODUCT((Tablo3[Şehirler]=E949)*(Tablo3[Ürün Kar Tutarı]))</f>
        <v>0</v>
      </c>
      <c r="H949" s="14"/>
      <c r="J949" s="9" cm="1">
        <f t="array" ref="J949">SUMPRODUCT((Tablo3[Urun Ad]=I949)*(Tablo3[Ürün Kar Tutarı]))</f>
        <v>0</v>
      </c>
      <c r="L949" s="37"/>
    </row>
    <row r="950" spans="1:12" x14ac:dyDescent="0.25">
      <c r="A950" s="13"/>
      <c r="B950" s="9" cm="1">
        <f t="array" ref="B950">SUMPRODUCT((Tablo3[Personel Ad]=A950)*(Tablo3[Ürün Kar Tutarı]))</f>
        <v>0</v>
      </c>
      <c r="D950" s="14"/>
      <c r="F950" s="9" cm="1">
        <f t="array" ref="F950">SUMPRODUCT((Tablo3[Şehirler]=E950)*(Tablo3[Ürün Kar Tutarı]))</f>
        <v>0</v>
      </c>
      <c r="H950" s="14"/>
      <c r="J950" s="9" cm="1">
        <f t="array" ref="J950">SUMPRODUCT((Tablo3[Urun Ad]=I950)*(Tablo3[Ürün Kar Tutarı]))</f>
        <v>0</v>
      </c>
      <c r="L950" s="37"/>
    </row>
    <row r="951" spans="1:12" x14ac:dyDescent="0.25">
      <c r="A951" s="13"/>
      <c r="B951" s="9" cm="1">
        <f t="array" ref="B951">SUMPRODUCT((Tablo3[Personel Ad]=A951)*(Tablo3[Ürün Kar Tutarı]))</f>
        <v>0</v>
      </c>
      <c r="D951" s="14"/>
      <c r="F951" s="9" cm="1">
        <f t="array" ref="F951">SUMPRODUCT((Tablo3[Şehirler]=E951)*(Tablo3[Ürün Kar Tutarı]))</f>
        <v>0</v>
      </c>
      <c r="H951" s="14"/>
      <c r="J951" s="9" cm="1">
        <f t="array" ref="J951">SUMPRODUCT((Tablo3[Urun Ad]=I951)*(Tablo3[Ürün Kar Tutarı]))</f>
        <v>0</v>
      </c>
      <c r="L951" s="37"/>
    </row>
    <row r="952" spans="1:12" x14ac:dyDescent="0.25">
      <c r="A952" s="13"/>
      <c r="B952" s="9" cm="1">
        <f t="array" ref="B952">SUMPRODUCT((Tablo3[Personel Ad]=A952)*(Tablo3[Ürün Kar Tutarı]))</f>
        <v>0</v>
      </c>
      <c r="D952" s="14"/>
      <c r="F952" s="9" cm="1">
        <f t="array" ref="F952">SUMPRODUCT((Tablo3[Şehirler]=E952)*(Tablo3[Ürün Kar Tutarı]))</f>
        <v>0</v>
      </c>
      <c r="H952" s="14"/>
      <c r="J952" s="9" cm="1">
        <f t="array" ref="J952">SUMPRODUCT((Tablo3[Urun Ad]=I952)*(Tablo3[Ürün Kar Tutarı]))</f>
        <v>0</v>
      </c>
      <c r="L952" s="37"/>
    </row>
    <row r="953" spans="1:12" x14ac:dyDescent="0.25">
      <c r="A953" s="13"/>
      <c r="B953" s="9" cm="1">
        <f t="array" ref="B953">SUMPRODUCT((Tablo3[Personel Ad]=A953)*(Tablo3[Ürün Kar Tutarı]))</f>
        <v>0</v>
      </c>
      <c r="D953" s="14"/>
      <c r="F953" s="9" cm="1">
        <f t="array" ref="F953">SUMPRODUCT((Tablo3[Şehirler]=E953)*(Tablo3[Ürün Kar Tutarı]))</f>
        <v>0</v>
      </c>
      <c r="H953" s="14"/>
      <c r="J953" s="9" cm="1">
        <f t="array" ref="J953">SUMPRODUCT((Tablo3[Urun Ad]=I953)*(Tablo3[Ürün Kar Tutarı]))</f>
        <v>0</v>
      </c>
      <c r="L953" s="37"/>
    </row>
    <row r="954" spans="1:12" x14ac:dyDescent="0.25">
      <c r="A954" s="13"/>
      <c r="B954" s="9" cm="1">
        <f t="array" ref="B954">SUMPRODUCT((Tablo3[Personel Ad]=A954)*(Tablo3[Ürün Kar Tutarı]))</f>
        <v>0</v>
      </c>
      <c r="D954" s="14"/>
      <c r="F954" s="9" cm="1">
        <f t="array" ref="F954">SUMPRODUCT((Tablo3[Şehirler]=E954)*(Tablo3[Ürün Kar Tutarı]))</f>
        <v>0</v>
      </c>
      <c r="H954" s="14"/>
      <c r="J954" s="9" cm="1">
        <f t="array" ref="J954">SUMPRODUCT((Tablo3[Urun Ad]=I954)*(Tablo3[Ürün Kar Tutarı]))</f>
        <v>0</v>
      </c>
      <c r="L954" s="37"/>
    </row>
    <row r="955" spans="1:12" x14ac:dyDescent="0.25">
      <c r="A955" s="13"/>
      <c r="B955" s="9" cm="1">
        <f t="array" ref="B955">SUMPRODUCT((Tablo3[Personel Ad]=A955)*(Tablo3[Ürün Kar Tutarı]))</f>
        <v>0</v>
      </c>
      <c r="D955" s="14"/>
      <c r="F955" s="9" cm="1">
        <f t="array" ref="F955">SUMPRODUCT((Tablo3[Şehirler]=E955)*(Tablo3[Ürün Kar Tutarı]))</f>
        <v>0</v>
      </c>
      <c r="H955" s="14"/>
      <c r="J955" s="9" cm="1">
        <f t="array" ref="J955">SUMPRODUCT((Tablo3[Urun Ad]=I955)*(Tablo3[Ürün Kar Tutarı]))</f>
        <v>0</v>
      </c>
      <c r="L955" s="37"/>
    </row>
    <row r="956" spans="1:12" x14ac:dyDescent="0.25">
      <c r="A956" s="13"/>
      <c r="B956" s="9" cm="1">
        <f t="array" ref="B956">SUMPRODUCT((Tablo3[Personel Ad]=A956)*(Tablo3[Ürün Kar Tutarı]))</f>
        <v>0</v>
      </c>
      <c r="D956" s="14"/>
      <c r="F956" s="9" cm="1">
        <f t="array" ref="F956">SUMPRODUCT((Tablo3[Şehirler]=E956)*(Tablo3[Ürün Kar Tutarı]))</f>
        <v>0</v>
      </c>
      <c r="H956" s="14"/>
      <c r="J956" s="9" cm="1">
        <f t="array" ref="J956">SUMPRODUCT((Tablo3[Urun Ad]=I956)*(Tablo3[Ürün Kar Tutarı]))</f>
        <v>0</v>
      </c>
      <c r="L956" s="37"/>
    </row>
    <row r="957" spans="1:12" x14ac:dyDescent="0.25">
      <c r="A957" s="13"/>
      <c r="B957" s="9" cm="1">
        <f t="array" ref="B957">SUMPRODUCT((Tablo3[Personel Ad]=A957)*(Tablo3[Ürün Kar Tutarı]))</f>
        <v>0</v>
      </c>
      <c r="D957" s="14"/>
      <c r="F957" s="9" cm="1">
        <f t="array" ref="F957">SUMPRODUCT((Tablo3[Şehirler]=E957)*(Tablo3[Ürün Kar Tutarı]))</f>
        <v>0</v>
      </c>
      <c r="H957" s="14"/>
      <c r="J957" s="9" cm="1">
        <f t="array" ref="J957">SUMPRODUCT((Tablo3[Urun Ad]=I957)*(Tablo3[Ürün Kar Tutarı]))</f>
        <v>0</v>
      </c>
      <c r="L957" s="37"/>
    </row>
    <row r="958" spans="1:12" x14ac:dyDescent="0.25">
      <c r="A958" s="13"/>
      <c r="B958" s="9" cm="1">
        <f t="array" ref="B958">SUMPRODUCT((Tablo3[Personel Ad]=A958)*(Tablo3[Ürün Kar Tutarı]))</f>
        <v>0</v>
      </c>
      <c r="D958" s="14"/>
      <c r="F958" s="9" cm="1">
        <f t="array" ref="F958">SUMPRODUCT((Tablo3[Şehirler]=E958)*(Tablo3[Ürün Kar Tutarı]))</f>
        <v>0</v>
      </c>
      <c r="H958" s="14"/>
      <c r="J958" s="9" cm="1">
        <f t="array" ref="J958">SUMPRODUCT((Tablo3[Urun Ad]=I958)*(Tablo3[Ürün Kar Tutarı]))</f>
        <v>0</v>
      </c>
      <c r="L958" s="37"/>
    </row>
    <row r="959" spans="1:12" x14ac:dyDescent="0.25">
      <c r="A959" s="13"/>
      <c r="B959" s="9" cm="1">
        <f t="array" ref="B959">SUMPRODUCT((Tablo3[Personel Ad]=A959)*(Tablo3[Ürün Kar Tutarı]))</f>
        <v>0</v>
      </c>
      <c r="D959" s="14"/>
      <c r="F959" s="9" cm="1">
        <f t="array" ref="F959">SUMPRODUCT((Tablo3[Şehirler]=E959)*(Tablo3[Ürün Kar Tutarı]))</f>
        <v>0</v>
      </c>
      <c r="H959" s="14"/>
      <c r="J959" s="9" cm="1">
        <f t="array" ref="J959">SUMPRODUCT((Tablo3[Urun Ad]=I959)*(Tablo3[Ürün Kar Tutarı]))</f>
        <v>0</v>
      </c>
      <c r="L959" s="37"/>
    </row>
    <row r="960" spans="1:12" x14ac:dyDescent="0.25">
      <c r="A960" s="13"/>
      <c r="B960" s="9" cm="1">
        <f t="array" ref="B960">SUMPRODUCT((Tablo3[Personel Ad]=A960)*(Tablo3[Ürün Kar Tutarı]))</f>
        <v>0</v>
      </c>
      <c r="D960" s="14"/>
      <c r="F960" s="9" cm="1">
        <f t="array" ref="F960">SUMPRODUCT((Tablo3[Şehirler]=E960)*(Tablo3[Ürün Kar Tutarı]))</f>
        <v>0</v>
      </c>
      <c r="H960" s="14"/>
      <c r="J960" s="9" cm="1">
        <f t="array" ref="J960">SUMPRODUCT((Tablo3[Urun Ad]=I960)*(Tablo3[Ürün Kar Tutarı]))</f>
        <v>0</v>
      </c>
      <c r="L960" s="37"/>
    </row>
    <row r="961" spans="1:12" x14ac:dyDescent="0.25">
      <c r="A961" s="13"/>
      <c r="B961" s="9" cm="1">
        <f t="array" ref="B961">SUMPRODUCT((Tablo3[Personel Ad]=A961)*(Tablo3[Ürün Kar Tutarı]))</f>
        <v>0</v>
      </c>
      <c r="D961" s="14"/>
      <c r="F961" s="9" cm="1">
        <f t="array" ref="F961">SUMPRODUCT((Tablo3[Şehirler]=E961)*(Tablo3[Ürün Kar Tutarı]))</f>
        <v>0</v>
      </c>
      <c r="H961" s="14"/>
      <c r="J961" s="9" cm="1">
        <f t="array" ref="J961">SUMPRODUCT((Tablo3[Urun Ad]=I961)*(Tablo3[Ürün Kar Tutarı]))</f>
        <v>0</v>
      </c>
      <c r="L961" s="37"/>
    </row>
    <row r="962" spans="1:12" x14ac:dyDescent="0.25">
      <c r="A962" s="13"/>
      <c r="B962" s="9" cm="1">
        <f t="array" ref="B962">SUMPRODUCT((Tablo3[Personel Ad]=A962)*(Tablo3[Ürün Kar Tutarı]))</f>
        <v>0</v>
      </c>
      <c r="D962" s="14"/>
      <c r="F962" s="9" cm="1">
        <f t="array" ref="F962">SUMPRODUCT((Tablo3[Şehirler]=E962)*(Tablo3[Ürün Kar Tutarı]))</f>
        <v>0</v>
      </c>
      <c r="H962" s="14"/>
      <c r="J962" s="9" cm="1">
        <f t="array" ref="J962">SUMPRODUCT((Tablo3[Urun Ad]=I962)*(Tablo3[Ürün Kar Tutarı]))</f>
        <v>0</v>
      </c>
      <c r="L962" s="37"/>
    </row>
    <row r="963" spans="1:12" x14ac:dyDescent="0.25">
      <c r="A963" s="13"/>
      <c r="B963" s="9" cm="1">
        <f t="array" ref="B963">SUMPRODUCT((Tablo3[Personel Ad]=A963)*(Tablo3[Ürün Kar Tutarı]))</f>
        <v>0</v>
      </c>
      <c r="D963" s="14"/>
      <c r="F963" s="9" cm="1">
        <f t="array" ref="F963">SUMPRODUCT((Tablo3[Şehirler]=E963)*(Tablo3[Ürün Kar Tutarı]))</f>
        <v>0</v>
      </c>
      <c r="H963" s="14"/>
      <c r="J963" s="9" cm="1">
        <f t="array" ref="J963">SUMPRODUCT((Tablo3[Urun Ad]=I963)*(Tablo3[Ürün Kar Tutarı]))</f>
        <v>0</v>
      </c>
      <c r="L963" s="37"/>
    </row>
    <row r="964" spans="1:12" x14ac:dyDescent="0.25">
      <c r="A964" s="13"/>
      <c r="B964" s="9" cm="1">
        <f t="array" ref="B964">SUMPRODUCT((Tablo3[Personel Ad]=A964)*(Tablo3[Ürün Kar Tutarı]))</f>
        <v>0</v>
      </c>
      <c r="D964" s="14"/>
      <c r="F964" s="9" cm="1">
        <f t="array" ref="F964">SUMPRODUCT((Tablo3[Şehirler]=E964)*(Tablo3[Ürün Kar Tutarı]))</f>
        <v>0</v>
      </c>
      <c r="H964" s="14"/>
      <c r="J964" s="9" cm="1">
        <f t="array" ref="J964">SUMPRODUCT((Tablo3[Urun Ad]=I964)*(Tablo3[Ürün Kar Tutarı]))</f>
        <v>0</v>
      </c>
      <c r="L964" s="37"/>
    </row>
    <row r="965" spans="1:12" x14ac:dyDescent="0.25">
      <c r="A965" s="13"/>
      <c r="B965" s="9" cm="1">
        <f t="array" ref="B965">SUMPRODUCT((Tablo3[Personel Ad]=A965)*(Tablo3[Ürün Kar Tutarı]))</f>
        <v>0</v>
      </c>
      <c r="D965" s="14"/>
      <c r="F965" s="9" cm="1">
        <f t="array" ref="F965">SUMPRODUCT((Tablo3[Şehirler]=E965)*(Tablo3[Ürün Kar Tutarı]))</f>
        <v>0</v>
      </c>
      <c r="H965" s="14"/>
      <c r="J965" s="9" cm="1">
        <f t="array" ref="J965">SUMPRODUCT((Tablo3[Urun Ad]=I965)*(Tablo3[Ürün Kar Tutarı]))</f>
        <v>0</v>
      </c>
      <c r="L965" s="37"/>
    </row>
    <row r="966" spans="1:12" x14ac:dyDescent="0.25">
      <c r="A966" s="13"/>
      <c r="B966" s="9" cm="1">
        <f t="array" ref="B966">SUMPRODUCT((Tablo3[Personel Ad]=A966)*(Tablo3[Ürün Kar Tutarı]))</f>
        <v>0</v>
      </c>
      <c r="D966" s="14"/>
      <c r="F966" s="9" cm="1">
        <f t="array" ref="F966">SUMPRODUCT((Tablo3[Şehirler]=E966)*(Tablo3[Ürün Kar Tutarı]))</f>
        <v>0</v>
      </c>
      <c r="H966" s="14"/>
      <c r="J966" s="9" cm="1">
        <f t="array" ref="J966">SUMPRODUCT((Tablo3[Urun Ad]=I966)*(Tablo3[Ürün Kar Tutarı]))</f>
        <v>0</v>
      </c>
      <c r="L966" s="37"/>
    </row>
    <row r="967" spans="1:12" x14ac:dyDescent="0.25">
      <c r="A967" s="13"/>
      <c r="B967" s="9" cm="1">
        <f t="array" ref="B967">SUMPRODUCT((Tablo3[Personel Ad]=A967)*(Tablo3[Ürün Kar Tutarı]))</f>
        <v>0</v>
      </c>
      <c r="D967" s="14"/>
      <c r="F967" s="9" cm="1">
        <f t="array" ref="F967">SUMPRODUCT((Tablo3[Şehirler]=E967)*(Tablo3[Ürün Kar Tutarı]))</f>
        <v>0</v>
      </c>
      <c r="H967" s="14"/>
      <c r="J967" s="9" cm="1">
        <f t="array" ref="J967">SUMPRODUCT((Tablo3[Urun Ad]=I967)*(Tablo3[Ürün Kar Tutarı]))</f>
        <v>0</v>
      </c>
      <c r="L967" s="37"/>
    </row>
    <row r="968" spans="1:12" x14ac:dyDescent="0.25">
      <c r="A968" s="13"/>
      <c r="B968" s="9" cm="1">
        <f t="array" ref="B968">SUMPRODUCT((Tablo3[Personel Ad]=A968)*(Tablo3[Ürün Kar Tutarı]))</f>
        <v>0</v>
      </c>
      <c r="D968" s="14"/>
      <c r="F968" s="9" cm="1">
        <f t="array" ref="F968">SUMPRODUCT((Tablo3[Şehirler]=E968)*(Tablo3[Ürün Kar Tutarı]))</f>
        <v>0</v>
      </c>
      <c r="H968" s="14"/>
      <c r="J968" s="9" cm="1">
        <f t="array" ref="J968">SUMPRODUCT((Tablo3[Urun Ad]=I968)*(Tablo3[Ürün Kar Tutarı]))</f>
        <v>0</v>
      </c>
      <c r="L968" s="37"/>
    </row>
    <row r="969" spans="1:12" x14ac:dyDescent="0.25">
      <c r="A969" s="13"/>
      <c r="B969" s="9" cm="1">
        <f t="array" ref="B969">SUMPRODUCT((Tablo3[Personel Ad]=A969)*(Tablo3[Ürün Kar Tutarı]))</f>
        <v>0</v>
      </c>
      <c r="D969" s="14"/>
      <c r="F969" s="9" cm="1">
        <f t="array" ref="F969">SUMPRODUCT((Tablo3[Şehirler]=E969)*(Tablo3[Ürün Kar Tutarı]))</f>
        <v>0</v>
      </c>
      <c r="H969" s="14"/>
      <c r="J969" s="9" cm="1">
        <f t="array" ref="J969">SUMPRODUCT((Tablo3[Urun Ad]=I969)*(Tablo3[Ürün Kar Tutarı]))</f>
        <v>0</v>
      </c>
      <c r="L969" s="37"/>
    </row>
    <row r="970" spans="1:12" x14ac:dyDescent="0.25">
      <c r="A970" s="13"/>
      <c r="B970" s="9" cm="1">
        <f t="array" ref="B970">SUMPRODUCT((Tablo3[Personel Ad]=A970)*(Tablo3[Ürün Kar Tutarı]))</f>
        <v>0</v>
      </c>
      <c r="D970" s="14"/>
      <c r="F970" s="9" cm="1">
        <f t="array" ref="F970">SUMPRODUCT((Tablo3[Şehirler]=E970)*(Tablo3[Ürün Kar Tutarı]))</f>
        <v>0</v>
      </c>
      <c r="H970" s="14"/>
      <c r="J970" s="9" cm="1">
        <f t="array" ref="J970">SUMPRODUCT((Tablo3[Urun Ad]=I970)*(Tablo3[Ürün Kar Tutarı]))</f>
        <v>0</v>
      </c>
      <c r="L970" s="37"/>
    </row>
    <row r="971" spans="1:12" x14ac:dyDescent="0.25">
      <c r="A971" s="13"/>
      <c r="B971" s="9" cm="1">
        <f t="array" ref="B971">SUMPRODUCT((Tablo3[Personel Ad]=A971)*(Tablo3[Ürün Kar Tutarı]))</f>
        <v>0</v>
      </c>
      <c r="D971" s="14"/>
      <c r="F971" s="9" cm="1">
        <f t="array" ref="F971">SUMPRODUCT((Tablo3[Şehirler]=E971)*(Tablo3[Ürün Kar Tutarı]))</f>
        <v>0</v>
      </c>
      <c r="H971" s="14"/>
      <c r="J971" s="9" cm="1">
        <f t="array" ref="J971">SUMPRODUCT((Tablo3[Urun Ad]=I971)*(Tablo3[Ürün Kar Tutarı]))</f>
        <v>0</v>
      </c>
      <c r="L971" s="37"/>
    </row>
    <row r="972" spans="1:12" x14ac:dyDescent="0.25">
      <c r="A972" s="13"/>
      <c r="B972" s="9" cm="1">
        <f t="array" ref="B972">SUMPRODUCT((Tablo3[Personel Ad]=A972)*(Tablo3[Ürün Kar Tutarı]))</f>
        <v>0</v>
      </c>
      <c r="D972" s="14"/>
      <c r="F972" s="9" cm="1">
        <f t="array" ref="F972">SUMPRODUCT((Tablo3[Şehirler]=E972)*(Tablo3[Ürün Kar Tutarı]))</f>
        <v>0</v>
      </c>
      <c r="H972" s="14"/>
      <c r="J972" s="9" cm="1">
        <f t="array" ref="J972">SUMPRODUCT((Tablo3[Urun Ad]=I972)*(Tablo3[Ürün Kar Tutarı]))</f>
        <v>0</v>
      </c>
      <c r="L972" s="37"/>
    </row>
    <row r="973" spans="1:12" x14ac:dyDescent="0.25">
      <c r="A973" s="13"/>
      <c r="B973" s="9" cm="1">
        <f t="array" ref="B973">SUMPRODUCT((Tablo3[Personel Ad]=A973)*(Tablo3[Ürün Kar Tutarı]))</f>
        <v>0</v>
      </c>
      <c r="D973" s="14"/>
      <c r="F973" s="9" cm="1">
        <f t="array" ref="F973">SUMPRODUCT((Tablo3[Şehirler]=E973)*(Tablo3[Ürün Kar Tutarı]))</f>
        <v>0</v>
      </c>
      <c r="H973" s="14"/>
      <c r="J973" s="9" cm="1">
        <f t="array" ref="J973">SUMPRODUCT((Tablo3[Urun Ad]=I973)*(Tablo3[Ürün Kar Tutarı]))</f>
        <v>0</v>
      </c>
      <c r="L973" s="37"/>
    </row>
    <row r="974" spans="1:12" x14ac:dyDescent="0.25">
      <c r="A974" s="13"/>
      <c r="B974" s="9" cm="1">
        <f t="array" ref="B974">SUMPRODUCT((Tablo3[Personel Ad]=A974)*(Tablo3[Ürün Kar Tutarı]))</f>
        <v>0</v>
      </c>
      <c r="D974" s="14"/>
      <c r="F974" s="9" cm="1">
        <f t="array" ref="F974">SUMPRODUCT((Tablo3[Şehirler]=E974)*(Tablo3[Ürün Kar Tutarı]))</f>
        <v>0</v>
      </c>
      <c r="H974" s="14"/>
      <c r="J974" s="9" cm="1">
        <f t="array" ref="J974">SUMPRODUCT((Tablo3[Urun Ad]=I974)*(Tablo3[Ürün Kar Tutarı]))</f>
        <v>0</v>
      </c>
      <c r="L974" s="37"/>
    </row>
    <row r="975" spans="1:12" x14ac:dyDescent="0.25">
      <c r="A975" s="13"/>
      <c r="B975" s="9" cm="1">
        <f t="array" ref="B975">SUMPRODUCT((Tablo3[Personel Ad]=A975)*(Tablo3[Ürün Kar Tutarı]))</f>
        <v>0</v>
      </c>
      <c r="D975" s="14"/>
      <c r="F975" s="9" cm="1">
        <f t="array" ref="F975">SUMPRODUCT((Tablo3[Şehirler]=E975)*(Tablo3[Ürün Kar Tutarı]))</f>
        <v>0</v>
      </c>
      <c r="H975" s="14"/>
      <c r="J975" s="9" cm="1">
        <f t="array" ref="J975">SUMPRODUCT((Tablo3[Urun Ad]=I975)*(Tablo3[Ürün Kar Tutarı]))</f>
        <v>0</v>
      </c>
      <c r="L975" s="37"/>
    </row>
    <row r="976" spans="1:12" x14ac:dyDescent="0.25">
      <c r="A976" s="13"/>
      <c r="B976" s="9" cm="1">
        <f t="array" ref="B976">SUMPRODUCT((Tablo3[Personel Ad]=A976)*(Tablo3[Ürün Kar Tutarı]))</f>
        <v>0</v>
      </c>
      <c r="D976" s="14"/>
      <c r="F976" s="9" cm="1">
        <f t="array" ref="F976">SUMPRODUCT((Tablo3[Şehirler]=E976)*(Tablo3[Ürün Kar Tutarı]))</f>
        <v>0</v>
      </c>
      <c r="H976" s="14"/>
      <c r="J976" s="9" cm="1">
        <f t="array" ref="J976">SUMPRODUCT((Tablo3[Urun Ad]=I976)*(Tablo3[Ürün Kar Tutarı]))</f>
        <v>0</v>
      </c>
      <c r="L976" s="37"/>
    </row>
    <row r="977" spans="1:12" x14ac:dyDescent="0.25">
      <c r="A977" s="13"/>
      <c r="B977" s="9" cm="1">
        <f t="array" ref="B977">SUMPRODUCT((Tablo3[Personel Ad]=A977)*(Tablo3[Ürün Kar Tutarı]))</f>
        <v>0</v>
      </c>
      <c r="D977" s="14"/>
      <c r="F977" s="9" cm="1">
        <f t="array" ref="F977">SUMPRODUCT((Tablo3[Şehirler]=E977)*(Tablo3[Ürün Kar Tutarı]))</f>
        <v>0</v>
      </c>
      <c r="H977" s="14"/>
      <c r="J977" s="9" cm="1">
        <f t="array" ref="J977">SUMPRODUCT((Tablo3[Urun Ad]=I977)*(Tablo3[Ürün Kar Tutarı]))</f>
        <v>0</v>
      </c>
      <c r="L977" s="37"/>
    </row>
    <row r="978" spans="1:12" x14ac:dyDescent="0.25">
      <c r="A978" s="13"/>
      <c r="B978" s="9" cm="1">
        <f t="array" ref="B978">SUMPRODUCT((Tablo3[Personel Ad]=A978)*(Tablo3[Ürün Kar Tutarı]))</f>
        <v>0</v>
      </c>
      <c r="D978" s="14"/>
      <c r="F978" s="9" cm="1">
        <f t="array" ref="F978">SUMPRODUCT((Tablo3[Şehirler]=E978)*(Tablo3[Ürün Kar Tutarı]))</f>
        <v>0</v>
      </c>
      <c r="H978" s="14"/>
      <c r="J978" s="9" cm="1">
        <f t="array" ref="J978">SUMPRODUCT((Tablo3[Urun Ad]=I978)*(Tablo3[Ürün Kar Tutarı]))</f>
        <v>0</v>
      </c>
      <c r="L978" s="37"/>
    </row>
    <row r="979" spans="1:12" x14ac:dyDescent="0.25">
      <c r="A979" s="13"/>
      <c r="B979" s="9" cm="1">
        <f t="array" ref="B979">SUMPRODUCT((Tablo3[Personel Ad]=A979)*(Tablo3[Ürün Kar Tutarı]))</f>
        <v>0</v>
      </c>
      <c r="D979" s="14"/>
      <c r="F979" s="9" cm="1">
        <f t="array" ref="F979">SUMPRODUCT((Tablo3[Şehirler]=E979)*(Tablo3[Ürün Kar Tutarı]))</f>
        <v>0</v>
      </c>
      <c r="H979" s="14"/>
      <c r="J979" s="9" cm="1">
        <f t="array" ref="J979">SUMPRODUCT((Tablo3[Urun Ad]=I979)*(Tablo3[Ürün Kar Tutarı]))</f>
        <v>0</v>
      </c>
      <c r="L979" s="37"/>
    </row>
    <row r="980" spans="1:12" x14ac:dyDescent="0.25">
      <c r="A980" s="13"/>
      <c r="B980" s="9" cm="1">
        <f t="array" ref="B980">SUMPRODUCT((Tablo3[Personel Ad]=A980)*(Tablo3[Ürün Kar Tutarı]))</f>
        <v>0</v>
      </c>
      <c r="D980" s="14"/>
      <c r="F980" s="9" cm="1">
        <f t="array" ref="F980">SUMPRODUCT((Tablo3[Şehirler]=E980)*(Tablo3[Ürün Kar Tutarı]))</f>
        <v>0</v>
      </c>
      <c r="H980" s="14"/>
      <c r="J980" s="9" cm="1">
        <f t="array" ref="J980">SUMPRODUCT((Tablo3[Urun Ad]=I980)*(Tablo3[Ürün Kar Tutarı]))</f>
        <v>0</v>
      </c>
      <c r="L980" s="37"/>
    </row>
    <row r="981" spans="1:12" x14ac:dyDescent="0.25">
      <c r="A981" s="13"/>
      <c r="B981" s="9" cm="1">
        <f t="array" ref="B981">SUMPRODUCT((Tablo3[Personel Ad]=A981)*(Tablo3[Ürün Kar Tutarı]))</f>
        <v>0</v>
      </c>
      <c r="D981" s="14"/>
      <c r="F981" s="9" cm="1">
        <f t="array" ref="F981">SUMPRODUCT((Tablo3[Şehirler]=E981)*(Tablo3[Ürün Kar Tutarı]))</f>
        <v>0</v>
      </c>
      <c r="H981" s="14"/>
      <c r="J981" s="9" cm="1">
        <f t="array" ref="J981">SUMPRODUCT((Tablo3[Urun Ad]=I981)*(Tablo3[Ürün Kar Tutarı]))</f>
        <v>0</v>
      </c>
      <c r="L981" s="37"/>
    </row>
    <row r="982" spans="1:12" x14ac:dyDescent="0.25">
      <c r="A982" s="13"/>
      <c r="B982" s="9" cm="1">
        <f t="array" ref="B982">SUMPRODUCT((Tablo3[Personel Ad]=A982)*(Tablo3[Ürün Kar Tutarı]))</f>
        <v>0</v>
      </c>
      <c r="D982" s="14"/>
      <c r="F982" s="9" cm="1">
        <f t="array" ref="F982">SUMPRODUCT((Tablo3[Şehirler]=E982)*(Tablo3[Ürün Kar Tutarı]))</f>
        <v>0</v>
      </c>
      <c r="H982" s="14"/>
      <c r="J982" s="9" cm="1">
        <f t="array" ref="J982">SUMPRODUCT((Tablo3[Urun Ad]=I982)*(Tablo3[Ürün Kar Tutarı]))</f>
        <v>0</v>
      </c>
      <c r="L982" s="37"/>
    </row>
    <row r="983" spans="1:12" x14ac:dyDescent="0.25">
      <c r="A983" s="13"/>
      <c r="B983" s="9" cm="1">
        <f t="array" ref="B983">SUMPRODUCT((Tablo3[Personel Ad]=A983)*(Tablo3[Ürün Kar Tutarı]))</f>
        <v>0</v>
      </c>
      <c r="D983" s="14"/>
      <c r="F983" s="9" cm="1">
        <f t="array" ref="F983">SUMPRODUCT((Tablo3[Şehirler]=E983)*(Tablo3[Ürün Kar Tutarı]))</f>
        <v>0</v>
      </c>
      <c r="H983" s="14"/>
      <c r="J983" s="9" cm="1">
        <f t="array" ref="J983">SUMPRODUCT((Tablo3[Urun Ad]=I983)*(Tablo3[Ürün Kar Tutarı]))</f>
        <v>0</v>
      </c>
      <c r="L983" s="37"/>
    </row>
    <row r="984" spans="1:12" x14ac:dyDescent="0.25">
      <c r="A984" s="13"/>
      <c r="B984" s="9" cm="1">
        <f t="array" ref="B984">SUMPRODUCT((Tablo3[Personel Ad]=A984)*(Tablo3[Ürün Kar Tutarı]))</f>
        <v>0</v>
      </c>
      <c r="D984" s="14"/>
      <c r="F984" s="9" cm="1">
        <f t="array" ref="F984">SUMPRODUCT((Tablo3[Şehirler]=E984)*(Tablo3[Ürün Kar Tutarı]))</f>
        <v>0</v>
      </c>
      <c r="H984" s="14"/>
      <c r="J984" s="9" cm="1">
        <f t="array" ref="J984">SUMPRODUCT((Tablo3[Urun Ad]=I984)*(Tablo3[Ürün Kar Tutarı]))</f>
        <v>0</v>
      </c>
      <c r="L984" s="37"/>
    </row>
    <row r="985" spans="1:12" x14ac:dyDescent="0.25">
      <c r="A985" s="13"/>
      <c r="B985" s="9" cm="1">
        <f t="array" ref="B985">SUMPRODUCT((Tablo3[Personel Ad]=A985)*(Tablo3[Ürün Kar Tutarı]))</f>
        <v>0</v>
      </c>
      <c r="D985" s="14"/>
      <c r="F985" s="9" cm="1">
        <f t="array" ref="F985">SUMPRODUCT((Tablo3[Şehirler]=E985)*(Tablo3[Ürün Kar Tutarı]))</f>
        <v>0</v>
      </c>
      <c r="H985" s="14"/>
      <c r="J985" s="9" cm="1">
        <f t="array" ref="J985">SUMPRODUCT((Tablo3[Urun Ad]=I985)*(Tablo3[Ürün Kar Tutarı]))</f>
        <v>0</v>
      </c>
      <c r="L985" s="37"/>
    </row>
    <row r="986" spans="1:12" x14ac:dyDescent="0.25">
      <c r="A986" s="13"/>
      <c r="B986" s="9" cm="1">
        <f t="array" ref="B986">SUMPRODUCT((Tablo3[Personel Ad]=A986)*(Tablo3[Ürün Kar Tutarı]))</f>
        <v>0</v>
      </c>
      <c r="D986" s="14"/>
      <c r="F986" s="9" cm="1">
        <f t="array" ref="F986">SUMPRODUCT((Tablo3[Şehirler]=E986)*(Tablo3[Ürün Kar Tutarı]))</f>
        <v>0</v>
      </c>
      <c r="H986" s="14"/>
      <c r="J986" s="9" cm="1">
        <f t="array" ref="J986">SUMPRODUCT((Tablo3[Urun Ad]=I986)*(Tablo3[Ürün Kar Tutarı]))</f>
        <v>0</v>
      </c>
      <c r="L986" s="37"/>
    </row>
    <row r="987" spans="1:12" x14ac:dyDescent="0.25">
      <c r="A987" s="13"/>
      <c r="B987" s="9" cm="1">
        <f t="array" ref="B987">SUMPRODUCT((Tablo3[Personel Ad]=A987)*(Tablo3[Ürün Kar Tutarı]))</f>
        <v>0</v>
      </c>
      <c r="D987" s="14"/>
      <c r="F987" s="9" cm="1">
        <f t="array" ref="F987">SUMPRODUCT((Tablo3[Şehirler]=E987)*(Tablo3[Ürün Kar Tutarı]))</f>
        <v>0</v>
      </c>
      <c r="H987" s="14"/>
      <c r="J987" s="9" cm="1">
        <f t="array" ref="J987">SUMPRODUCT((Tablo3[Urun Ad]=I987)*(Tablo3[Ürün Kar Tutarı]))</f>
        <v>0</v>
      </c>
      <c r="L987" s="37"/>
    </row>
    <row r="988" spans="1:12" x14ac:dyDescent="0.25">
      <c r="A988" s="13"/>
      <c r="B988" s="9" cm="1">
        <f t="array" ref="B988">SUMPRODUCT((Tablo3[Personel Ad]=A988)*(Tablo3[Ürün Kar Tutarı]))</f>
        <v>0</v>
      </c>
      <c r="D988" s="14"/>
      <c r="F988" s="9" cm="1">
        <f t="array" ref="F988">SUMPRODUCT((Tablo3[Şehirler]=E988)*(Tablo3[Ürün Kar Tutarı]))</f>
        <v>0</v>
      </c>
      <c r="H988" s="14"/>
      <c r="J988" s="9" cm="1">
        <f t="array" ref="J988">SUMPRODUCT((Tablo3[Urun Ad]=I988)*(Tablo3[Ürün Kar Tutarı]))</f>
        <v>0</v>
      </c>
      <c r="L988" s="37"/>
    </row>
    <row r="989" spans="1:12" x14ac:dyDescent="0.25">
      <c r="A989" s="13"/>
      <c r="B989" s="9" cm="1">
        <f t="array" ref="B989">SUMPRODUCT((Tablo3[Personel Ad]=A989)*(Tablo3[Ürün Kar Tutarı]))</f>
        <v>0</v>
      </c>
      <c r="D989" s="14"/>
      <c r="F989" s="9" cm="1">
        <f t="array" ref="F989">SUMPRODUCT((Tablo3[Şehirler]=E989)*(Tablo3[Ürün Kar Tutarı]))</f>
        <v>0</v>
      </c>
      <c r="H989" s="14"/>
      <c r="J989" s="9" cm="1">
        <f t="array" ref="J989">SUMPRODUCT((Tablo3[Urun Ad]=I989)*(Tablo3[Ürün Kar Tutarı]))</f>
        <v>0</v>
      </c>
      <c r="L989" s="37"/>
    </row>
    <row r="990" spans="1:12" x14ac:dyDescent="0.25">
      <c r="A990" s="13"/>
      <c r="B990" s="9" cm="1">
        <f t="array" ref="B990">SUMPRODUCT((Tablo3[Personel Ad]=A990)*(Tablo3[Ürün Kar Tutarı]))</f>
        <v>0</v>
      </c>
      <c r="D990" s="14"/>
      <c r="F990" s="9" cm="1">
        <f t="array" ref="F990">SUMPRODUCT((Tablo3[Şehirler]=E990)*(Tablo3[Ürün Kar Tutarı]))</f>
        <v>0</v>
      </c>
      <c r="H990" s="14"/>
      <c r="J990" s="9" cm="1">
        <f t="array" ref="J990">SUMPRODUCT((Tablo3[Urun Ad]=I990)*(Tablo3[Ürün Kar Tutarı]))</f>
        <v>0</v>
      </c>
      <c r="L990" s="37"/>
    </row>
    <row r="991" spans="1:12" x14ac:dyDescent="0.25">
      <c r="A991" s="13"/>
      <c r="B991" s="9" cm="1">
        <f t="array" ref="B991">SUMPRODUCT((Tablo3[Personel Ad]=A991)*(Tablo3[Ürün Kar Tutarı]))</f>
        <v>0</v>
      </c>
      <c r="D991" s="14"/>
      <c r="F991" s="9" cm="1">
        <f t="array" ref="F991">SUMPRODUCT((Tablo3[Şehirler]=E991)*(Tablo3[Ürün Kar Tutarı]))</f>
        <v>0</v>
      </c>
      <c r="H991" s="14"/>
      <c r="J991" s="9" cm="1">
        <f t="array" ref="J991">SUMPRODUCT((Tablo3[Urun Ad]=I991)*(Tablo3[Ürün Kar Tutarı]))</f>
        <v>0</v>
      </c>
      <c r="L991" s="37"/>
    </row>
    <row r="992" spans="1:12" x14ac:dyDescent="0.25">
      <c r="A992" s="13"/>
      <c r="B992" s="9" cm="1">
        <f t="array" ref="B992">SUMPRODUCT((Tablo3[Personel Ad]=A992)*(Tablo3[Ürün Kar Tutarı]))</f>
        <v>0</v>
      </c>
      <c r="D992" s="14"/>
      <c r="F992" s="9" cm="1">
        <f t="array" ref="F992">SUMPRODUCT((Tablo3[Şehirler]=E992)*(Tablo3[Ürün Kar Tutarı]))</f>
        <v>0</v>
      </c>
      <c r="H992" s="14"/>
      <c r="J992" s="9" cm="1">
        <f t="array" ref="J992">SUMPRODUCT((Tablo3[Urun Ad]=I992)*(Tablo3[Ürün Kar Tutarı]))</f>
        <v>0</v>
      </c>
      <c r="L992" s="37"/>
    </row>
    <row r="993" spans="1:12" x14ac:dyDescent="0.25">
      <c r="A993" s="13"/>
      <c r="B993" s="9" cm="1">
        <f t="array" ref="B993">SUMPRODUCT((Tablo3[Personel Ad]=A993)*(Tablo3[Ürün Kar Tutarı]))</f>
        <v>0</v>
      </c>
      <c r="D993" s="14"/>
      <c r="F993" s="9" cm="1">
        <f t="array" ref="F993">SUMPRODUCT((Tablo3[Şehirler]=E993)*(Tablo3[Ürün Kar Tutarı]))</f>
        <v>0</v>
      </c>
      <c r="H993" s="14"/>
      <c r="J993" s="9" cm="1">
        <f t="array" ref="J993">SUMPRODUCT((Tablo3[Urun Ad]=I993)*(Tablo3[Ürün Kar Tutarı]))</f>
        <v>0</v>
      </c>
      <c r="L993" s="37"/>
    </row>
    <row r="994" spans="1:12" x14ac:dyDescent="0.25">
      <c r="A994" s="13"/>
      <c r="B994" s="9" cm="1">
        <f t="array" ref="B994">SUMPRODUCT((Tablo3[Personel Ad]=A994)*(Tablo3[Ürün Kar Tutarı]))</f>
        <v>0</v>
      </c>
      <c r="D994" s="14"/>
      <c r="F994" s="9" cm="1">
        <f t="array" ref="F994">SUMPRODUCT((Tablo3[Şehirler]=E994)*(Tablo3[Ürün Kar Tutarı]))</f>
        <v>0</v>
      </c>
      <c r="H994" s="14"/>
      <c r="J994" s="9" cm="1">
        <f t="array" ref="J994">SUMPRODUCT((Tablo3[Urun Ad]=I994)*(Tablo3[Ürün Kar Tutarı]))</f>
        <v>0</v>
      </c>
      <c r="L994" s="37"/>
    </row>
    <row r="995" spans="1:12" x14ac:dyDescent="0.25">
      <c r="A995" s="13"/>
      <c r="B995" s="9" cm="1">
        <f t="array" ref="B995">SUMPRODUCT((Tablo3[Personel Ad]=A995)*(Tablo3[Ürün Kar Tutarı]))</f>
        <v>0</v>
      </c>
      <c r="D995" s="14"/>
      <c r="F995" s="9" cm="1">
        <f t="array" ref="F995">SUMPRODUCT((Tablo3[Şehirler]=E995)*(Tablo3[Ürün Kar Tutarı]))</f>
        <v>0</v>
      </c>
      <c r="H995" s="14"/>
      <c r="J995" s="9" cm="1">
        <f t="array" ref="J995">SUMPRODUCT((Tablo3[Urun Ad]=I995)*(Tablo3[Ürün Kar Tutarı]))</f>
        <v>0</v>
      </c>
      <c r="L995" s="37"/>
    </row>
    <row r="996" spans="1:12" x14ac:dyDescent="0.25">
      <c r="A996" s="13"/>
      <c r="B996" s="9" cm="1">
        <f t="array" ref="B996">SUMPRODUCT((Tablo3[Personel Ad]=A996)*(Tablo3[Ürün Kar Tutarı]))</f>
        <v>0</v>
      </c>
      <c r="D996" s="14"/>
      <c r="F996" s="9" cm="1">
        <f t="array" ref="F996">SUMPRODUCT((Tablo3[Şehirler]=E996)*(Tablo3[Ürün Kar Tutarı]))</f>
        <v>0</v>
      </c>
      <c r="H996" s="14"/>
      <c r="J996" s="9" cm="1">
        <f t="array" ref="J996">SUMPRODUCT((Tablo3[Urun Ad]=I996)*(Tablo3[Ürün Kar Tutarı]))</f>
        <v>0</v>
      </c>
      <c r="L996" s="37"/>
    </row>
    <row r="997" spans="1:12" x14ac:dyDescent="0.25">
      <c r="A997" s="13"/>
      <c r="B997" s="9" cm="1">
        <f t="array" ref="B997">SUMPRODUCT((Tablo3[Personel Ad]=A997)*(Tablo3[Ürün Kar Tutarı]))</f>
        <v>0</v>
      </c>
      <c r="D997" s="14"/>
      <c r="F997" s="9" cm="1">
        <f t="array" ref="F997">SUMPRODUCT((Tablo3[Şehirler]=E997)*(Tablo3[Ürün Kar Tutarı]))</f>
        <v>0</v>
      </c>
      <c r="H997" s="14"/>
      <c r="J997" s="9" cm="1">
        <f t="array" ref="J997">SUMPRODUCT((Tablo3[Urun Ad]=I997)*(Tablo3[Ürün Kar Tutarı]))</f>
        <v>0</v>
      </c>
      <c r="L997" s="37"/>
    </row>
    <row r="998" spans="1:12" x14ac:dyDescent="0.25">
      <c r="A998" s="13"/>
      <c r="B998" s="9" cm="1">
        <f t="array" ref="B998">SUMPRODUCT((Tablo3[Personel Ad]=A998)*(Tablo3[Ürün Kar Tutarı]))</f>
        <v>0</v>
      </c>
      <c r="D998" s="14"/>
      <c r="F998" s="9" cm="1">
        <f t="array" ref="F998">SUMPRODUCT((Tablo3[Şehirler]=E998)*(Tablo3[Ürün Kar Tutarı]))</f>
        <v>0</v>
      </c>
      <c r="H998" s="14"/>
      <c r="J998" s="9" cm="1">
        <f t="array" ref="J998">SUMPRODUCT((Tablo3[Urun Ad]=I998)*(Tablo3[Ürün Kar Tutarı]))</f>
        <v>0</v>
      </c>
      <c r="L998" s="37"/>
    </row>
    <row r="999" spans="1:12" x14ac:dyDescent="0.25">
      <c r="A999" s="13"/>
      <c r="B999" s="9" cm="1">
        <f t="array" ref="B999">SUMPRODUCT((Tablo3[Personel Ad]=A999)*(Tablo3[Ürün Kar Tutarı]))</f>
        <v>0</v>
      </c>
      <c r="D999" s="14"/>
      <c r="F999" s="9" cm="1">
        <f t="array" ref="F999">SUMPRODUCT((Tablo3[Şehirler]=E999)*(Tablo3[Ürün Kar Tutarı]))</f>
        <v>0</v>
      </c>
      <c r="H999" s="14"/>
      <c r="J999" s="9" cm="1">
        <f t="array" ref="J999">SUMPRODUCT((Tablo3[Urun Ad]=I999)*(Tablo3[Ürün Kar Tutarı]))</f>
        <v>0</v>
      </c>
      <c r="L999" s="37"/>
    </row>
    <row r="1000" spans="1:12" x14ac:dyDescent="0.25">
      <c r="A1000" s="13"/>
      <c r="B1000" s="9" cm="1">
        <f t="array" ref="B1000">SUMPRODUCT((Tablo3[Personel Ad]=A1000)*(Tablo3[Ürün Kar Tutarı]))</f>
        <v>0</v>
      </c>
      <c r="D1000" s="14"/>
      <c r="F1000" s="9" cm="1">
        <f t="array" ref="F1000">SUMPRODUCT((Tablo3[Şehirler]=E1000)*(Tablo3[Ürün Kar Tutarı]))</f>
        <v>0</v>
      </c>
      <c r="H1000" s="14"/>
      <c r="J1000" s="9" cm="1">
        <f t="array" ref="J1000">SUMPRODUCT((Tablo3[Urun Ad]=I1000)*(Tablo3[Ürün Kar Tutarı]))</f>
        <v>0</v>
      </c>
      <c r="L1000" s="37"/>
    </row>
    <row r="1001" spans="1:12" x14ac:dyDescent="0.25">
      <c r="A1001" s="13"/>
      <c r="B1001" s="9" cm="1">
        <f t="array" ref="B1001">SUMPRODUCT((Tablo3[Personel Ad]=A1001)*(Tablo3[Ürün Kar Tutarı]))</f>
        <v>0</v>
      </c>
      <c r="D1001" s="14"/>
      <c r="F1001" s="9" cm="1">
        <f t="array" ref="F1001">SUMPRODUCT((Tablo3[Şehirler]=E1001)*(Tablo3[Ürün Kar Tutarı]))</f>
        <v>0</v>
      </c>
      <c r="H1001" s="14"/>
      <c r="J1001" s="9" cm="1">
        <f t="array" ref="J1001">SUMPRODUCT((Tablo3[Urun Ad]=I1001)*(Tablo3[Ürün Kar Tutarı]))</f>
        <v>0</v>
      </c>
      <c r="L1001" s="37"/>
    </row>
    <row r="1002" spans="1:12" x14ac:dyDescent="0.25">
      <c r="A1002" s="13"/>
      <c r="B1002" s="9" cm="1">
        <f t="array" ref="B1002">SUMPRODUCT((Tablo3[Personel Ad]=A1002)*(Tablo3[Ürün Kar Tutarı]))</f>
        <v>0</v>
      </c>
      <c r="D1002" s="14"/>
      <c r="F1002" s="9" cm="1">
        <f t="array" ref="F1002">SUMPRODUCT((Tablo3[Şehirler]=E1002)*(Tablo3[Ürün Kar Tutarı]))</f>
        <v>0</v>
      </c>
      <c r="H1002" s="14"/>
      <c r="J1002" s="9" cm="1">
        <f t="array" ref="J1002">SUMPRODUCT((Tablo3[Urun Ad]=I1002)*(Tablo3[Ürün Kar Tutarı]))</f>
        <v>0</v>
      </c>
      <c r="L1002" s="37"/>
    </row>
    <row r="1003" spans="1:12" x14ac:dyDescent="0.25">
      <c r="A1003" s="13"/>
      <c r="B1003" s="9" cm="1">
        <f t="array" ref="B1003">SUMPRODUCT((Tablo3[Personel Ad]=A1003)*(Tablo3[Ürün Kar Tutarı]))</f>
        <v>0</v>
      </c>
      <c r="D1003" s="14"/>
      <c r="F1003" s="9" cm="1">
        <f t="array" ref="F1003">SUMPRODUCT((Tablo3[Şehirler]=E1003)*(Tablo3[Ürün Kar Tutarı]))</f>
        <v>0</v>
      </c>
      <c r="H1003" s="14"/>
      <c r="J1003" s="9" cm="1">
        <f t="array" ref="J1003">SUMPRODUCT((Tablo3[Urun Ad]=I1003)*(Tablo3[Ürün Kar Tutarı]))</f>
        <v>0</v>
      </c>
      <c r="L1003" s="37"/>
    </row>
    <row r="1004" spans="1:12" x14ac:dyDescent="0.25">
      <c r="A1004" s="13"/>
      <c r="B1004" s="9" cm="1">
        <f t="array" ref="B1004">SUMPRODUCT((Tablo3[Personel Ad]=A1004)*(Tablo3[Ürün Kar Tutarı]))</f>
        <v>0</v>
      </c>
      <c r="D1004" s="14"/>
      <c r="F1004" s="9" cm="1">
        <f t="array" ref="F1004">SUMPRODUCT((Tablo3[Şehirler]=E1004)*(Tablo3[Ürün Kar Tutarı]))</f>
        <v>0</v>
      </c>
      <c r="H1004" s="14"/>
      <c r="J1004" s="9" cm="1">
        <f t="array" ref="J1004">SUMPRODUCT((Tablo3[Urun Ad]=I1004)*(Tablo3[Ürün Kar Tutarı]))</f>
        <v>0</v>
      </c>
      <c r="L1004" s="37"/>
    </row>
    <row r="1005" spans="1:12" x14ac:dyDescent="0.25">
      <c r="A1005" s="13"/>
      <c r="B1005" s="9" cm="1">
        <f t="array" ref="B1005">SUMPRODUCT((Tablo3[Personel Ad]=A1005)*(Tablo3[Ürün Kar Tutarı]))</f>
        <v>0</v>
      </c>
      <c r="D1005" s="14"/>
      <c r="F1005" s="9" cm="1">
        <f t="array" ref="F1005">SUMPRODUCT((Tablo3[Şehirler]=E1005)*(Tablo3[Ürün Kar Tutarı]))</f>
        <v>0</v>
      </c>
      <c r="H1005" s="14"/>
      <c r="J1005" s="9" cm="1">
        <f t="array" ref="J1005">SUMPRODUCT((Tablo3[Urun Ad]=I1005)*(Tablo3[Ürün Kar Tutarı]))</f>
        <v>0</v>
      </c>
      <c r="L1005" s="37"/>
    </row>
    <row r="1006" spans="1:12" x14ac:dyDescent="0.25">
      <c r="A1006" s="13"/>
      <c r="B1006" s="9" cm="1">
        <f t="array" ref="B1006">SUMPRODUCT((Tablo3[Personel Ad]=A1006)*(Tablo3[Ürün Kar Tutarı]))</f>
        <v>0</v>
      </c>
      <c r="D1006" s="14"/>
      <c r="F1006" s="9" cm="1">
        <f t="array" ref="F1006">SUMPRODUCT((Tablo3[Şehirler]=E1006)*(Tablo3[Ürün Kar Tutarı]))</f>
        <v>0</v>
      </c>
      <c r="H1006" s="14"/>
      <c r="J1006" s="9" cm="1">
        <f t="array" ref="J1006">SUMPRODUCT((Tablo3[Urun Ad]=I1006)*(Tablo3[Ürün Kar Tutarı]))</f>
        <v>0</v>
      </c>
      <c r="L1006" s="37"/>
    </row>
    <row r="1007" spans="1:12" x14ac:dyDescent="0.25">
      <c r="A1007" s="13"/>
      <c r="B1007" s="9" cm="1">
        <f t="array" ref="B1007">SUMPRODUCT((Tablo3[Personel Ad]=A1007)*(Tablo3[Ürün Kar Tutarı]))</f>
        <v>0</v>
      </c>
      <c r="D1007" s="14"/>
      <c r="F1007" s="9" cm="1">
        <f t="array" ref="F1007">SUMPRODUCT((Tablo3[Şehirler]=E1007)*(Tablo3[Ürün Kar Tutarı]))</f>
        <v>0</v>
      </c>
      <c r="H1007" s="14"/>
      <c r="J1007" s="9" cm="1">
        <f t="array" ref="J1007">SUMPRODUCT((Tablo3[Urun Ad]=I1007)*(Tablo3[Ürün Kar Tutarı]))</f>
        <v>0</v>
      </c>
      <c r="L1007" s="37"/>
    </row>
    <row r="1008" spans="1:12" x14ac:dyDescent="0.25">
      <c r="A1008" s="13"/>
      <c r="B1008" s="9" cm="1">
        <f t="array" ref="B1008">SUMPRODUCT((Tablo3[Personel Ad]=A1008)*(Tablo3[Ürün Kar Tutarı]))</f>
        <v>0</v>
      </c>
      <c r="D1008" s="14"/>
      <c r="F1008" s="9" cm="1">
        <f t="array" ref="F1008">SUMPRODUCT((Tablo3[Şehirler]=E1008)*(Tablo3[Ürün Kar Tutarı]))</f>
        <v>0</v>
      </c>
      <c r="H1008" s="14"/>
      <c r="J1008" s="9" cm="1">
        <f t="array" ref="J1008">SUMPRODUCT((Tablo3[Urun Ad]=I1008)*(Tablo3[Ürün Kar Tutarı]))</f>
        <v>0</v>
      </c>
      <c r="L1008" s="37"/>
    </row>
    <row r="1009" spans="1:12" x14ac:dyDescent="0.25">
      <c r="A1009" s="13"/>
      <c r="B1009" s="9" cm="1">
        <f t="array" ref="B1009">SUMPRODUCT((Tablo3[Personel Ad]=A1009)*(Tablo3[Ürün Kar Tutarı]))</f>
        <v>0</v>
      </c>
      <c r="D1009" s="14"/>
      <c r="F1009" s="9" cm="1">
        <f t="array" ref="F1009">SUMPRODUCT((Tablo3[Şehirler]=E1009)*(Tablo3[Ürün Kar Tutarı]))</f>
        <v>0</v>
      </c>
      <c r="H1009" s="14"/>
      <c r="J1009" s="9" cm="1">
        <f t="array" ref="J1009">SUMPRODUCT((Tablo3[Urun Ad]=I1009)*(Tablo3[Ürün Kar Tutarı]))</f>
        <v>0</v>
      </c>
      <c r="L1009" s="37"/>
    </row>
    <row r="1010" spans="1:12" x14ac:dyDescent="0.25">
      <c r="A1010" s="13"/>
      <c r="B1010" s="9" cm="1">
        <f t="array" ref="B1010">SUMPRODUCT((Tablo3[Personel Ad]=A1010)*(Tablo3[Ürün Kar Tutarı]))</f>
        <v>0</v>
      </c>
      <c r="D1010" s="14"/>
      <c r="F1010" s="9" cm="1">
        <f t="array" ref="F1010">SUMPRODUCT((Tablo3[Şehirler]=E1010)*(Tablo3[Ürün Kar Tutarı]))</f>
        <v>0</v>
      </c>
      <c r="H1010" s="14"/>
      <c r="J1010" s="9" cm="1">
        <f t="array" ref="J1010">SUMPRODUCT((Tablo3[Urun Ad]=I1010)*(Tablo3[Ürün Kar Tutarı]))</f>
        <v>0</v>
      </c>
      <c r="L1010" s="37"/>
    </row>
    <row r="1011" spans="1:12" x14ac:dyDescent="0.25">
      <c r="A1011" s="13"/>
      <c r="B1011" s="9" cm="1">
        <f t="array" ref="B1011">SUMPRODUCT((Tablo3[Personel Ad]=A1011)*(Tablo3[Ürün Kar Tutarı]))</f>
        <v>0</v>
      </c>
      <c r="D1011" s="14"/>
      <c r="F1011" s="9" cm="1">
        <f t="array" ref="F1011">SUMPRODUCT((Tablo3[Şehirler]=E1011)*(Tablo3[Ürün Kar Tutarı]))</f>
        <v>0</v>
      </c>
      <c r="H1011" s="14"/>
      <c r="J1011" s="9" cm="1">
        <f t="array" ref="J1011">SUMPRODUCT((Tablo3[Urun Ad]=I1011)*(Tablo3[Ürün Kar Tutarı]))</f>
        <v>0</v>
      </c>
      <c r="L1011" s="37"/>
    </row>
    <row r="1012" spans="1:12" x14ac:dyDescent="0.25">
      <c r="A1012" s="13"/>
      <c r="B1012" s="9" cm="1">
        <f t="array" ref="B1012">SUMPRODUCT((Tablo3[Personel Ad]=A1012)*(Tablo3[Ürün Kar Tutarı]))</f>
        <v>0</v>
      </c>
      <c r="D1012" s="14"/>
      <c r="F1012" s="9" cm="1">
        <f t="array" ref="F1012">SUMPRODUCT((Tablo3[Şehirler]=E1012)*(Tablo3[Ürün Kar Tutarı]))</f>
        <v>0</v>
      </c>
      <c r="H1012" s="14"/>
      <c r="J1012" s="9" cm="1">
        <f t="array" ref="J1012">SUMPRODUCT((Tablo3[Urun Ad]=I1012)*(Tablo3[Ürün Kar Tutarı]))</f>
        <v>0</v>
      </c>
      <c r="L1012" s="37"/>
    </row>
    <row r="1013" spans="1:12" x14ac:dyDescent="0.25">
      <c r="A1013" s="13"/>
      <c r="B1013" s="9" cm="1">
        <f t="array" ref="B1013">SUMPRODUCT((Tablo3[Personel Ad]=A1013)*(Tablo3[Ürün Kar Tutarı]))</f>
        <v>0</v>
      </c>
      <c r="D1013" s="14"/>
      <c r="F1013" s="9" cm="1">
        <f t="array" ref="F1013">SUMPRODUCT((Tablo3[Şehirler]=E1013)*(Tablo3[Ürün Kar Tutarı]))</f>
        <v>0</v>
      </c>
      <c r="H1013" s="14"/>
      <c r="J1013" s="9" cm="1">
        <f t="array" ref="J1013">SUMPRODUCT((Tablo3[Urun Ad]=I1013)*(Tablo3[Ürün Kar Tutarı]))</f>
        <v>0</v>
      </c>
      <c r="L1013" s="37"/>
    </row>
    <row r="1014" spans="1:12" x14ac:dyDescent="0.25">
      <c r="A1014" s="13"/>
      <c r="B1014" s="9" cm="1">
        <f t="array" ref="B1014">SUMPRODUCT((Tablo3[Personel Ad]=A1014)*(Tablo3[Ürün Kar Tutarı]))</f>
        <v>0</v>
      </c>
      <c r="D1014" s="14"/>
      <c r="F1014" s="9" cm="1">
        <f t="array" ref="F1014">SUMPRODUCT((Tablo3[Şehirler]=E1014)*(Tablo3[Ürün Kar Tutarı]))</f>
        <v>0</v>
      </c>
      <c r="H1014" s="14"/>
      <c r="J1014" s="9" cm="1">
        <f t="array" ref="J1014">SUMPRODUCT((Tablo3[Urun Ad]=I1014)*(Tablo3[Ürün Kar Tutarı]))</f>
        <v>0</v>
      </c>
      <c r="L1014" s="37"/>
    </row>
    <row r="1015" spans="1:12" x14ac:dyDescent="0.25">
      <c r="A1015" s="13"/>
      <c r="B1015" s="9" cm="1">
        <f t="array" ref="B1015">SUMPRODUCT((Tablo3[Personel Ad]=A1015)*(Tablo3[Ürün Kar Tutarı]))</f>
        <v>0</v>
      </c>
      <c r="D1015" s="14"/>
      <c r="F1015" s="9" cm="1">
        <f t="array" ref="F1015">SUMPRODUCT((Tablo3[Şehirler]=E1015)*(Tablo3[Ürün Kar Tutarı]))</f>
        <v>0</v>
      </c>
      <c r="H1015" s="14"/>
      <c r="J1015" s="9" cm="1">
        <f t="array" ref="J1015">SUMPRODUCT((Tablo3[Urun Ad]=I1015)*(Tablo3[Ürün Kar Tutarı]))</f>
        <v>0</v>
      </c>
      <c r="L1015" s="37"/>
    </row>
    <row r="1016" spans="1:12" x14ac:dyDescent="0.25">
      <c r="A1016" s="13"/>
      <c r="B1016" s="9" cm="1">
        <f t="array" ref="B1016">SUMPRODUCT((Tablo3[Personel Ad]=A1016)*(Tablo3[Ürün Kar Tutarı]))</f>
        <v>0</v>
      </c>
      <c r="D1016" s="14"/>
      <c r="F1016" s="9" cm="1">
        <f t="array" ref="F1016">SUMPRODUCT((Tablo3[Şehirler]=E1016)*(Tablo3[Ürün Kar Tutarı]))</f>
        <v>0</v>
      </c>
      <c r="H1016" s="14"/>
      <c r="J1016" s="9" cm="1">
        <f t="array" ref="J1016">SUMPRODUCT((Tablo3[Urun Ad]=I1016)*(Tablo3[Ürün Kar Tutarı]))</f>
        <v>0</v>
      </c>
      <c r="L1016" s="37"/>
    </row>
    <row r="1017" spans="1:12" x14ac:dyDescent="0.25">
      <c r="A1017" s="13"/>
      <c r="B1017" s="9" cm="1">
        <f t="array" ref="B1017">SUMPRODUCT((Tablo3[Personel Ad]=A1017)*(Tablo3[Ürün Kar Tutarı]))</f>
        <v>0</v>
      </c>
      <c r="D1017" s="14"/>
      <c r="F1017" s="9" cm="1">
        <f t="array" ref="F1017">SUMPRODUCT((Tablo3[Şehirler]=E1017)*(Tablo3[Ürün Kar Tutarı]))</f>
        <v>0</v>
      </c>
      <c r="H1017" s="14"/>
      <c r="J1017" s="9" cm="1">
        <f t="array" ref="J1017">SUMPRODUCT((Tablo3[Urun Ad]=I1017)*(Tablo3[Ürün Kar Tutarı]))</f>
        <v>0</v>
      </c>
      <c r="L1017" s="37"/>
    </row>
    <row r="1018" spans="1:12" x14ac:dyDescent="0.25">
      <c r="A1018" s="13"/>
      <c r="B1018" s="9" cm="1">
        <f t="array" ref="B1018">SUMPRODUCT((Tablo3[Personel Ad]=A1018)*(Tablo3[Ürün Kar Tutarı]))</f>
        <v>0</v>
      </c>
      <c r="D1018" s="14"/>
      <c r="F1018" s="9" cm="1">
        <f t="array" ref="F1018">SUMPRODUCT((Tablo3[Şehirler]=E1018)*(Tablo3[Ürün Kar Tutarı]))</f>
        <v>0</v>
      </c>
      <c r="H1018" s="14"/>
      <c r="J1018" s="9" cm="1">
        <f t="array" ref="J1018">SUMPRODUCT((Tablo3[Urun Ad]=I1018)*(Tablo3[Ürün Kar Tutarı]))</f>
        <v>0</v>
      </c>
      <c r="L1018" s="37"/>
    </row>
    <row r="1019" spans="1:12" x14ac:dyDescent="0.25">
      <c r="A1019" s="13"/>
      <c r="B1019" s="9" cm="1">
        <f t="array" ref="B1019">SUMPRODUCT((Tablo3[Personel Ad]=A1019)*(Tablo3[Ürün Kar Tutarı]))</f>
        <v>0</v>
      </c>
      <c r="D1019" s="14"/>
      <c r="F1019" s="9" cm="1">
        <f t="array" ref="F1019">SUMPRODUCT((Tablo3[Şehirler]=E1019)*(Tablo3[Ürün Kar Tutarı]))</f>
        <v>0</v>
      </c>
      <c r="H1019" s="14"/>
      <c r="J1019" s="9" cm="1">
        <f t="array" ref="J1019">SUMPRODUCT((Tablo3[Urun Ad]=I1019)*(Tablo3[Ürün Kar Tutarı]))</f>
        <v>0</v>
      </c>
      <c r="L1019" s="37"/>
    </row>
    <row r="1020" spans="1:12" x14ac:dyDescent="0.25">
      <c r="A1020" s="13"/>
      <c r="B1020" s="9" cm="1">
        <f t="array" ref="B1020">SUMPRODUCT((Tablo3[Personel Ad]=A1020)*(Tablo3[Ürün Kar Tutarı]))</f>
        <v>0</v>
      </c>
      <c r="D1020" s="14"/>
      <c r="F1020" s="9" cm="1">
        <f t="array" ref="F1020">SUMPRODUCT((Tablo3[Şehirler]=E1020)*(Tablo3[Ürün Kar Tutarı]))</f>
        <v>0</v>
      </c>
      <c r="H1020" s="14"/>
      <c r="J1020" s="9" cm="1">
        <f t="array" ref="J1020">SUMPRODUCT((Tablo3[Urun Ad]=I1020)*(Tablo3[Ürün Kar Tutarı]))</f>
        <v>0</v>
      </c>
      <c r="L1020" s="37"/>
    </row>
    <row r="1021" spans="1:12" x14ac:dyDescent="0.25">
      <c r="A1021" s="13"/>
      <c r="B1021" s="9" cm="1">
        <f t="array" ref="B1021">SUMPRODUCT((Tablo3[Personel Ad]=A1021)*(Tablo3[Ürün Kar Tutarı]))</f>
        <v>0</v>
      </c>
      <c r="D1021" s="14"/>
      <c r="F1021" s="9" cm="1">
        <f t="array" ref="F1021">SUMPRODUCT((Tablo3[Şehirler]=E1021)*(Tablo3[Ürün Kar Tutarı]))</f>
        <v>0</v>
      </c>
      <c r="H1021" s="14"/>
      <c r="J1021" s="9" cm="1">
        <f t="array" ref="J1021">SUMPRODUCT((Tablo3[Urun Ad]=I1021)*(Tablo3[Ürün Kar Tutarı]))</f>
        <v>0</v>
      </c>
      <c r="L1021" s="37"/>
    </row>
    <row r="1022" spans="1:12" x14ac:dyDescent="0.25">
      <c r="A1022" s="13"/>
      <c r="B1022" s="9" cm="1">
        <f t="array" ref="B1022">SUMPRODUCT((Tablo3[Personel Ad]=A1022)*(Tablo3[Ürün Kar Tutarı]))</f>
        <v>0</v>
      </c>
      <c r="D1022" s="14"/>
      <c r="F1022" s="9" cm="1">
        <f t="array" ref="F1022">SUMPRODUCT((Tablo3[Şehirler]=E1022)*(Tablo3[Ürün Kar Tutarı]))</f>
        <v>0</v>
      </c>
      <c r="H1022" s="14"/>
      <c r="J1022" s="9" cm="1">
        <f t="array" ref="J1022">SUMPRODUCT((Tablo3[Urun Ad]=I1022)*(Tablo3[Ürün Kar Tutarı]))</f>
        <v>0</v>
      </c>
      <c r="L1022" s="37"/>
    </row>
    <row r="1023" spans="1:12" x14ac:dyDescent="0.25">
      <c r="A1023" s="13"/>
      <c r="B1023" s="9" cm="1">
        <f t="array" ref="B1023">SUMPRODUCT((Tablo3[Personel Ad]=A1023)*(Tablo3[Ürün Kar Tutarı]))</f>
        <v>0</v>
      </c>
      <c r="D1023" s="14"/>
      <c r="F1023" s="9" cm="1">
        <f t="array" ref="F1023">SUMPRODUCT((Tablo3[Şehirler]=E1023)*(Tablo3[Ürün Kar Tutarı]))</f>
        <v>0</v>
      </c>
      <c r="H1023" s="14"/>
      <c r="J1023" s="9" cm="1">
        <f t="array" ref="J1023">SUMPRODUCT((Tablo3[Urun Ad]=I1023)*(Tablo3[Ürün Kar Tutarı]))</f>
        <v>0</v>
      </c>
      <c r="L1023" s="37"/>
    </row>
    <row r="1024" spans="1:12" x14ac:dyDescent="0.25">
      <c r="A1024" s="13"/>
      <c r="B1024" s="9" cm="1">
        <f t="array" ref="B1024">SUMPRODUCT((Tablo3[Personel Ad]=A1024)*(Tablo3[Ürün Kar Tutarı]))</f>
        <v>0</v>
      </c>
      <c r="D1024" s="14"/>
      <c r="F1024" s="9" cm="1">
        <f t="array" ref="F1024">SUMPRODUCT((Tablo3[Şehirler]=E1024)*(Tablo3[Ürün Kar Tutarı]))</f>
        <v>0</v>
      </c>
      <c r="H1024" s="14"/>
      <c r="J1024" s="9" cm="1">
        <f t="array" ref="J1024">SUMPRODUCT((Tablo3[Urun Ad]=I1024)*(Tablo3[Ürün Kar Tutarı]))</f>
        <v>0</v>
      </c>
      <c r="L1024" s="37"/>
    </row>
    <row r="1025" spans="1:12" x14ac:dyDescent="0.25">
      <c r="A1025" s="13"/>
      <c r="B1025" s="9" cm="1">
        <f t="array" ref="B1025">SUMPRODUCT((Tablo3[Personel Ad]=A1025)*(Tablo3[Ürün Kar Tutarı]))</f>
        <v>0</v>
      </c>
      <c r="D1025" s="14"/>
      <c r="F1025" s="9" cm="1">
        <f t="array" ref="F1025">SUMPRODUCT((Tablo3[Şehirler]=E1025)*(Tablo3[Ürün Kar Tutarı]))</f>
        <v>0</v>
      </c>
      <c r="H1025" s="14"/>
      <c r="J1025" s="9" cm="1">
        <f t="array" ref="J1025">SUMPRODUCT((Tablo3[Urun Ad]=I1025)*(Tablo3[Ürün Kar Tutarı]))</f>
        <v>0</v>
      </c>
      <c r="L1025" s="37"/>
    </row>
    <row r="1026" spans="1:12" x14ac:dyDescent="0.25">
      <c r="A1026" s="13"/>
      <c r="B1026" s="9" cm="1">
        <f t="array" ref="B1026">SUMPRODUCT((Tablo3[Personel Ad]=A1026)*(Tablo3[Ürün Kar Tutarı]))</f>
        <v>0</v>
      </c>
      <c r="D1026" s="14"/>
      <c r="F1026" s="9" cm="1">
        <f t="array" ref="F1026">SUMPRODUCT((Tablo3[Şehirler]=E1026)*(Tablo3[Ürün Kar Tutarı]))</f>
        <v>0</v>
      </c>
      <c r="H1026" s="14"/>
      <c r="J1026" s="9" cm="1">
        <f t="array" ref="J1026">SUMPRODUCT((Tablo3[Urun Ad]=I1026)*(Tablo3[Ürün Kar Tutarı]))</f>
        <v>0</v>
      </c>
      <c r="L1026" s="37"/>
    </row>
    <row r="1027" spans="1:12" x14ac:dyDescent="0.25">
      <c r="A1027" s="13"/>
      <c r="B1027" s="9" cm="1">
        <f t="array" ref="B1027">SUMPRODUCT((Tablo3[Personel Ad]=A1027)*(Tablo3[Ürün Kar Tutarı]))</f>
        <v>0</v>
      </c>
      <c r="D1027" s="14"/>
      <c r="F1027" s="9" cm="1">
        <f t="array" ref="F1027">SUMPRODUCT((Tablo3[Şehirler]=E1027)*(Tablo3[Ürün Kar Tutarı]))</f>
        <v>0</v>
      </c>
      <c r="H1027" s="14"/>
      <c r="J1027" s="9" cm="1">
        <f t="array" ref="J1027">SUMPRODUCT((Tablo3[Urun Ad]=I1027)*(Tablo3[Ürün Kar Tutarı]))</f>
        <v>0</v>
      </c>
      <c r="L1027" s="37"/>
    </row>
    <row r="1028" spans="1:12" x14ac:dyDescent="0.25">
      <c r="A1028" s="13"/>
      <c r="B1028" s="9" cm="1">
        <f t="array" ref="B1028">SUMPRODUCT((Tablo3[Personel Ad]=A1028)*(Tablo3[Ürün Kar Tutarı]))</f>
        <v>0</v>
      </c>
      <c r="D1028" s="14"/>
      <c r="F1028" s="9" cm="1">
        <f t="array" ref="F1028">SUMPRODUCT((Tablo3[Şehirler]=E1028)*(Tablo3[Ürün Kar Tutarı]))</f>
        <v>0</v>
      </c>
      <c r="H1028" s="14"/>
      <c r="J1028" s="9" cm="1">
        <f t="array" ref="J1028">SUMPRODUCT((Tablo3[Urun Ad]=I1028)*(Tablo3[Ürün Kar Tutarı]))</f>
        <v>0</v>
      </c>
      <c r="L1028" s="37"/>
    </row>
    <row r="1029" spans="1:12" x14ac:dyDescent="0.25">
      <c r="A1029" s="13"/>
      <c r="B1029" s="9" cm="1">
        <f t="array" ref="B1029">SUMPRODUCT((Tablo3[Personel Ad]=A1029)*(Tablo3[Ürün Kar Tutarı]))</f>
        <v>0</v>
      </c>
      <c r="D1029" s="14"/>
      <c r="F1029" s="9" cm="1">
        <f t="array" ref="F1029">SUMPRODUCT((Tablo3[Şehirler]=E1029)*(Tablo3[Ürün Kar Tutarı]))</f>
        <v>0</v>
      </c>
      <c r="H1029" s="14"/>
      <c r="J1029" s="9" cm="1">
        <f t="array" ref="J1029">SUMPRODUCT((Tablo3[Urun Ad]=I1029)*(Tablo3[Ürün Kar Tutarı]))</f>
        <v>0</v>
      </c>
      <c r="L1029" s="37"/>
    </row>
    <row r="1030" spans="1:12" x14ac:dyDescent="0.25">
      <c r="A1030" s="13"/>
      <c r="B1030" s="9" cm="1">
        <f t="array" ref="B1030">SUMPRODUCT((Tablo3[Personel Ad]=A1030)*(Tablo3[Ürün Kar Tutarı]))</f>
        <v>0</v>
      </c>
      <c r="D1030" s="14"/>
      <c r="F1030" s="9" cm="1">
        <f t="array" ref="F1030">SUMPRODUCT((Tablo3[Şehirler]=E1030)*(Tablo3[Ürün Kar Tutarı]))</f>
        <v>0</v>
      </c>
      <c r="H1030" s="14"/>
      <c r="J1030" s="9" cm="1">
        <f t="array" ref="J1030">SUMPRODUCT((Tablo3[Urun Ad]=I1030)*(Tablo3[Ürün Kar Tutarı]))</f>
        <v>0</v>
      </c>
      <c r="L1030" s="37"/>
    </row>
    <row r="1031" spans="1:12" x14ac:dyDescent="0.25">
      <c r="A1031" s="13"/>
      <c r="B1031" s="9" cm="1">
        <f t="array" ref="B1031">SUMPRODUCT((Tablo3[Personel Ad]=A1031)*(Tablo3[Ürün Kar Tutarı]))</f>
        <v>0</v>
      </c>
      <c r="D1031" s="14"/>
      <c r="F1031" s="9" cm="1">
        <f t="array" ref="F1031">SUMPRODUCT((Tablo3[Şehirler]=E1031)*(Tablo3[Ürün Kar Tutarı]))</f>
        <v>0</v>
      </c>
      <c r="H1031" s="14"/>
      <c r="J1031" s="9" cm="1">
        <f t="array" ref="J1031">SUMPRODUCT((Tablo3[Urun Ad]=I1031)*(Tablo3[Ürün Kar Tutarı]))</f>
        <v>0</v>
      </c>
      <c r="L1031" s="37"/>
    </row>
    <row r="1032" spans="1:12" x14ac:dyDescent="0.25">
      <c r="A1032" s="13"/>
      <c r="B1032" s="9" cm="1">
        <f t="array" ref="B1032">SUMPRODUCT((Tablo3[Personel Ad]=A1032)*(Tablo3[Ürün Kar Tutarı]))</f>
        <v>0</v>
      </c>
      <c r="D1032" s="14"/>
      <c r="F1032" s="9" cm="1">
        <f t="array" ref="F1032">SUMPRODUCT((Tablo3[Şehirler]=E1032)*(Tablo3[Ürün Kar Tutarı]))</f>
        <v>0</v>
      </c>
      <c r="H1032" s="14"/>
      <c r="J1032" s="9" cm="1">
        <f t="array" ref="J1032">SUMPRODUCT((Tablo3[Urun Ad]=I1032)*(Tablo3[Ürün Kar Tutarı]))</f>
        <v>0</v>
      </c>
      <c r="L1032" s="37"/>
    </row>
    <row r="1033" spans="1:12" x14ac:dyDescent="0.25">
      <c r="A1033" s="13"/>
      <c r="B1033" s="9" cm="1">
        <f t="array" ref="B1033">SUMPRODUCT((Tablo3[Personel Ad]=A1033)*(Tablo3[Ürün Kar Tutarı]))</f>
        <v>0</v>
      </c>
      <c r="D1033" s="14"/>
      <c r="F1033" s="9" cm="1">
        <f t="array" ref="F1033">SUMPRODUCT((Tablo3[Şehirler]=E1033)*(Tablo3[Ürün Kar Tutarı]))</f>
        <v>0</v>
      </c>
      <c r="H1033" s="14"/>
      <c r="J1033" s="9" cm="1">
        <f t="array" ref="J1033">SUMPRODUCT((Tablo3[Urun Ad]=I1033)*(Tablo3[Ürün Kar Tutarı]))</f>
        <v>0</v>
      </c>
      <c r="L1033" s="37"/>
    </row>
    <row r="1034" spans="1:12" x14ac:dyDescent="0.25">
      <c r="A1034" s="13"/>
      <c r="B1034" s="9" cm="1">
        <f t="array" ref="B1034">SUMPRODUCT((Tablo3[Personel Ad]=A1034)*(Tablo3[Ürün Kar Tutarı]))</f>
        <v>0</v>
      </c>
      <c r="D1034" s="14"/>
      <c r="F1034" s="9" cm="1">
        <f t="array" ref="F1034">SUMPRODUCT((Tablo3[Şehirler]=E1034)*(Tablo3[Ürün Kar Tutarı]))</f>
        <v>0</v>
      </c>
      <c r="H1034" s="14"/>
      <c r="J1034" s="9" cm="1">
        <f t="array" ref="J1034">SUMPRODUCT((Tablo3[Urun Ad]=I1034)*(Tablo3[Ürün Kar Tutarı]))</f>
        <v>0</v>
      </c>
      <c r="L1034" s="37"/>
    </row>
    <row r="1035" spans="1:12" x14ac:dyDescent="0.25">
      <c r="A1035" s="13"/>
      <c r="B1035" s="9" cm="1">
        <f t="array" ref="B1035">SUMPRODUCT((Tablo3[Personel Ad]=A1035)*(Tablo3[Ürün Kar Tutarı]))</f>
        <v>0</v>
      </c>
      <c r="D1035" s="14"/>
      <c r="F1035" s="9" cm="1">
        <f t="array" ref="F1035">SUMPRODUCT((Tablo3[Şehirler]=E1035)*(Tablo3[Ürün Kar Tutarı]))</f>
        <v>0</v>
      </c>
      <c r="H1035" s="14"/>
      <c r="J1035" s="9" cm="1">
        <f t="array" ref="J1035">SUMPRODUCT((Tablo3[Urun Ad]=I1035)*(Tablo3[Ürün Kar Tutarı]))</f>
        <v>0</v>
      </c>
      <c r="L1035" s="37"/>
    </row>
    <row r="1036" spans="1:12" x14ac:dyDescent="0.25">
      <c r="A1036" s="13"/>
      <c r="B1036" s="9" cm="1">
        <f t="array" ref="B1036">SUMPRODUCT((Tablo3[Personel Ad]=A1036)*(Tablo3[Ürün Kar Tutarı]))</f>
        <v>0</v>
      </c>
      <c r="D1036" s="14"/>
      <c r="F1036" s="9" cm="1">
        <f t="array" ref="F1036">SUMPRODUCT((Tablo3[Şehirler]=E1036)*(Tablo3[Ürün Kar Tutarı]))</f>
        <v>0</v>
      </c>
      <c r="H1036" s="14"/>
      <c r="J1036" s="9" cm="1">
        <f t="array" ref="J1036">SUMPRODUCT((Tablo3[Urun Ad]=I1036)*(Tablo3[Ürün Kar Tutarı]))</f>
        <v>0</v>
      </c>
      <c r="L1036" s="37"/>
    </row>
    <row r="1037" spans="1:12" x14ac:dyDescent="0.25">
      <c r="A1037" s="13"/>
      <c r="B1037" s="9" cm="1">
        <f t="array" ref="B1037">SUMPRODUCT((Tablo3[Personel Ad]=A1037)*(Tablo3[Ürün Kar Tutarı]))</f>
        <v>0</v>
      </c>
      <c r="D1037" s="14"/>
      <c r="F1037" s="9" cm="1">
        <f t="array" ref="F1037">SUMPRODUCT((Tablo3[Şehirler]=E1037)*(Tablo3[Ürün Kar Tutarı]))</f>
        <v>0</v>
      </c>
      <c r="H1037" s="14"/>
      <c r="J1037" s="9" cm="1">
        <f t="array" ref="J1037">SUMPRODUCT((Tablo3[Urun Ad]=I1037)*(Tablo3[Ürün Kar Tutarı]))</f>
        <v>0</v>
      </c>
      <c r="L1037" s="37"/>
    </row>
    <row r="1038" spans="1:12" x14ac:dyDescent="0.25">
      <c r="A1038" s="13"/>
      <c r="B1038" s="9" cm="1">
        <f t="array" ref="B1038">SUMPRODUCT((Tablo3[Personel Ad]=A1038)*(Tablo3[Ürün Kar Tutarı]))</f>
        <v>0</v>
      </c>
      <c r="D1038" s="14"/>
      <c r="F1038" s="9" cm="1">
        <f t="array" ref="F1038">SUMPRODUCT((Tablo3[Şehirler]=E1038)*(Tablo3[Ürün Kar Tutarı]))</f>
        <v>0</v>
      </c>
      <c r="H1038" s="14"/>
      <c r="J1038" s="9" cm="1">
        <f t="array" ref="J1038">SUMPRODUCT((Tablo3[Urun Ad]=I1038)*(Tablo3[Ürün Kar Tutarı]))</f>
        <v>0</v>
      </c>
      <c r="L1038" s="37"/>
    </row>
    <row r="1039" spans="1:12" x14ac:dyDescent="0.25">
      <c r="A1039" s="13"/>
      <c r="B1039" s="9" cm="1">
        <f t="array" ref="B1039">SUMPRODUCT((Tablo3[Personel Ad]=A1039)*(Tablo3[Ürün Kar Tutarı]))</f>
        <v>0</v>
      </c>
      <c r="D1039" s="14"/>
      <c r="F1039" s="9" cm="1">
        <f t="array" ref="F1039">SUMPRODUCT((Tablo3[Şehirler]=E1039)*(Tablo3[Ürün Kar Tutarı]))</f>
        <v>0</v>
      </c>
      <c r="H1039" s="14"/>
      <c r="J1039" s="9" cm="1">
        <f t="array" ref="J1039">SUMPRODUCT((Tablo3[Urun Ad]=I1039)*(Tablo3[Ürün Kar Tutarı]))</f>
        <v>0</v>
      </c>
      <c r="L1039" s="37"/>
    </row>
    <row r="1040" spans="1:12" x14ac:dyDescent="0.25">
      <c r="A1040" s="13"/>
      <c r="B1040" s="9" cm="1">
        <f t="array" ref="B1040">SUMPRODUCT((Tablo3[Personel Ad]=A1040)*(Tablo3[Ürün Kar Tutarı]))</f>
        <v>0</v>
      </c>
      <c r="D1040" s="14"/>
      <c r="F1040" s="9" cm="1">
        <f t="array" ref="F1040">SUMPRODUCT((Tablo3[Şehirler]=E1040)*(Tablo3[Ürün Kar Tutarı]))</f>
        <v>0</v>
      </c>
      <c r="H1040" s="14"/>
      <c r="J1040" s="9" cm="1">
        <f t="array" ref="J1040">SUMPRODUCT((Tablo3[Urun Ad]=I1040)*(Tablo3[Ürün Kar Tutarı]))</f>
        <v>0</v>
      </c>
      <c r="L1040" s="37"/>
    </row>
    <row r="1041" spans="1:12" x14ac:dyDescent="0.25">
      <c r="A1041" s="13"/>
      <c r="B1041" s="9" cm="1">
        <f t="array" ref="B1041">SUMPRODUCT((Tablo3[Personel Ad]=A1041)*(Tablo3[Ürün Kar Tutarı]))</f>
        <v>0</v>
      </c>
      <c r="D1041" s="14"/>
      <c r="F1041" s="9" cm="1">
        <f t="array" ref="F1041">SUMPRODUCT((Tablo3[Şehirler]=E1041)*(Tablo3[Ürün Kar Tutarı]))</f>
        <v>0</v>
      </c>
      <c r="H1041" s="14"/>
      <c r="J1041" s="9" cm="1">
        <f t="array" ref="J1041">SUMPRODUCT((Tablo3[Urun Ad]=I1041)*(Tablo3[Ürün Kar Tutarı]))</f>
        <v>0</v>
      </c>
      <c r="L1041" s="37"/>
    </row>
    <row r="1042" spans="1:12" x14ac:dyDescent="0.25">
      <c r="A1042" s="13"/>
      <c r="B1042" s="9" cm="1">
        <f t="array" ref="B1042">SUMPRODUCT((Tablo3[Personel Ad]=A1042)*(Tablo3[Ürün Kar Tutarı]))</f>
        <v>0</v>
      </c>
      <c r="D1042" s="14"/>
      <c r="F1042" s="9" cm="1">
        <f t="array" ref="F1042">SUMPRODUCT((Tablo3[Şehirler]=E1042)*(Tablo3[Ürün Kar Tutarı]))</f>
        <v>0</v>
      </c>
      <c r="H1042" s="14"/>
      <c r="J1042" s="9" cm="1">
        <f t="array" ref="J1042">SUMPRODUCT((Tablo3[Urun Ad]=I1042)*(Tablo3[Ürün Kar Tutarı]))</f>
        <v>0</v>
      </c>
      <c r="L1042" s="37"/>
    </row>
    <row r="1043" spans="1:12" x14ac:dyDescent="0.25">
      <c r="A1043" s="13"/>
      <c r="B1043" s="9" cm="1">
        <f t="array" ref="B1043">SUMPRODUCT((Tablo3[Personel Ad]=A1043)*(Tablo3[Ürün Kar Tutarı]))</f>
        <v>0</v>
      </c>
      <c r="D1043" s="14"/>
      <c r="F1043" s="9" cm="1">
        <f t="array" ref="F1043">SUMPRODUCT((Tablo3[Şehirler]=E1043)*(Tablo3[Ürün Kar Tutarı]))</f>
        <v>0</v>
      </c>
      <c r="H1043" s="14"/>
      <c r="J1043" s="9" cm="1">
        <f t="array" ref="J1043">SUMPRODUCT((Tablo3[Urun Ad]=I1043)*(Tablo3[Ürün Kar Tutarı]))</f>
        <v>0</v>
      </c>
      <c r="L1043" s="37"/>
    </row>
    <row r="1044" spans="1:12" x14ac:dyDescent="0.25">
      <c r="A1044" s="13"/>
      <c r="B1044" s="9" cm="1">
        <f t="array" ref="B1044">SUMPRODUCT((Tablo3[Personel Ad]=A1044)*(Tablo3[Ürün Kar Tutarı]))</f>
        <v>0</v>
      </c>
      <c r="D1044" s="14"/>
      <c r="F1044" s="9" cm="1">
        <f t="array" ref="F1044">SUMPRODUCT((Tablo3[Şehirler]=E1044)*(Tablo3[Ürün Kar Tutarı]))</f>
        <v>0</v>
      </c>
      <c r="H1044" s="14"/>
      <c r="J1044" s="9" cm="1">
        <f t="array" ref="J1044">SUMPRODUCT((Tablo3[Urun Ad]=I1044)*(Tablo3[Ürün Kar Tutarı]))</f>
        <v>0</v>
      </c>
      <c r="L1044" s="37"/>
    </row>
    <row r="1045" spans="1:12" x14ac:dyDescent="0.25">
      <c r="A1045" s="13"/>
      <c r="B1045" s="9" cm="1">
        <f t="array" ref="B1045">SUMPRODUCT((Tablo3[Personel Ad]=A1045)*(Tablo3[Ürün Kar Tutarı]))</f>
        <v>0</v>
      </c>
      <c r="D1045" s="14"/>
      <c r="F1045" s="9" cm="1">
        <f t="array" ref="F1045">SUMPRODUCT((Tablo3[Şehirler]=E1045)*(Tablo3[Ürün Kar Tutarı]))</f>
        <v>0</v>
      </c>
      <c r="H1045" s="14"/>
      <c r="J1045" s="9" cm="1">
        <f t="array" ref="J1045">SUMPRODUCT((Tablo3[Urun Ad]=I1045)*(Tablo3[Ürün Kar Tutarı]))</f>
        <v>0</v>
      </c>
      <c r="L1045" s="37"/>
    </row>
    <row r="1046" spans="1:12" x14ac:dyDescent="0.25">
      <c r="A1046" s="13"/>
      <c r="B1046" s="9" cm="1">
        <f t="array" ref="B1046">SUMPRODUCT((Tablo3[Personel Ad]=A1046)*(Tablo3[Ürün Kar Tutarı]))</f>
        <v>0</v>
      </c>
      <c r="D1046" s="14"/>
      <c r="F1046" s="9" cm="1">
        <f t="array" ref="F1046">SUMPRODUCT((Tablo3[Şehirler]=E1046)*(Tablo3[Ürün Kar Tutarı]))</f>
        <v>0</v>
      </c>
      <c r="H1046" s="14"/>
      <c r="J1046" s="9" cm="1">
        <f t="array" ref="J1046">SUMPRODUCT((Tablo3[Urun Ad]=I1046)*(Tablo3[Ürün Kar Tutarı]))</f>
        <v>0</v>
      </c>
      <c r="L1046" s="37"/>
    </row>
    <row r="1047" spans="1:12" x14ac:dyDescent="0.25">
      <c r="A1047" s="13"/>
      <c r="B1047" s="9" cm="1">
        <f t="array" ref="B1047">SUMPRODUCT((Tablo3[Personel Ad]=A1047)*(Tablo3[Ürün Kar Tutarı]))</f>
        <v>0</v>
      </c>
      <c r="D1047" s="14"/>
      <c r="F1047" s="9" cm="1">
        <f t="array" ref="F1047">SUMPRODUCT((Tablo3[Şehirler]=E1047)*(Tablo3[Ürün Kar Tutarı]))</f>
        <v>0</v>
      </c>
      <c r="H1047" s="14"/>
      <c r="J1047" s="9" cm="1">
        <f t="array" ref="J1047">SUMPRODUCT((Tablo3[Urun Ad]=I1047)*(Tablo3[Ürün Kar Tutarı]))</f>
        <v>0</v>
      </c>
      <c r="L1047" s="37"/>
    </row>
    <row r="1048" spans="1:12" x14ac:dyDescent="0.25">
      <c r="A1048" s="13"/>
      <c r="B1048" s="9" cm="1">
        <f t="array" ref="B1048">SUMPRODUCT((Tablo3[Personel Ad]=A1048)*(Tablo3[Ürün Kar Tutarı]))</f>
        <v>0</v>
      </c>
      <c r="D1048" s="14"/>
      <c r="F1048" s="9" cm="1">
        <f t="array" ref="F1048">SUMPRODUCT((Tablo3[Şehirler]=E1048)*(Tablo3[Ürün Kar Tutarı]))</f>
        <v>0</v>
      </c>
      <c r="H1048" s="14"/>
      <c r="J1048" s="9" cm="1">
        <f t="array" ref="J1048">SUMPRODUCT((Tablo3[Urun Ad]=I1048)*(Tablo3[Ürün Kar Tutarı]))</f>
        <v>0</v>
      </c>
      <c r="L1048" s="37"/>
    </row>
    <row r="1049" spans="1:12" x14ac:dyDescent="0.25">
      <c r="A1049" s="13"/>
      <c r="B1049" s="9" cm="1">
        <f t="array" ref="B1049">SUMPRODUCT((Tablo3[Personel Ad]=A1049)*(Tablo3[Ürün Kar Tutarı]))</f>
        <v>0</v>
      </c>
      <c r="D1049" s="14"/>
      <c r="F1049" s="9" cm="1">
        <f t="array" ref="F1049">SUMPRODUCT((Tablo3[Şehirler]=E1049)*(Tablo3[Ürün Kar Tutarı]))</f>
        <v>0</v>
      </c>
      <c r="H1049" s="14"/>
      <c r="J1049" s="9" cm="1">
        <f t="array" ref="J1049">SUMPRODUCT((Tablo3[Urun Ad]=I1049)*(Tablo3[Ürün Kar Tutarı]))</f>
        <v>0</v>
      </c>
      <c r="L1049" s="37"/>
    </row>
    <row r="1050" spans="1:12" x14ac:dyDescent="0.25">
      <c r="A1050" s="13"/>
      <c r="B1050" s="9" cm="1">
        <f t="array" ref="B1050">SUMPRODUCT((Tablo3[Personel Ad]=A1050)*(Tablo3[Ürün Kar Tutarı]))</f>
        <v>0</v>
      </c>
      <c r="D1050" s="14"/>
      <c r="F1050" s="9" cm="1">
        <f t="array" ref="F1050">SUMPRODUCT((Tablo3[Şehirler]=E1050)*(Tablo3[Ürün Kar Tutarı]))</f>
        <v>0</v>
      </c>
      <c r="H1050" s="14"/>
      <c r="J1050" s="9" cm="1">
        <f t="array" ref="J1050">SUMPRODUCT((Tablo3[Urun Ad]=I1050)*(Tablo3[Ürün Kar Tutarı]))</f>
        <v>0</v>
      </c>
      <c r="L1050" s="37"/>
    </row>
    <row r="1051" spans="1:12" x14ac:dyDescent="0.25">
      <c r="A1051" s="13"/>
      <c r="B1051" s="9" cm="1">
        <f t="array" ref="B1051">SUMPRODUCT((Tablo3[Personel Ad]=A1051)*(Tablo3[Ürün Kar Tutarı]))</f>
        <v>0</v>
      </c>
      <c r="D1051" s="14"/>
      <c r="F1051" s="9" cm="1">
        <f t="array" ref="F1051">SUMPRODUCT((Tablo3[Şehirler]=E1051)*(Tablo3[Ürün Kar Tutarı]))</f>
        <v>0</v>
      </c>
      <c r="H1051" s="14"/>
      <c r="J1051" s="9" cm="1">
        <f t="array" ref="J1051">SUMPRODUCT((Tablo3[Urun Ad]=I1051)*(Tablo3[Ürün Kar Tutarı]))</f>
        <v>0</v>
      </c>
      <c r="L1051" s="37"/>
    </row>
    <row r="1052" spans="1:12" x14ac:dyDescent="0.25">
      <c r="A1052" s="13"/>
      <c r="B1052" s="9" cm="1">
        <f t="array" ref="B1052">SUMPRODUCT((Tablo3[Personel Ad]=A1052)*(Tablo3[Ürün Kar Tutarı]))</f>
        <v>0</v>
      </c>
      <c r="D1052" s="14"/>
      <c r="F1052" s="9" cm="1">
        <f t="array" ref="F1052">SUMPRODUCT((Tablo3[Şehirler]=E1052)*(Tablo3[Ürün Kar Tutarı]))</f>
        <v>0</v>
      </c>
      <c r="H1052" s="14"/>
      <c r="J1052" s="9" cm="1">
        <f t="array" ref="J1052">SUMPRODUCT((Tablo3[Urun Ad]=I1052)*(Tablo3[Ürün Kar Tutarı]))</f>
        <v>0</v>
      </c>
      <c r="L1052" s="37"/>
    </row>
    <row r="1053" spans="1:12" x14ac:dyDescent="0.25">
      <c r="A1053" s="13"/>
      <c r="B1053" s="9" cm="1">
        <f t="array" ref="B1053">SUMPRODUCT((Tablo3[Personel Ad]=A1053)*(Tablo3[Ürün Kar Tutarı]))</f>
        <v>0</v>
      </c>
      <c r="D1053" s="14"/>
      <c r="F1053" s="9" cm="1">
        <f t="array" ref="F1053">SUMPRODUCT((Tablo3[Şehirler]=E1053)*(Tablo3[Ürün Kar Tutarı]))</f>
        <v>0</v>
      </c>
      <c r="H1053" s="14"/>
      <c r="J1053" s="9" cm="1">
        <f t="array" ref="J1053">SUMPRODUCT((Tablo3[Urun Ad]=I1053)*(Tablo3[Ürün Kar Tutarı]))</f>
        <v>0</v>
      </c>
      <c r="L1053" s="37"/>
    </row>
    <row r="1054" spans="1:12" x14ac:dyDescent="0.25">
      <c r="A1054" s="13"/>
      <c r="B1054" s="9" cm="1">
        <f t="array" ref="B1054">SUMPRODUCT((Tablo3[Personel Ad]=A1054)*(Tablo3[Ürün Kar Tutarı]))</f>
        <v>0</v>
      </c>
      <c r="D1054" s="14"/>
      <c r="F1054" s="9" cm="1">
        <f t="array" ref="F1054">SUMPRODUCT((Tablo3[Şehirler]=E1054)*(Tablo3[Ürün Kar Tutarı]))</f>
        <v>0</v>
      </c>
      <c r="H1054" s="14"/>
      <c r="J1054" s="9" cm="1">
        <f t="array" ref="J1054">SUMPRODUCT((Tablo3[Urun Ad]=I1054)*(Tablo3[Ürün Kar Tutarı]))</f>
        <v>0</v>
      </c>
      <c r="L1054" s="37"/>
    </row>
    <row r="1055" spans="1:12" x14ac:dyDescent="0.25">
      <c r="A1055" s="13"/>
      <c r="B1055" s="9" cm="1">
        <f t="array" ref="B1055">SUMPRODUCT((Tablo3[Personel Ad]=A1055)*(Tablo3[Ürün Kar Tutarı]))</f>
        <v>0</v>
      </c>
      <c r="D1055" s="14"/>
      <c r="F1055" s="9" cm="1">
        <f t="array" ref="F1055">SUMPRODUCT((Tablo3[Şehirler]=E1055)*(Tablo3[Ürün Kar Tutarı]))</f>
        <v>0</v>
      </c>
      <c r="H1055" s="14"/>
      <c r="J1055" s="9" cm="1">
        <f t="array" ref="J1055">SUMPRODUCT((Tablo3[Urun Ad]=I1055)*(Tablo3[Ürün Kar Tutarı]))</f>
        <v>0</v>
      </c>
      <c r="L1055" s="37"/>
    </row>
    <row r="1056" spans="1:12" x14ac:dyDescent="0.25">
      <c r="A1056" s="13"/>
      <c r="B1056" s="9" cm="1">
        <f t="array" ref="B1056">SUMPRODUCT((Tablo3[Personel Ad]=A1056)*(Tablo3[Ürün Kar Tutarı]))</f>
        <v>0</v>
      </c>
      <c r="D1056" s="14"/>
      <c r="F1056" s="9" cm="1">
        <f t="array" ref="F1056">SUMPRODUCT((Tablo3[Şehirler]=E1056)*(Tablo3[Ürün Kar Tutarı]))</f>
        <v>0</v>
      </c>
      <c r="H1056" s="14"/>
      <c r="J1056" s="9" cm="1">
        <f t="array" ref="J1056">SUMPRODUCT((Tablo3[Urun Ad]=I1056)*(Tablo3[Ürün Kar Tutarı]))</f>
        <v>0</v>
      </c>
      <c r="L1056" s="37"/>
    </row>
    <row r="1057" spans="1:12" x14ac:dyDescent="0.25">
      <c r="A1057" s="13"/>
      <c r="B1057" s="9" cm="1">
        <f t="array" ref="B1057">SUMPRODUCT((Tablo3[Personel Ad]=A1057)*(Tablo3[Ürün Kar Tutarı]))</f>
        <v>0</v>
      </c>
      <c r="D1057" s="14"/>
      <c r="F1057" s="9" cm="1">
        <f t="array" ref="F1057">SUMPRODUCT((Tablo3[Şehirler]=E1057)*(Tablo3[Ürün Kar Tutarı]))</f>
        <v>0</v>
      </c>
      <c r="H1057" s="14"/>
      <c r="J1057" s="9" cm="1">
        <f t="array" ref="J1057">SUMPRODUCT((Tablo3[Urun Ad]=I1057)*(Tablo3[Ürün Kar Tutarı]))</f>
        <v>0</v>
      </c>
      <c r="L1057" s="37"/>
    </row>
    <row r="1058" spans="1:12" x14ac:dyDescent="0.25">
      <c r="A1058" s="13"/>
      <c r="B1058" s="9" cm="1">
        <f t="array" ref="B1058">SUMPRODUCT((Tablo3[Personel Ad]=A1058)*(Tablo3[Ürün Kar Tutarı]))</f>
        <v>0</v>
      </c>
      <c r="D1058" s="14"/>
      <c r="F1058" s="9" cm="1">
        <f t="array" ref="F1058">SUMPRODUCT((Tablo3[Şehirler]=E1058)*(Tablo3[Ürün Kar Tutarı]))</f>
        <v>0</v>
      </c>
      <c r="H1058" s="14"/>
      <c r="J1058" s="9" cm="1">
        <f t="array" ref="J1058">SUMPRODUCT((Tablo3[Urun Ad]=I1058)*(Tablo3[Ürün Kar Tutarı]))</f>
        <v>0</v>
      </c>
      <c r="L1058" s="37"/>
    </row>
    <row r="1059" spans="1:12" x14ac:dyDescent="0.25">
      <c r="A1059" s="13"/>
      <c r="B1059" s="9" cm="1">
        <f t="array" ref="B1059">SUMPRODUCT((Tablo3[Personel Ad]=A1059)*(Tablo3[Ürün Kar Tutarı]))</f>
        <v>0</v>
      </c>
      <c r="D1059" s="14"/>
      <c r="F1059" s="9" cm="1">
        <f t="array" ref="F1059">SUMPRODUCT((Tablo3[Şehirler]=E1059)*(Tablo3[Ürün Kar Tutarı]))</f>
        <v>0</v>
      </c>
      <c r="H1059" s="14"/>
      <c r="J1059" s="9" cm="1">
        <f t="array" ref="J1059">SUMPRODUCT((Tablo3[Urun Ad]=I1059)*(Tablo3[Ürün Kar Tutarı]))</f>
        <v>0</v>
      </c>
      <c r="L1059" s="37"/>
    </row>
    <row r="1060" spans="1:12" x14ac:dyDescent="0.25">
      <c r="A1060" s="13"/>
      <c r="B1060" s="9" cm="1">
        <f t="array" ref="B1060">SUMPRODUCT((Tablo3[Personel Ad]=A1060)*(Tablo3[Ürün Kar Tutarı]))</f>
        <v>0</v>
      </c>
      <c r="D1060" s="14"/>
      <c r="F1060" s="9" cm="1">
        <f t="array" ref="F1060">SUMPRODUCT((Tablo3[Şehirler]=E1060)*(Tablo3[Ürün Kar Tutarı]))</f>
        <v>0</v>
      </c>
      <c r="H1060" s="14"/>
      <c r="J1060" s="9" cm="1">
        <f t="array" ref="J1060">SUMPRODUCT((Tablo3[Urun Ad]=I1060)*(Tablo3[Ürün Kar Tutarı]))</f>
        <v>0</v>
      </c>
      <c r="L1060" s="37"/>
    </row>
    <row r="1061" spans="1:12" x14ac:dyDescent="0.25">
      <c r="A1061" s="13"/>
      <c r="B1061" s="9" cm="1">
        <f t="array" ref="B1061">SUMPRODUCT((Tablo3[Personel Ad]=A1061)*(Tablo3[Ürün Kar Tutarı]))</f>
        <v>0</v>
      </c>
      <c r="D1061" s="14"/>
      <c r="F1061" s="9" cm="1">
        <f t="array" ref="F1061">SUMPRODUCT((Tablo3[Şehirler]=E1061)*(Tablo3[Ürün Kar Tutarı]))</f>
        <v>0</v>
      </c>
      <c r="H1061" s="14"/>
      <c r="J1061" s="9" cm="1">
        <f t="array" ref="J1061">SUMPRODUCT((Tablo3[Urun Ad]=I1061)*(Tablo3[Ürün Kar Tutarı]))</f>
        <v>0</v>
      </c>
      <c r="L1061" s="37"/>
    </row>
    <row r="1062" spans="1:12" x14ac:dyDescent="0.25">
      <c r="A1062" s="13"/>
      <c r="B1062" s="9" cm="1">
        <f t="array" ref="B1062">SUMPRODUCT((Tablo3[Personel Ad]=A1062)*(Tablo3[Ürün Kar Tutarı]))</f>
        <v>0</v>
      </c>
      <c r="D1062" s="14"/>
      <c r="F1062" s="9" cm="1">
        <f t="array" ref="F1062">SUMPRODUCT((Tablo3[Şehirler]=E1062)*(Tablo3[Ürün Kar Tutarı]))</f>
        <v>0</v>
      </c>
      <c r="H1062" s="14"/>
      <c r="J1062" s="9" cm="1">
        <f t="array" ref="J1062">SUMPRODUCT((Tablo3[Urun Ad]=I1062)*(Tablo3[Ürün Kar Tutarı]))</f>
        <v>0</v>
      </c>
      <c r="L1062" s="37"/>
    </row>
    <row r="1063" spans="1:12" x14ac:dyDescent="0.25">
      <c r="A1063" s="13"/>
      <c r="B1063" s="9" cm="1">
        <f t="array" ref="B1063">SUMPRODUCT((Tablo3[Personel Ad]=A1063)*(Tablo3[Ürün Kar Tutarı]))</f>
        <v>0</v>
      </c>
      <c r="D1063" s="14"/>
      <c r="F1063" s="9" cm="1">
        <f t="array" ref="F1063">SUMPRODUCT((Tablo3[Şehirler]=E1063)*(Tablo3[Ürün Kar Tutarı]))</f>
        <v>0</v>
      </c>
      <c r="H1063" s="14"/>
      <c r="J1063" s="9" cm="1">
        <f t="array" ref="J1063">SUMPRODUCT((Tablo3[Urun Ad]=I1063)*(Tablo3[Ürün Kar Tutarı]))</f>
        <v>0</v>
      </c>
      <c r="L1063" s="37"/>
    </row>
    <row r="1064" spans="1:12" x14ac:dyDescent="0.25">
      <c r="A1064" s="13"/>
      <c r="B1064" s="9" cm="1">
        <f t="array" ref="B1064">SUMPRODUCT((Tablo3[Personel Ad]=A1064)*(Tablo3[Ürün Kar Tutarı]))</f>
        <v>0</v>
      </c>
      <c r="D1064" s="14"/>
      <c r="F1064" s="9" cm="1">
        <f t="array" ref="F1064">SUMPRODUCT((Tablo3[Şehirler]=E1064)*(Tablo3[Ürün Kar Tutarı]))</f>
        <v>0</v>
      </c>
      <c r="H1064" s="14"/>
      <c r="J1064" s="9" cm="1">
        <f t="array" ref="J1064">SUMPRODUCT((Tablo3[Urun Ad]=I1064)*(Tablo3[Ürün Kar Tutarı]))</f>
        <v>0</v>
      </c>
      <c r="L1064" s="37"/>
    </row>
    <row r="1065" spans="1:12" x14ac:dyDescent="0.25">
      <c r="A1065" s="13"/>
      <c r="B1065" s="9" cm="1">
        <f t="array" ref="B1065">SUMPRODUCT((Tablo3[Personel Ad]=A1065)*(Tablo3[Ürün Kar Tutarı]))</f>
        <v>0</v>
      </c>
      <c r="D1065" s="14"/>
      <c r="F1065" s="9" cm="1">
        <f t="array" ref="F1065">SUMPRODUCT((Tablo3[Şehirler]=E1065)*(Tablo3[Ürün Kar Tutarı]))</f>
        <v>0</v>
      </c>
      <c r="H1065" s="14"/>
      <c r="J1065" s="9" cm="1">
        <f t="array" ref="J1065">SUMPRODUCT((Tablo3[Urun Ad]=I1065)*(Tablo3[Ürün Kar Tutarı]))</f>
        <v>0</v>
      </c>
      <c r="L1065" s="37"/>
    </row>
    <row r="1066" spans="1:12" x14ac:dyDescent="0.25">
      <c r="A1066" s="13"/>
      <c r="B1066" s="9" cm="1">
        <f t="array" ref="B1066">SUMPRODUCT((Tablo3[Personel Ad]=A1066)*(Tablo3[Ürün Kar Tutarı]))</f>
        <v>0</v>
      </c>
      <c r="D1066" s="14"/>
      <c r="F1066" s="9" cm="1">
        <f t="array" ref="F1066">SUMPRODUCT((Tablo3[Şehirler]=E1066)*(Tablo3[Ürün Kar Tutarı]))</f>
        <v>0</v>
      </c>
      <c r="H1066" s="14"/>
      <c r="J1066" s="9" cm="1">
        <f t="array" ref="J1066">SUMPRODUCT((Tablo3[Urun Ad]=I1066)*(Tablo3[Ürün Kar Tutarı]))</f>
        <v>0</v>
      </c>
      <c r="L1066" s="37"/>
    </row>
    <row r="1067" spans="1:12" x14ac:dyDescent="0.25">
      <c r="A1067" s="13"/>
      <c r="B1067" s="9" cm="1">
        <f t="array" ref="B1067">SUMPRODUCT((Tablo3[Personel Ad]=A1067)*(Tablo3[Ürün Kar Tutarı]))</f>
        <v>0</v>
      </c>
      <c r="D1067" s="14"/>
      <c r="F1067" s="9" cm="1">
        <f t="array" ref="F1067">SUMPRODUCT((Tablo3[Şehirler]=E1067)*(Tablo3[Ürün Kar Tutarı]))</f>
        <v>0</v>
      </c>
      <c r="H1067" s="14"/>
      <c r="J1067" s="9" cm="1">
        <f t="array" ref="J1067">SUMPRODUCT((Tablo3[Urun Ad]=I1067)*(Tablo3[Ürün Kar Tutarı]))</f>
        <v>0</v>
      </c>
      <c r="L1067" s="37"/>
    </row>
    <row r="1068" spans="1:12" x14ac:dyDescent="0.25">
      <c r="A1068" s="13"/>
      <c r="B1068" s="9" cm="1">
        <f t="array" ref="B1068">SUMPRODUCT((Tablo3[Personel Ad]=A1068)*(Tablo3[Ürün Kar Tutarı]))</f>
        <v>0</v>
      </c>
      <c r="D1068" s="14"/>
      <c r="F1068" s="9" cm="1">
        <f t="array" ref="F1068">SUMPRODUCT((Tablo3[Şehirler]=E1068)*(Tablo3[Ürün Kar Tutarı]))</f>
        <v>0</v>
      </c>
      <c r="H1068" s="14"/>
      <c r="J1068" s="9" cm="1">
        <f t="array" ref="J1068">SUMPRODUCT((Tablo3[Urun Ad]=I1068)*(Tablo3[Ürün Kar Tutarı]))</f>
        <v>0</v>
      </c>
      <c r="L1068" s="37"/>
    </row>
    <row r="1069" spans="1:12" x14ac:dyDescent="0.25">
      <c r="A1069" s="13"/>
      <c r="B1069" s="9" cm="1">
        <f t="array" ref="B1069">SUMPRODUCT((Tablo3[Personel Ad]=A1069)*(Tablo3[Ürün Kar Tutarı]))</f>
        <v>0</v>
      </c>
      <c r="D1069" s="14"/>
      <c r="F1069" s="9" cm="1">
        <f t="array" ref="F1069">SUMPRODUCT((Tablo3[Şehirler]=E1069)*(Tablo3[Ürün Kar Tutarı]))</f>
        <v>0</v>
      </c>
      <c r="H1069" s="14"/>
      <c r="J1069" s="9" cm="1">
        <f t="array" ref="J1069">SUMPRODUCT((Tablo3[Urun Ad]=I1069)*(Tablo3[Ürün Kar Tutarı]))</f>
        <v>0</v>
      </c>
      <c r="L1069" s="37"/>
    </row>
    <row r="1070" spans="1:12" x14ac:dyDescent="0.25">
      <c r="A1070" s="13"/>
      <c r="B1070" s="9" cm="1">
        <f t="array" ref="B1070">SUMPRODUCT((Tablo3[Personel Ad]=A1070)*(Tablo3[Ürün Kar Tutarı]))</f>
        <v>0</v>
      </c>
      <c r="D1070" s="14"/>
      <c r="F1070" s="9" cm="1">
        <f t="array" ref="F1070">SUMPRODUCT((Tablo3[Şehirler]=E1070)*(Tablo3[Ürün Kar Tutarı]))</f>
        <v>0</v>
      </c>
      <c r="H1070" s="14"/>
      <c r="J1070" s="9" cm="1">
        <f t="array" ref="J1070">SUMPRODUCT((Tablo3[Urun Ad]=I1070)*(Tablo3[Ürün Kar Tutarı]))</f>
        <v>0</v>
      </c>
      <c r="L1070" s="37"/>
    </row>
    <row r="1071" spans="1:12" x14ac:dyDescent="0.25">
      <c r="A1071" s="13"/>
      <c r="B1071" s="9" cm="1">
        <f t="array" ref="B1071">SUMPRODUCT((Tablo3[Personel Ad]=A1071)*(Tablo3[Ürün Kar Tutarı]))</f>
        <v>0</v>
      </c>
      <c r="D1071" s="14"/>
      <c r="F1071" s="9" cm="1">
        <f t="array" ref="F1071">SUMPRODUCT((Tablo3[Şehirler]=E1071)*(Tablo3[Ürün Kar Tutarı]))</f>
        <v>0</v>
      </c>
      <c r="H1071" s="14"/>
      <c r="J1071" s="9" cm="1">
        <f t="array" ref="J1071">SUMPRODUCT((Tablo3[Urun Ad]=I1071)*(Tablo3[Ürün Kar Tutarı]))</f>
        <v>0</v>
      </c>
      <c r="L1071" s="37"/>
    </row>
    <row r="1072" spans="1:12" x14ac:dyDescent="0.25">
      <c r="A1072" s="13"/>
      <c r="B1072" s="9" cm="1">
        <f t="array" ref="B1072">SUMPRODUCT((Tablo3[Personel Ad]=A1072)*(Tablo3[Ürün Kar Tutarı]))</f>
        <v>0</v>
      </c>
      <c r="D1072" s="14"/>
      <c r="F1072" s="9" cm="1">
        <f t="array" ref="F1072">SUMPRODUCT((Tablo3[Şehirler]=E1072)*(Tablo3[Ürün Kar Tutarı]))</f>
        <v>0</v>
      </c>
      <c r="H1072" s="14"/>
      <c r="J1072" s="9" cm="1">
        <f t="array" ref="J1072">SUMPRODUCT((Tablo3[Urun Ad]=I1072)*(Tablo3[Ürün Kar Tutarı]))</f>
        <v>0</v>
      </c>
      <c r="L1072" s="37"/>
    </row>
    <row r="1073" spans="1:12" x14ac:dyDescent="0.25">
      <c r="A1073" s="13"/>
      <c r="B1073" s="9" cm="1">
        <f t="array" ref="B1073">SUMPRODUCT((Tablo3[Personel Ad]=A1073)*(Tablo3[Ürün Kar Tutarı]))</f>
        <v>0</v>
      </c>
      <c r="D1073" s="14"/>
      <c r="F1073" s="9" cm="1">
        <f t="array" ref="F1073">SUMPRODUCT((Tablo3[Şehirler]=E1073)*(Tablo3[Ürün Kar Tutarı]))</f>
        <v>0</v>
      </c>
      <c r="H1073" s="14"/>
      <c r="J1073" s="9" cm="1">
        <f t="array" ref="J1073">SUMPRODUCT((Tablo3[Urun Ad]=I1073)*(Tablo3[Ürün Kar Tutarı]))</f>
        <v>0</v>
      </c>
      <c r="L1073" s="37"/>
    </row>
    <row r="1074" spans="1:12" x14ac:dyDescent="0.25">
      <c r="A1074" s="13"/>
      <c r="B1074" s="9" cm="1">
        <f t="array" ref="B1074">SUMPRODUCT((Tablo3[Personel Ad]=A1074)*(Tablo3[Ürün Kar Tutarı]))</f>
        <v>0</v>
      </c>
      <c r="D1074" s="14"/>
      <c r="F1074" s="9" cm="1">
        <f t="array" ref="F1074">SUMPRODUCT((Tablo3[Şehirler]=E1074)*(Tablo3[Ürün Kar Tutarı]))</f>
        <v>0</v>
      </c>
      <c r="H1074" s="14"/>
      <c r="J1074" s="9" cm="1">
        <f t="array" ref="J1074">SUMPRODUCT((Tablo3[Urun Ad]=I1074)*(Tablo3[Ürün Kar Tutarı]))</f>
        <v>0</v>
      </c>
      <c r="L1074" s="37"/>
    </row>
    <row r="1075" spans="1:12" x14ac:dyDescent="0.25">
      <c r="A1075" s="13"/>
      <c r="B1075" s="9" cm="1">
        <f t="array" ref="B1075">SUMPRODUCT((Tablo3[Personel Ad]=A1075)*(Tablo3[Ürün Kar Tutarı]))</f>
        <v>0</v>
      </c>
      <c r="D1075" s="14"/>
      <c r="F1075" s="9" cm="1">
        <f t="array" ref="F1075">SUMPRODUCT((Tablo3[Şehirler]=E1075)*(Tablo3[Ürün Kar Tutarı]))</f>
        <v>0</v>
      </c>
      <c r="H1075" s="14"/>
      <c r="J1075" s="9" cm="1">
        <f t="array" ref="J1075">SUMPRODUCT((Tablo3[Urun Ad]=I1075)*(Tablo3[Ürün Kar Tutarı]))</f>
        <v>0</v>
      </c>
      <c r="L1075" s="37"/>
    </row>
    <row r="1076" spans="1:12" x14ac:dyDescent="0.25">
      <c r="A1076" s="13"/>
      <c r="B1076" s="9" cm="1">
        <f t="array" ref="B1076">SUMPRODUCT((Tablo3[Personel Ad]=A1076)*(Tablo3[Ürün Kar Tutarı]))</f>
        <v>0</v>
      </c>
      <c r="D1076" s="14"/>
      <c r="F1076" s="9" cm="1">
        <f t="array" ref="F1076">SUMPRODUCT((Tablo3[Şehirler]=E1076)*(Tablo3[Ürün Kar Tutarı]))</f>
        <v>0</v>
      </c>
      <c r="H1076" s="14"/>
      <c r="J1076" s="9" cm="1">
        <f t="array" ref="J1076">SUMPRODUCT((Tablo3[Urun Ad]=I1076)*(Tablo3[Ürün Kar Tutarı]))</f>
        <v>0</v>
      </c>
      <c r="L1076" s="37"/>
    </row>
    <row r="1077" spans="1:12" x14ac:dyDescent="0.25">
      <c r="A1077" s="13"/>
      <c r="B1077" s="9" cm="1">
        <f t="array" ref="B1077">SUMPRODUCT((Tablo3[Personel Ad]=A1077)*(Tablo3[Ürün Kar Tutarı]))</f>
        <v>0</v>
      </c>
      <c r="D1077" s="14"/>
      <c r="F1077" s="9" cm="1">
        <f t="array" ref="F1077">SUMPRODUCT((Tablo3[Şehirler]=E1077)*(Tablo3[Ürün Kar Tutarı]))</f>
        <v>0</v>
      </c>
      <c r="H1077" s="14"/>
      <c r="J1077" s="9" cm="1">
        <f t="array" ref="J1077">SUMPRODUCT((Tablo3[Urun Ad]=I1077)*(Tablo3[Ürün Kar Tutarı]))</f>
        <v>0</v>
      </c>
      <c r="L1077" s="37"/>
    </row>
    <row r="1078" spans="1:12" x14ac:dyDescent="0.25">
      <c r="A1078" s="13"/>
      <c r="B1078" s="9" cm="1">
        <f t="array" ref="B1078">SUMPRODUCT((Tablo3[Personel Ad]=A1078)*(Tablo3[Ürün Kar Tutarı]))</f>
        <v>0</v>
      </c>
      <c r="D1078" s="14"/>
      <c r="F1078" s="9" cm="1">
        <f t="array" ref="F1078">SUMPRODUCT((Tablo3[Şehirler]=E1078)*(Tablo3[Ürün Kar Tutarı]))</f>
        <v>0</v>
      </c>
      <c r="H1078" s="14"/>
      <c r="J1078" s="9" cm="1">
        <f t="array" ref="J1078">SUMPRODUCT((Tablo3[Urun Ad]=I1078)*(Tablo3[Ürün Kar Tutarı]))</f>
        <v>0</v>
      </c>
      <c r="L1078" s="37"/>
    </row>
    <row r="1079" spans="1:12" x14ac:dyDescent="0.25">
      <c r="A1079" s="13"/>
      <c r="B1079" s="9" cm="1">
        <f t="array" ref="B1079">SUMPRODUCT((Tablo3[Personel Ad]=A1079)*(Tablo3[Ürün Kar Tutarı]))</f>
        <v>0</v>
      </c>
      <c r="D1079" s="14"/>
      <c r="F1079" s="9" cm="1">
        <f t="array" ref="F1079">SUMPRODUCT((Tablo3[Şehirler]=E1079)*(Tablo3[Ürün Kar Tutarı]))</f>
        <v>0</v>
      </c>
      <c r="H1079" s="14"/>
      <c r="J1079" s="9" cm="1">
        <f t="array" ref="J1079">SUMPRODUCT((Tablo3[Urun Ad]=I1079)*(Tablo3[Ürün Kar Tutarı]))</f>
        <v>0</v>
      </c>
      <c r="L1079" s="37"/>
    </row>
    <row r="1080" spans="1:12" x14ac:dyDescent="0.25">
      <c r="A1080" s="13"/>
      <c r="B1080" s="9" cm="1">
        <f t="array" ref="B1080">SUMPRODUCT((Tablo3[Personel Ad]=A1080)*(Tablo3[Ürün Kar Tutarı]))</f>
        <v>0</v>
      </c>
      <c r="D1080" s="14"/>
      <c r="F1080" s="9" cm="1">
        <f t="array" ref="F1080">SUMPRODUCT((Tablo3[Şehirler]=E1080)*(Tablo3[Ürün Kar Tutarı]))</f>
        <v>0</v>
      </c>
      <c r="H1080" s="14"/>
      <c r="J1080" s="9" cm="1">
        <f t="array" ref="J1080">SUMPRODUCT((Tablo3[Urun Ad]=I1080)*(Tablo3[Ürün Kar Tutarı]))</f>
        <v>0</v>
      </c>
      <c r="L1080" s="37"/>
    </row>
    <row r="1081" spans="1:12" x14ac:dyDescent="0.25">
      <c r="A1081" s="13"/>
      <c r="B1081" s="9" cm="1">
        <f t="array" ref="B1081">SUMPRODUCT((Tablo3[Personel Ad]=A1081)*(Tablo3[Ürün Kar Tutarı]))</f>
        <v>0</v>
      </c>
      <c r="D1081" s="14"/>
      <c r="F1081" s="9" cm="1">
        <f t="array" ref="F1081">SUMPRODUCT((Tablo3[Şehirler]=E1081)*(Tablo3[Ürün Kar Tutarı]))</f>
        <v>0</v>
      </c>
      <c r="H1081" s="14"/>
      <c r="J1081" s="9" cm="1">
        <f t="array" ref="J1081">SUMPRODUCT((Tablo3[Urun Ad]=I1081)*(Tablo3[Ürün Kar Tutarı]))</f>
        <v>0</v>
      </c>
      <c r="L1081" s="37"/>
    </row>
    <row r="1082" spans="1:12" x14ac:dyDescent="0.25">
      <c r="A1082" s="13"/>
      <c r="B1082" s="9" cm="1">
        <f t="array" ref="B1082">SUMPRODUCT((Tablo3[Personel Ad]=A1082)*(Tablo3[Ürün Kar Tutarı]))</f>
        <v>0</v>
      </c>
      <c r="D1082" s="14"/>
      <c r="F1082" s="9" cm="1">
        <f t="array" ref="F1082">SUMPRODUCT((Tablo3[Şehirler]=E1082)*(Tablo3[Ürün Kar Tutarı]))</f>
        <v>0</v>
      </c>
      <c r="H1082" s="14"/>
      <c r="J1082" s="9" cm="1">
        <f t="array" ref="J1082">SUMPRODUCT((Tablo3[Urun Ad]=I1082)*(Tablo3[Ürün Kar Tutarı]))</f>
        <v>0</v>
      </c>
      <c r="L1082" s="37"/>
    </row>
    <row r="1083" spans="1:12" x14ac:dyDescent="0.25">
      <c r="A1083" s="13"/>
      <c r="B1083" s="9" cm="1">
        <f t="array" ref="B1083">SUMPRODUCT((Tablo3[Personel Ad]=A1083)*(Tablo3[Ürün Kar Tutarı]))</f>
        <v>0</v>
      </c>
      <c r="D1083" s="14"/>
      <c r="F1083" s="9" cm="1">
        <f t="array" ref="F1083">SUMPRODUCT((Tablo3[Şehirler]=E1083)*(Tablo3[Ürün Kar Tutarı]))</f>
        <v>0</v>
      </c>
      <c r="H1083" s="14"/>
      <c r="J1083" s="9" cm="1">
        <f t="array" ref="J1083">SUMPRODUCT((Tablo3[Urun Ad]=I1083)*(Tablo3[Ürün Kar Tutarı]))</f>
        <v>0</v>
      </c>
      <c r="L1083" s="37"/>
    </row>
    <row r="1084" spans="1:12" x14ac:dyDescent="0.25">
      <c r="A1084" s="13"/>
      <c r="B1084" s="9" cm="1">
        <f t="array" ref="B1084">SUMPRODUCT((Tablo3[Personel Ad]=A1084)*(Tablo3[Ürün Kar Tutarı]))</f>
        <v>0</v>
      </c>
      <c r="D1084" s="14"/>
      <c r="F1084" s="9" cm="1">
        <f t="array" ref="F1084">SUMPRODUCT((Tablo3[Şehirler]=E1084)*(Tablo3[Ürün Kar Tutarı]))</f>
        <v>0</v>
      </c>
      <c r="H1084" s="14"/>
      <c r="J1084" s="9" cm="1">
        <f t="array" ref="J1084">SUMPRODUCT((Tablo3[Urun Ad]=I1084)*(Tablo3[Ürün Kar Tutarı]))</f>
        <v>0</v>
      </c>
      <c r="L1084" s="37"/>
    </row>
    <row r="1085" spans="1:12" x14ac:dyDescent="0.25">
      <c r="A1085" s="13"/>
      <c r="B1085" s="9" cm="1">
        <f t="array" ref="B1085">SUMPRODUCT((Tablo3[Personel Ad]=A1085)*(Tablo3[Ürün Kar Tutarı]))</f>
        <v>0</v>
      </c>
      <c r="D1085" s="14"/>
      <c r="F1085" s="9" cm="1">
        <f t="array" ref="F1085">SUMPRODUCT((Tablo3[Şehirler]=E1085)*(Tablo3[Ürün Kar Tutarı]))</f>
        <v>0</v>
      </c>
      <c r="H1085" s="14"/>
      <c r="J1085" s="9" cm="1">
        <f t="array" ref="J1085">SUMPRODUCT((Tablo3[Urun Ad]=I1085)*(Tablo3[Ürün Kar Tutarı]))</f>
        <v>0</v>
      </c>
      <c r="L1085" s="37"/>
    </row>
    <row r="1086" spans="1:12" x14ac:dyDescent="0.25">
      <c r="A1086" s="13"/>
      <c r="B1086" s="9" cm="1">
        <f t="array" ref="B1086">SUMPRODUCT((Tablo3[Personel Ad]=A1086)*(Tablo3[Ürün Kar Tutarı]))</f>
        <v>0</v>
      </c>
      <c r="D1086" s="14"/>
      <c r="F1086" s="9" cm="1">
        <f t="array" ref="F1086">SUMPRODUCT((Tablo3[Şehirler]=E1086)*(Tablo3[Ürün Kar Tutarı]))</f>
        <v>0</v>
      </c>
      <c r="H1086" s="14"/>
      <c r="J1086" s="9" cm="1">
        <f t="array" ref="J1086">SUMPRODUCT((Tablo3[Urun Ad]=I1086)*(Tablo3[Ürün Kar Tutarı]))</f>
        <v>0</v>
      </c>
      <c r="L1086" s="37"/>
    </row>
    <row r="1087" spans="1:12" x14ac:dyDescent="0.25">
      <c r="A1087" s="13"/>
      <c r="B1087" s="9" cm="1">
        <f t="array" ref="B1087">SUMPRODUCT((Tablo3[Personel Ad]=A1087)*(Tablo3[Ürün Kar Tutarı]))</f>
        <v>0</v>
      </c>
      <c r="D1087" s="14"/>
      <c r="F1087" s="9" cm="1">
        <f t="array" ref="F1087">SUMPRODUCT((Tablo3[Şehirler]=E1087)*(Tablo3[Ürün Kar Tutarı]))</f>
        <v>0</v>
      </c>
      <c r="H1087" s="14"/>
      <c r="J1087" s="9" cm="1">
        <f t="array" ref="J1087">SUMPRODUCT((Tablo3[Urun Ad]=I1087)*(Tablo3[Ürün Kar Tutarı]))</f>
        <v>0</v>
      </c>
      <c r="L1087" s="37"/>
    </row>
    <row r="1088" spans="1:12" x14ac:dyDescent="0.25">
      <c r="A1088" s="13"/>
      <c r="B1088" s="9" cm="1">
        <f t="array" ref="B1088">SUMPRODUCT((Tablo3[Personel Ad]=A1088)*(Tablo3[Ürün Kar Tutarı]))</f>
        <v>0</v>
      </c>
      <c r="D1088" s="14"/>
      <c r="F1088" s="9" cm="1">
        <f t="array" ref="F1088">SUMPRODUCT((Tablo3[Şehirler]=E1088)*(Tablo3[Ürün Kar Tutarı]))</f>
        <v>0</v>
      </c>
      <c r="H1088" s="14"/>
      <c r="J1088" s="9" cm="1">
        <f t="array" ref="J1088">SUMPRODUCT((Tablo3[Urun Ad]=I1088)*(Tablo3[Ürün Kar Tutarı]))</f>
        <v>0</v>
      </c>
      <c r="L1088" s="37"/>
    </row>
    <row r="1089" spans="1:12" x14ac:dyDescent="0.25">
      <c r="A1089" s="13"/>
      <c r="B1089" s="9" cm="1">
        <f t="array" ref="B1089">SUMPRODUCT((Tablo3[Personel Ad]=A1089)*(Tablo3[Ürün Kar Tutarı]))</f>
        <v>0</v>
      </c>
      <c r="D1089" s="14"/>
      <c r="F1089" s="9" cm="1">
        <f t="array" ref="F1089">SUMPRODUCT((Tablo3[Şehirler]=E1089)*(Tablo3[Ürün Kar Tutarı]))</f>
        <v>0</v>
      </c>
      <c r="H1089" s="14"/>
      <c r="J1089" s="9" cm="1">
        <f t="array" ref="J1089">SUMPRODUCT((Tablo3[Urun Ad]=I1089)*(Tablo3[Ürün Kar Tutarı]))</f>
        <v>0</v>
      </c>
      <c r="L1089" s="37"/>
    </row>
    <row r="1090" spans="1:12" x14ac:dyDescent="0.25">
      <c r="A1090" s="13"/>
      <c r="B1090" s="9" cm="1">
        <f t="array" ref="B1090">SUMPRODUCT((Tablo3[Personel Ad]=A1090)*(Tablo3[Ürün Kar Tutarı]))</f>
        <v>0</v>
      </c>
      <c r="D1090" s="14"/>
      <c r="F1090" s="9" cm="1">
        <f t="array" ref="F1090">SUMPRODUCT((Tablo3[Şehirler]=E1090)*(Tablo3[Ürün Kar Tutarı]))</f>
        <v>0</v>
      </c>
      <c r="H1090" s="14"/>
      <c r="J1090" s="9" cm="1">
        <f t="array" ref="J1090">SUMPRODUCT((Tablo3[Urun Ad]=I1090)*(Tablo3[Ürün Kar Tutarı]))</f>
        <v>0</v>
      </c>
      <c r="L1090" s="37"/>
    </row>
    <row r="1091" spans="1:12" x14ac:dyDescent="0.25">
      <c r="A1091" s="13"/>
      <c r="B1091" s="9" cm="1">
        <f t="array" ref="B1091">SUMPRODUCT((Tablo3[Personel Ad]=A1091)*(Tablo3[Ürün Kar Tutarı]))</f>
        <v>0</v>
      </c>
      <c r="D1091" s="14"/>
      <c r="F1091" s="9" cm="1">
        <f t="array" ref="F1091">SUMPRODUCT((Tablo3[Şehirler]=E1091)*(Tablo3[Ürün Kar Tutarı]))</f>
        <v>0</v>
      </c>
      <c r="H1091" s="14"/>
      <c r="J1091" s="9" cm="1">
        <f t="array" ref="J1091">SUMPRODUCT((Tablo3[Urun Ad]=I1091)*(Tablo3[Ürün Kar Tutarı]))</f>
        <v>0</v>
      </c>
      <c r="L1091" s="37"/>
    </row>
    <row r="1092" spans="1:12" x14ac:dyDescent="0.25">
      <c r="A1092" s="13"/>
      <c r="B1092" s="9" cm="1">
        <f t="array" ref="B1092">SUMPRODUCT((Tablo3[Personel Ad]=A1092)*(Tablo3[Ürün Kar Tutarı]))</f>
        <v>0</v>
      </c>
      <c r="D1092" s="14"/>
      <c r="F1092" s="9" cm="1">
        <f t="array" ref="F1092">SUMPRODUCT((Tablo3[Şehirler]=E1092)*(Tablo3[Ürün Kar Tutarı]))</f>
        <v>0</v>
      </c>
      <c r="H1092" s="14"/>
      <c r="J1092" s="9" cm="1">
        <f t="array" ref="J1092">SUMPRODUCT((Tablo3[Urun Ad]=I1092)*(Tablo3[Ürün Kar Tutarı]))</f>
        <v>0</v>
      </c>
      <c r="L1092" s="37"/>
    </row>
    <row r="1093" spans="1:12" x14ac:dyDescent="0.25">
      <c r="A1093" s="13"/>
      <c r="B1093" s="9" cm="1">
        <f t="array" ref="B1093">SUMPRODUCT((Tablo3[Personel Ad]=A1093)*(Tablo3[Ürün Kar Tutarı]))</f>
        <v>0</v>
      </c>
      <c r="D1093" s="14"/>
      <c r="F1093" s="9" cm="1">
        <f t="array" ref="F1093">SUMPRODUCT((Tablo3[Şehirler]=E1093)*(Tablo3[Ürün Kar Tutarı]))</f>
        <v>0</v>
      </c>
      <c r="H1093" s="14"/>
      <c r="J1093" s="9" cm="1">
        <f t="array" ref="J1093">SUMPRODUCT((Tablo3[Urun Ad]=I1093)*(Tablo3[Ürün Kar Tutarı]))</f>
        <v>0</v>
      </c>
      <c r="L1093" s="37"/>
    </row>
    <row r="1094" spans="1:12" x14ac:dyDescent="0.25">
      <c r="A1094" s="13"/>
      <c r="B1094" s="9" cm="1">
        <f t="array" ref="B1094">SUMPRODUCT((Tablo3[Personel Ad]=A1094)*(Tablo3[Ürün Kar Tutarı]))</f>
        <v>0</v>
      </c>
      <c r="D1094" s="14"/>
      <c r="F1094" s="9" cm="1">
        <f t="array" ref="F1094">SUMPRODUCT((Tablo3[Şehirler]=E1094)*(Tablo3[Ürün Kar Tutarı]))</f>
        <v>0</v>
      </c>
      <c r="H1094" s="14"/>
      <c r="J1094" s="9" cm="1">
        <f t="array" ref="J1094">SUMPRODUCT((Tablo3[Urun Ad]=I1094)*(Tablo3[Ürün Kar Tutarı]))</f>
        <v>0</v>
      </c>
      <c r="L1094" s="37"/>
    </row>
    <row r="1095" spans="1:12" x14ac:dyDescent="0.25">
      <c r="A1095" s="13"/>
      <c r="B1095" s="9" cm="1">
        <f t="array" ref="B1095">SUMPRODUCT((Tablo3[Personel Ad]=A1095)*(Tablo3[Ürün Kar Tutarı]))</f>
        <v>0</v>
      </c>
      <c r="D1095" s="14"/>
      <c r="F1095" s="9" cm="1">
        <f t="array" ref="F1095">SUMPRODUCT((Tablo3[Şehirler]=E1095)*(Tablo3[Ürün Kar Tutarı]))</f>
        <v>0</v>
      </c>
      <c r="H1095" s="14"/>
      <c r="J1095" s="9" cm="1">
        <f t="array" ref="J1095">SUMPRODUCT((Tablo3[Urun Ad]=I1095)*(Tablo3[Ürün Kar Tutarı]))</f>
        <v>0</v>
      </c>
      <c r="L1095" s="37"/>
    </row>
    <row r="1096" spans="1:12" x14ac:dyDescent="0.25">
      <c r="A1096" s="13"/>
      <c r="B1096" s="9" cm="1">
        <f t="array" ref="B1096">SUMPRODUCT((Tablo3[Personel Ad]=A1096)*(Tablo3[Ürün Kar Tutarı]))</f>
        <v>0</v>
      </c>
      <c r="D1096" s="14"/>
      <c r="F1096" s="9" cm="1">
        <f t="array" ref="F1096">SUMPRODUCT((Tablo3[Şehirler]=E1096)*(Tablo3[Ürün Kar Tutarı]))</f>
        <v>0</v>
      </c>
      <c r="H1096" s="14"/>
      <c r="J1096" s="9" cm="1">
        <f t="array" ref="J1096">SUMPRODUCT((Tablo3[Urun Ad]=I1096)*(Tablo3[Ürün Kar Tutarı]))</f>
        <v>0</v>
      </c>
      <c r="L1096" s="37"/>
    </row>
    <row r="1097" spans="1:12" x14ac:dyDescent="0.25">
      <c r="A1097" s="13"/>
      <c r="B1097" s="9" cm="1">
        <f t="array" ref="B1097">SUMPRODUCT((Tablo3[Personel Ad]=A1097)*(Tablo3[Ürün Kar Tutarı]))</f>
        <v>0</v>
      </c>
      <c r="D1097" s="14"/>
      <c r="F1097" s="9" cm="1">
        <f t="array" ref="F1097">SUMPRODUCT((Tablo3[Şehirler]=E1097)*(Tablo3[Ürün Kar Tutarı]))</f>
        <v>0</v>
      </c>
      <c r="H1097" s="14"/>
      <c r="J1097" s="9" cm="1">
        <f t="array" ref="J1097">SUMPRODUCT((Tablo3[Urun Ad]=I1097)*(Tablo3[Ürün Kar Tutarı]))</f>
        <v>0</v>
      </c>
      <c r="L1097" s="37"/>
    </row>
    <row r="1098" spans="1:12" x14ac:dyDescent="0.25">
      <c r="A1098" s="13"/>
      <c r="B1098" s="9" cm="1">
        <f t="array" ref="B1098">SUMPRODUCT((Tablo3[Personel Ad]=A1098)*(Tablo3[Ürün Kar Tutarı]))</f>
        <v>0</v>
      </c>
      <c r="D1098" s="14"/>
      <c r="F1098" s="9" cm="1">
        <f t="array" ref="F1098">SUMPRODUCT((Tablo3[Şehirler]=E1098)*(Tablo3[Ürün Kar Tutarı]))</f>
        <v>0</v>
      </c>
      <c r="H1098" s="14"/>
      <c r="J1098" s="9" cm="1">
        <f t="array" ref="J1098">SUMPRODUCT((Tablo3[Urun Ad]=I1098)*(Tablo3[Ürün Kar Tutarı]))</f>
        <v>0</v>
      </c>
      <c r="L1098" s="37"/>
    </row>
    <row r="1099" spans="1:12" x14ac:dyDescent="0.25">
      <c r="A1099" s="13"/>
      <c r="B1099" s="9" cm="1">
        <f t="array" ref="B1099">SUMPRODUCT((Tablo3[Personel Ad]=A1099)*(Tablo3[Ürün Kar Tutarı]))</f>
        <v>0</v>
      </c>
      <c r="D1099" s="14"/>
      <c r="F1099" s="9" cm="1">
        <f t="array" ref="F1099">SUMPRODUCT((Tablo3[Şehirler]=E1099)*(Tablo3[Ürün Kar Tutarı]))</f>
        <v>0</v>
      </c>
      <c r="H1099" s="14"/>
      <c r="J1099" s="9" cm="1">
        <f t="array" ref="J1099">SUMPRODUCT((Tablo3[Urun Ad]=I1099)*(Tablo3[Ürün Kar Tutarı]))</f>
        <v>0</v>
      </c>
      <c r="L1099" s="37"/>
    </row>
    <row r="1100" spans="1:12" x14ac:dyDescent="0.25">
      <c r="A1100" s="13"/>
      <c r="B1100" s="9" cm="1">
        <f t="array" ref="B1100">SUMPRODUCT((Tablo3[Personel Ad]=A1100)*(Tablo3[Ürün Kar Tutarı]))</f>
        <v>0</v>
      </c>
      <c r="D1100" s="14"/>
      <c r="F1100" s="9" cm="1">
        <f t="array" ref="F1100">SUMPRODUCT((Tablo3[Şehirler]=E1100)*(Tablo3[Ürün Kar Tutarı]))</f>
        <v>0</v>
      </c>
      <c r="H1100" s="14"/>
      <c r="J1100" s="9" cm="1">
        <f t="array" ref="J1100">SUMPRODUCT((Tablo3[Urun Ad]=I1100)*(Tablo3[Ürün Kar Tutarı]))</f>
        <v>0</v>
      </c>
      <c r="L1100" s="37"/>
    </row>
    <row r="1101" spans="1:12" x14ac:dyDescent="0.25">
      <c r="A1101" s="13"/>
      <c r="B1101" s="9" cm="1">
        <f t="array" ref="B1101">SUMPRODUCT((Tablo3[Personel Ad]=A1101)*(Tablo3[Ürün Kar Tutarı]))</f>
        <v>0</v>
      </c>
      <c r="D1101" s="14"/>
      <c r="F1101" s="9" cm="1">
        <f t="array" ref="F1101">SUMPRODUCT((Tablo3[Şehirler]=E1101)*(Tablo3[Ürün Kar Tutarı]))</f>
        <v>0</v>
      </c>
      <c r="H1101" s="14"/>
      <c r="J1101" s="9" cm="1">
        <f t="array" ref="J1101">SUMPRODUCT((Tablo3[Urun Ad]=I1101)*(Tablo3[Ürün Kar Tutarı]))</f>
        <v>0</v>
      </c>
      <c r="L1101" s="37"/>
    </row>
    <row r="1102" spans="1:12" x14ac:dyDescent="0.25">
      <c r="A1102" s="13"/>
      <c r="B1102" s="9" cm="1">
        <f t="array" ref="B1102">SUMPRODUCT((Tablo3[Personel Ad]=A1102)*(Tablo3[Ürün Kar Tutarı]))</f>
        <v>0</v>
      </c>
      <c r="D1102" s="14"/>
      <c r="F1102" s="9" cm="1">
        <f t="array" ref="F1102">SUMPRODUCT((Tablo3[Şehirler]=E1102)*(Tablo3[Ürün Kar Tutarı]))</f>
        <v>0</v>
      </c>
      <c r="H1102" s="14"/>
      <c r="J1102" s="9" cm="1">
        <f t="array" ref="J1102">SUMPRODUCT((Tablo3[Urun Ad]=I1102)*(Tablo3[Ürün Kar Tutarı]))</f>
        <v>0</v>
      </c>
      <c r="L1102" s="37"/>
    </row>
    <row r="1103" spans="1:12" x14ac:dyDescent="0.25">
      <c r="A1103" s="13"/>
      <c r="B1103" s="9" cm="1">
        <f t="array" ref="B1103">SUMPRODUCT((Tablo3[Personel Ad]=A1103)*(Tablo3[Ürün Kar Tutarı]))</f>
        <v>0</v>
      </c>
      <c r="D1103" s="14"/>
      <c r="F1103" s="9" cm="1">
        <f t="array" ref="F1103">SUMPRODUCT((Tablo3[Şehirler]=E1103)*(Tablo3[Ürün Kar Tutarı]))</f>
        <v>0</v>
      </c>
      <c r="H1103" s="14"/>
      <c r="J1103" s="9" cm="1">
        <f t="array" ref="J1103">SUMPRODUCT((Tablo3[Urun Ad]=I1103)*(Tablo3[Ürün Kar Tutarı]))</f>
        <v>0</v>
      </c>
      <c r="L1103" s="37"/>
    </row>
    <row r="1104" spans="1:12" x14ac:dyDescent="0.25">
      <c r="A1104" s="13"/>
      <c r="B1104" s="9" cm="1">
        <f t="array" ref="B1104">SUMPRODUCT((Tablo3[Personel Ad]=A1104)*(Tablo3[Ürün Kar Tutarı]))</f>
        <v>0</v>
      </c>
      <c r="D1104" s="14"/>
      <c r="F1104" s="9" cm="1">
        <f t="array" ref="F1104">SUMPRODUCT((Tablo3[Şehirler]=E1104)*(Tablo3[Ürün Kar Tutarı]))</f>
        <v>0</v>
      </c>
      <c r="H1104" s="14"/>
      <c r="J1104" s="9" cm="1">
        <f t="array" ref="J1104">SUMPRODUCT((Tablo3[Urun Ad]=I1104)*(Tablo3[Ürün Kar Tutarı]))</f>
        <v>0</v>
      </c>
      <c r="L1104" s="37"/>
    </row>
    <row r="1105" spans="1:12" x14ac:dyDescent="0.25">
      <c r="A1105" s="13"/>
      <c r="B1105" s="9" cm="1">
        <f t="array" ref="B1105">SUMPRODUCT((Tablo3[Personel Ad]=A1105)*(Tablo3[Ürün Kar Tutarı]))</f>
        <v>0</v>
      </c>
      <c r="D1105" s="14"/>
      <c r="F1105" s="9" cm="1">
        <f t="array" ref="F1105">SUMPRODUCT((Tablo3[Şehirler]=E1105)*(Tablo3[Ürün Kar Tutarı]))</f>
        <v>0</v>
      </c>
      <c r="H1105" s="14"/>
      <c r="J1105" s="9" cm="1">
        <f t="array" ref="J1105">SUMPRODUCT((Tablo3[Urun Ad]=I1105)*(Tablo3[Ürün Kar Tutarı]))</f>
        <v>0</v>
      </c>
      <c r="L1105" s="37"/>
    </row>
    <row r="1106" spans="1:12" x14ac:dyDescent="0.25">
      <c r="A1106" s="13"/>
      <c r="B1106" s="9" cm="1">
        <f t="array" ref="B1106">SUMPRODUCT((Tablo3[Personel Ad]=A1106)*(Tablo3[Ürün Kar Tutarı]))</f>
        <v>0</v>
      </c>
      <c r="D1106" s="14"/>
      <c r="F1106" s="9" cm="1">
        <f t="array" ref="F1106">SUMPRODUCT((Tablo3[Şehirler]=E1106)*(Tablo3[Ürün Kar Tutarı]))</f>
        <v>0</v>
      </c>
      <c r="H1106" s="14"/>
      <c r="J1106" s="9" cm="1">
        <f t="array" ref="J1106">SUMPRODUCT((Tablo3[Urun Ad]=I1106)*(Tablo3[Ürün Kar Tutarı]))</f>
        <v>0</v>
      </c>
      <c r="L1106" s="37"/>
    </row>
    <row r="1107" spans="1:12" x14ac:dyDescent="0.25">
      <c r="A1107" s="13"/>
      <c r="B1107" s="9" cm="1">
        <f t="array" ref="B1107">SUMPRODUCT((Tablo3[Personel Ad]=A1107)*(Tablo3[Ürün Kar Tutarı]))</f>
        <v>0</v>
      </c>
      <c r="D1107" s="14"/>
      <c r="F1107" s="9" cm="1">
        <f t="array" ref="F1107">SUMPRODUCT((Tablo3[Şehirler]=E1107)*(Tablo3[Ürün Kar Tutarı]))</f>
        <v>0</v>
      </c>
      <c r="H1107" s="14"/>
      <c r="J1107" s="9" cm="1">
        <f t="array" ref="J1107">SUMPRODUCT((Tablo3[Urun Ad]=I1107)*(Tablo3[Ürün Kar Tutarı]))</f>
        <v>0</v>
      </c>
      <c r="L1107" s="37"/>
    </row>
    <row r="1108" spans="1:12" x14ac:dyDescent="0.25">
      <c r="A1108" s="13"/>
      <c r="B1108" s="9" cm="1">
        <f t="array" ref="B1108">SUMPRODUCT((Tablo3[Personel Ad]=A1108)*(Tablo3[Ürün Kar Tutarı]))</f>
        <v>0</v>
      </c>
      <c r="D1108" s="14"/>
      <c r="F1108" s="9" cm="1">
        <f t="array" ref="F1108">SUMPRODUCT((Tablo3[Şehirler]=E1108)*(Tablo3[Ürün Kar Tutarı]))</f>
        <v>0</v>
      </c>
      <c r="H1108" s="14"/>
      <c r="J1108" s="9" cm="1">
        <f t="array" ref="J1108">SUMPRODUCT((Tablo3[Urun Ad]=I1108)*(Tablo3[Ürün Kar Tutarı]))</f>
        <v>0</v>
      </c>
      <c r="L1108" s="37"/>
    </row>
    <row r="1109" spans="1:12" x14ac:dyDescent="0.25">
      <c r="A1109" s="13"/>
      <c r="B1109" s="9" cm="1">
        <f t="array" ref="B1109">SUMPRODUCT((Tablo3[Personel Ad]=A1109)*(Tablo3[Ürün Kar Tutarı]))</f>
        <v>0</v>
      </c>
      <c r="D1109" s="14"/>
      <c r="F1109" s="9" cm="1">
        <f t="array" ref="F1109">SUMPRODUCT((Tablo3[Şehirler]=E1109)*(Tablo3[Ürün Kar Tutarı]))</f>
        <v>0</v>
      </c>
      <c r="H1109" s="14"/>
      <c r="J1109" s="9" cm="1">
        <f t="array" ref="J1109">SUMPRODUCT((Tablo3[Urun Ad]=I1109)*(Tablo3[Ürün Kar Tutarı]))</f>
        <v>0</v>
      </c>
      <c r="L1109" s="37"/>
    </row>
    <row r="1110" spans="1:12" x14ac:dyDescent="0.25">
      <c r="A1110" s="13"/>
      <c r="B1110" s="9" cm="1">
        <f t="array" ref="B1110">SUMPRODUCT((Tablo3[Personel Ad]=A1110)*(Tablo3[Ürün Kar Tutarı]))</f>
        <v>0</v>
      </c>
      <c r="D1110" s="14"/>
      <c r="F1110" s="9" cm="1">
        <f t="array" ref="F1110">SUMPRODUCT((Tablo3[Şehirler]=E1110)*(Tablo3[Ürün Kar Tutarı]))</f>
        <v>0</v>
      </c>
      <c r="H1110" s="14"/>
      <c r="J1110" s="9" cm="1">
        <f t="array" ref="J1110">SUMPRODUCT((Tablo3[Urun Ad]=I1110)*(Tablo3[Ürün Kar Tutarı]))</f>
        <v>0</v>
      </c>
      <c r="L1110" s="37"/>
    </row>
    <row r="1111" spans="1:12" x14ac:dyDescent="0.25">
      <c r="A1111" s="13"/>
      <c r="B1111" s="9" cm="1">
        <f t="array" ref="B1111">SUMPRODUCT((Tablo3[Personel Ad]=A1111)*(Tablo3[Ürün Kar Tutarı]))</f>
        <v>0</v>
      </c>
      <c r="D1111" s="14"/>
      <c r="F1111" s="9" cm="1">
        <f t="array" ref="F1111">SUMPRODUCT((Tablo3[Şehirler]=E1111)*(Tablo3[Ürün Kar Tutarı]))</f>
        <v>0</v>
      </c>
      <c r="H1111" s="14"/>
      <c r="J1111" s="9" cm="1">
        <f t="array" ref="J1111">SUMPRODUCT((Tablo3[Urun Ad]=I1111)*(Tablo3[Ürün Kar Tutarı]))</f>
        <v>0</v>
      </c>
      <c r="L1111" s="37"/>
    </row>
    <row r="1112" spans="1:12" x14ac:dyDescent="0.25">
      <c r="A1112" s="13"/>
      <c r="B1112" s="9" cm="1">
        <f t="array" ref="B1112">SUMPRODUCT((Tablo3[Personel Ad]=A1112)*(Tablo3[Ürün Kar Tutarı]))</f>
        <v>0</v>
      </c>
      <c r="D1112" s="14"/>
      <c r="F1112" s="9" cm="1">
        <f t="array" ref="F1112">SUMPRODUCT((Tablo3[Şehirler]=E1112)*(Tablo3[Ürün Kar Tutarı]))</f>
        <v>0</v>
      </c>
      <c r="H1112" s="14"/>
      <c r="J1112" s="9" cm="1">
        <f t="array" ref="J1112">SUMPRODUCT((Tablo3[Urun Ad]=I1112)*(Tablo3[Ürün Kar Tutarı]))</f>
        <v>0</v>
      </c>
      <c r="L1112" s="37"/>
    </row>
    <row r="1113" spans="1:12" x14ac:dyDescent="0.25">
      <c r="A1113" s="13"/>
      <c r="B1113" s="9" cm="1">
        <f t="array" ref="B1113">SUMPRODUCT((Tablo3[Personel Ad]=A1113)*(Tablo3[Ürün Kar Tutarı]))</f>
        <v>0</v>
      </c>
      <c r="D1113" s="14"/>
      <c r="F1113" s="9" cm="1">
        <f t="array" ref="F1113">SUMPRODUCT((Tablo3[Şehirler]=E1113)*(Tablo3[Ürün Kar Tutarı]))</f>
        <v>0</v>
      </c>
      <c r="H1113" s="14"/>
      <c r="J1113" s="9" cm="1">
        <f t="array" ref="J1113">SUMPRODUCT((Tablo3[Urun Ad]=I1113)*(Tablo3[Ürün Kar Tutarı]))</f>
        <v>0</v>
      </c>
      <c r="L1113" s="37"/>
    </row>
    <row r="1114" spans="1:12" x14ac:dyDescent="0.25">
      <c r="A1114" s="13"/>
      <c r="B1114" s="9" cm="1">
        <f t="array" ref="B1114">SUMPRODUCT((Tablo3[Personel Ad]=A1114)*(Tablo3[Ürün Kar Tutarı]))</f>
        <v>0</v>
      </c>
      <c r="D1114" s="14"/>
      <c r="F1114" s="9" cm="1">
        <f t="array" ref="F1114">SUMPRODUCT((Tablo3[Şehirler]=E1114)*(Tablo3[Ürün Kar Tutarı]))</f>
        <v>0</v>
      </c>
      <c r="H1114" s="14"/>
      <c r="J1114" s="9" cm="1">
        <f t="array" ref="J1114">SUMPRODUCT((Tablo3[Urun Ad]=I1114)*(Tablo3[Ürün Kar Tutarı]))</f>
        <v>0</v>
      </c>
      <c r="L1114" s="37"/>
    </row>
    <row r="1115" spans="1:12" x14ac:dyDescent="0.25">
      <c r="A1115" s="13"/>
      <c r="B1115" s="9" cm="1">
        <f t="array" ref="B1115">SUMPRODUCT((Tablo3[Personel Ad]=A1115)*(Tablo3[Ürün Kar Tutarı]))</f>
        <v>0</v>
      </c>
      <c r="D1115" s="14"/>
      <c r="F1115" s="9" cm="1">
        <f t="array" ref="F1115">SUMPRODUCT((Tablo3[Şehirler]=E1115)*(Tablo3[Ürün Kar Tutarı]))</f>
        <v>0</v>
      </c>
      <c r="H1115" s="14"/>
      <c r="J1115" s="9" cm="1">
        <f t="array" ref="J1115">SUMPRODUCT((Tablo3[Urun Ad]=I1115)*(Tablo3[Ürün Kar Tutarı]))</f>
        <v>0</v>
      </c>
      <c r="L1115" s="37"/>
    </row>
    <row r="1116" spans="1:12" x14ac:dyDescent="0.25">
      <c r="A1116" s="13"/>
      <c r="B1116" s="9" cm="1">
        <f t="array" ref="B1116">SUMPRODUCT((Tablo3[Personel Ad]=A1116)*(Tablo3[Ürün Kar Tutarı]))</f>
        <v>0</v>
      </c>
      <c r="D1116" s="14"/>
      <c r="F1116" s="9" cm="1">
        <f t="array" ref="F1116">SUMPRODUCT((Tablo3[Şehirler]=E1116)*(Tablo3[Ürün Kar Tutarı]))</f>
        <v>0</v>
      </c>
      <c r="H1116" s="14"/>
      <c r="J1116" s="9" cm="1">
        <f t="array" ref="J1116">SUMPRODUCT((Tablo3[Urun Ad]=I1116)*(Tablo3[Ürün Kar Tutarı]))</f>
        <v>0</v>
      </c>
      <c r="L1116" s="37"/>
    </row>
    <row r="1117" spans="1:12" x14ac:dyDescent="0.25">
      <c r="A1117" s="13"/>
      <c r="B1117" s="9" cm="1">
        <f t="array" ref="B1117">SUMPRODUCT((Tablo3[Personel Ad]=A1117)*(Tablo3[Ürün Kar Tutarı]))</f>
        <v>0</v>
      </c>
      <c r="D1117" s="14"/>
      <c r="F1117" s="9" cm="1">
        <f t="array" ref="F1117">SUMPRODUCT((Tablo3[Şehirler]=E1117)*(Tablo3[Ürün Kar Tutarı]))</f>
        <v>0</v>
      </c>
      <c r="H1117" s="14"/>
      <c r="J1117" s="9" cm="1">
        <f t="array" ref="J1117">SUMPRODUCT((Tablo3[Urun Ad]=I1117)*(Tablo3[Ürün Kar Tutarı]))</f>
        <v>0</v>
      </c>
      <c r="L1117" s="37"/>
    </row>
    <row r="1118" spans="1:12" x14ac:dyDescent="0.25">
      <c r="A1118" s="13"/>
      <c r="B1118" s="9" cm="1">
        <f t="array" ref="B1118">SUMPRODUCT((Tablo3[Personel Ad]=A1118)*(Tablo3[Ürün Kar Tutarı]))</f>
        <v>0</v>
      </c>
      <c r="D1118" s="14"/>
      <c r="F1118" s="9" cm="1">
        <f t="array" ref="F1118">SUMPRODUCT((Tablo3[Şehirler]=E1118)*(Tablo3[Ürün Kar Tutarı]))</f>
        <v>0</v>
      </c>
      <c r="H1118" s="14"/>
      <c r="J1118" s="9" cm="1">
        <f t="array" ref="J1118">SUMPRODUCT((Tablo3[Urun Ad]=I1118)*(Tablo3[Ürün Kar Tutarı]))</f>
        <v>0</v>
      </c>
      <c r="L1118" s="37"/>
    </row>
    <row r="1119" spans="1:12" x14ac:dyDescent="0.25">
      <c r="A1119" s="13"/>
      <c r="B1119" s="9" cm="1">
        <f t="array" ref="B1119">SUMPRODUCT((Tablo3[Personel Ad]=A1119)*(Tablo3[Ürün Kar Tutarı]))</f>
        <v>0</v>
      </c>
      <c r="D1119" s="14"/>
      <c r="F1119" s="9" cm="1">
        <f t="array" ref="F1119">SUMPRODUCT((Tablo3[Şehirler]=E1119)*(Tablo3[Ürün Kar Tutarı]))</f>
        <v>0</v>
      </c>
      <c r="H1119" s="14"/>
      <c r="J1119" s="9" cm="1">
        <f t="array" ref="J1119">SUMPRODUCT((Tablo3[Urun Ad]=I1119)*(Tablo3[Ürün Kar Tutarı]))</f>
        <v>0</v>
      </c>
      <c r="L1119" s="37"/>
    </row>
    <row r="1120" spans="1:12" x14ac:dyDescent="0.25">
      <c r="A1120" s="13"/>
      <c r="B1120" s="9" cm="1">
        <f t="array" ref="B1120">SUMPRODUCT((Tablo3[Personel Ad]=A1120)*(Tablo3[Ürün Kar Tutarı]))</f>
        <v>0</v>
      </c>
      <c r="D1120" s="14"/>
      <c r="F1120" s="9" cm="1">
        <f t="array" ref="F1120">SUMPRODUCT((Tablo3[Şehirler]=E1120)*(Tablo3[Ürün Kar Tutarı]))</f>
        <v>0</v>
      </c>
      <c r="H1120" s="14"/>
      <c r="J1120" s="9" cm="1">
        <f t="array" ref="J1120">SUMPRODUCT((Tablo3[Urun Ad]=I1120)*(Tablo3[Ürün Kar Tutarı]))</f>
        <v>0</v>
      </c>
      <c r="L1120" s="37"/>
    </row>
    <row r="1121" spans="1:12" x14ac:dyDescent="0.25">
      <c r="A1121" s="13"/>
      <c r="B1121" s="9" cm="1">
        <f t="array" ref="B1121">SUMPRODUCT((Tablo3[Personel Ad]=A1121)*(Tablo3[Ürün Kar Tutarı]))</f>
        <v>0</v>
      </c>
      <c r="D1121" s="14"/>
      <c r="F1121" s="9" cm="1">
        <f t="array" ref="F1121">SUMPRODUCT((Tablo3[Şehirler]=E1121)*(Tablo3[Ürün Kar Tutarı]))</f>
        <v>0</v>
      </c>
      <c r="H1121" s="14"/>
      <c r="J1121" s="9" cm="1">
        <f t="array" ref="J1121">SUMPRODUCT((Tablo3[Urun Ad]=I1121)*(Tablo3[Ürün Kar Tutarı]))</f>
        <v>0</v>
      </c>
      <c r="L1121" s="37"/>
    </row>
    <row r="1122" spans="1:12" x14ac:dyDescent="0.25">
      <c r="A1122" s="13"/>
      <c r="B1122" s="9" cm="1">
        <f t="array" ref="B1122">SUMPRODUCT((Tablo3[Personel Ad]=A1122)*(Tablo3[Ürün Kar Tutarı]))</f>
        <v>0</v>
      </c>
      <c r="D1122" s="14"/>
      <c r="F1122" s="9" cm="1">
        <f t="array" ref="F1122">SUMPRODUCT((Tablo3[Şehirler]=E1122)*(Tablo3[Ürün Kar Tutarı]))</f>
        <v>0</v>
      </c>
      <c r="H1122" s="14"/>
      <c r="J1122" s="9" cm="1">
        <f t="array" ref="J1122">SUMPRODUCT((Tablo3[Urun Ad]=I1122)*(Tablo3[Ürün Kar Tutarı]))</f>
        <v>0</v>
      </c>
      <c r="L1122" s="37"/>
    </row>
    <row r="1123" spans="1:12" x14ac:dyDescent="0.25">
      <c r="A1123" s="13"/>
      <c r="B1123" s="9" cm="1">
        <f t="array" ref="B1123">SUMPRODUCT((Tablo3[Personel Ad]=A1123)*(Tablo3[Ürün Kar Tutarı]))</f>
        <v>0</v>
      </c>
      <c r="D1123" s="14"/>
      <c r="F1123" s="9" cm="1">
        <f t="array" ref="F1123">SUMPRODUCT((Tablo3[Şehirler]=E1123)*(Tablo3[Ürün Kar Tutarı]))</f>
        <v>0</v>
      </c>
      <c r="H1123" s="14"/>
      <c r="J1123" s="9" cm="1">
        <f t="array" ref="J1123">SUMPRODUCT((Tablo3[Urun Ad]=I1123)*(Tablo3[Ürün Kar Tutarı]))</f>
        <v>0</v>
      </c>
      <c r="L1123" s="37"/>
    </row>
    <row r="1124" spans="1:12" x14ac:dyDescent="0.25">
      <c r="A1124" s="13"/>
      <c r="B1124" s="9" cm="1">
        <f t="array" ref="B1124">SUMPRODUCT((Tablo3[Personel Ad]=A1124)*(Tablo3[Ürün Kar Tutarı]))</f>
        <v>0</v>
      </c>
      <c r="D1124" s="14"/>
      <c r="F1124" s="9" cm="1">
        <f t="array" ref="F1124">SUMPRODUCT((Tablo3[Şehirler]=E1124)*(Tablo3[Ürün Kar Tutarı]))</f>
        <v>0</v>
      </c>
      <c r="H1124" s="14"/>
      <c r="J1124" s="9" cm="1">
        <f t="array" ref="J1124">SUMPRODUCT((Tablo3[Urun Ad]=I1124)*(Tablo3[Ürün Kar Tutarı]))</f>
        <v>0</v>
      </c>
      <c r="L1124" s="37"/>
    </row>
    <row r="1125" spans="1:12" x14ac:dyDescent="0.25">
      <c r="A1125" s="13"/>
      <c r="B1125" s="9" cm="1">
        <f t="array" ref="B1125">SUMPRODUCT((Tablo3[Personel Ad]=A1125)*(Tablo3[Ürün Kar Tutarı]))</f>
        <v>0</v>
      </c>
      <c r="D1125" s="14"/>
      <c r="F1125" s="9" cm="1">
        <f t="array" ref="F1125">SUMPRODUCT((Tablo3[Şehirler]=E1125)*(Tablo3[Ürün Kar Tutarı]))</f>
        <v>0</v>
      </c>
      <c r="H1125" s="14"/>
      <c r="J1125" s="9" cm="1">
        <f t="array" ref="J1125">SUMPRODUCT((Tablo3[Urun Ad]=I1125)*(Tablo3[Ürün Kar Tutarı]))</f>
        <v>0</v>
      </c>
      <c r="L1125" s="37"/>
    </row>
    <row r="1126" spans="1:12" x14ac:dyDescent="0.25">
      <c r="A1126" s="13"/>
      <c r="B1126" s="9" cm="1">
        <f t="array" ref="B1126">SUMPRODUCT((Tablo3[Personel Ad]=A1126)*(Tablo3[Ürün Kar Tutarı]))</f>
        <v>0</v>
      </c>
      <c r="D1126" s="14"/>
      <c r="F1126" s="9" cm="1">
        <f t="array" ref="F1126">SUMPRODUCT((Tablo3[Şehirler]=E1126)*(Tablo3[Ürün Kar Tutarı]))</f>
        <v>0</v>
      </c>
      <c r="H1126" s="14"/>
      <c r="J1126" s="9" cm="1">
        <f t="array" ref="J1126">SUMPRODUCT((Tablo3[Urun Ad]=I1126)*(Tablo3[Ürün Kar Tutarı]))</f>
        <v>0</v>
      </c>
      <c r="L1126" s="37"/>
    </row>
    <row r="1127" spans="1:12" x14ac:dyDescent="0.25">
      <c r="A1127" s="13"/>
      <c r="B1127" s="9" cm="1">
        <f t="array" ref="B1127">SUMPRODUCT((Tablo3[Personel Ad]=A1127)*(Tablo3[Ürün Kar Tutarı]))</f>
        <v>0</v>
      </c>
      <c r="D1127" s="14"/>
      <c r="F1127" s="9" cm="1">
        <f t="array" ref="F1127">SUMPRODUCT((Tablo3[Şehirler]=E1127)*(Tablo3[Ürün Kar Tutarı]))</f>
        <v>0</v>
      </c>
      <c r="H1127" s="14"/>
      <c r="J1127" s="9" cm="1">
        <f t="array" ref="J1127">SUMPRODUCT((Tablo3[Urun Ad]=I1127)*(Tablo3[Ürün Kar Tutarı]))</f>
        <v>0</v>
      </c>
      <c r="L1127" s="37"/>
    </row>
    <row r="1128" spans="1:12" x14ac:dyDescent="0.25">
      <c r="A1128" s="13"/>
      <c r="B1128" s="9" cm="1">
        <f t="array" ref="B1128">SUMPRODUCT((Tablo3[Personel Ad]=A1128)*(Tablo3[Ürün Kar Tutarı]))</f>
        <v>0</v>
      </c>
      <c r="D1128" s="14"/>
      <c r="F1128" s="9" cm="1">
        <f t="array" ref="F1128">SUMPRODUCT((Tablo3[Şehirler]=E1128)*(Tablo3[Ürün Kar Tutarı]))</f>
        <v>0</v>
      </c>
      <c r="H1128" s="14"/>
      <c r="J1128" s="9" cm="1">
        <f t="array" ref="J1128">SUMPRODUCT((Tablo3[Urun Ad]=I1128)*(Tablo3[Ürün Kar Tutarı]))</f>
        <v>0</v>
      </c>
      <c r="L1128" s="37"/>
    </row>
    <row r="1129" spans="1:12" x14ac:dyDescent="0.25">
      <c r="A1129" s="13"/>
      <c r="B1129" s="9" cm="1">
        <f t="array" ref="B1129">SUMPRODUCT((Tablo3[Personel Ad]=A1129)*(Tablo3[Ürün Kar Tutarı]))</f>
        <v>0</v>
      </c>
      <c r="D1129" s="14"/>
      <c r="F1129" s="9" cm="1">
        <f t="array" ref="F1129">SUMPRODUCT((Tablo3[Şehirler]=E1129)*(Tablo3[Ürün Kar Tutarı]))</f>
        <v>0</v>
      </c>
      <c r="H1129" s="14"/>
      <c r="J1129" s="9" cm="1">
        <f t="array" ref="J1129">SUMPRODUCT((Tablo3[Urun Ad]=I1129)*(Tablo3[Ürün Kar Tutarı]))</f>
        <v>0</v>
      </c>
      <c r="L1129" s="37"/>
    </row>
    <row r="1130" spans="1:12" x14ac:dyDescent="0.25">
      <c r="A1130" s="13"/>
      <c r="B1130" s="9" cm="1">
        <f t="array" ref="B1130">SUMPRODUCT((Tablo3[Personel Ad]=A1130)*(Tablo3[Ürün Kar Tutarı]))</f>
        <v>0</v>
      </c>
      <c r="D1130" s="14"/>
      <c r="F1130" s="9" cm="1">
        <f t="array" ref="F1130">SUMPRODUCT((Tablo3[Şehirler]=E1130)*(Tablo3[Ürün Kar Tutarı]))</f>
        <v>0</v>
      </c>
      <c r="H1130" s="14"/>
      <c r="J1130" s="9" cm="1">
        <f t="array" ref="J1130">SUMPRODUCT((Tablo3[Urun Ad]=I1130)*(Tablo3[Ürün Kar Tutarı]))</f>
        <v>0</v>
      </c>
      <c r="L1130" s="37"/>
    </row>
    <row r="1131" spans="1:12" x14ac:dyDescent="0.25">
      <c r="A1131" s="13"/>
      <c r="B1131" s="9" cm="1">
        <f t="array" ref="B1131">SUMPRODUCT((Tablo3[Personel Ad]=A1131)*(Tablo3[Ürün Kar Tutarı]))</f>
        <v>0</v>
      </c>
      <c r="D1131" s="14"/>
      <c r="F1131" s="9" cm="1">
        <f t="array" ref="F1131">SUMPRODUCT((Tablo3[Şehirler]=E1131)*(Tablo3[Ürün Kar Tutarı]))</f>
        <v>0</v>
      </c>
      <c r="H1131" s="14"/>
      <c r="J1131" s="9" cm="1">
        <f t="array" ref="J1131">SUMPRODUCT((Tablo3[Urun Ad]=I1131)*(Tablo3[Ürün Kar Tutarı]))</f>
        <v>0</v>
      </c>
      <c r="L1131" s="37"/>
    </row>
    <row r="1132" spans="1:12" x14ac:dyDescent="0.25">
      <c r="A1132" s="13"/>
      <c r="B1132" s="9" cm="1">
        <f t="array" ref="B1132">SUMPRODUCT((Tablo3[Personel Ad]=A1132)*(Tablo3[Ürün Kar Tutarı]))</f>
        <v>0</v>
      </c>
      <c r="D1132" s="14"/>
      <c r="F1132" s="9" cm="1">
        <f t="array" ref="F1132">SUMPRODUCT((Tablo3[Şehirler]=E1132)*(Tablo3[Ürün Kar Tutarı]))</f>
        <v>0</v>
      </c>
      <c r="H1132" s="14"/>
      <c r="J1132" s="9" cm="1">
        <f t="array" ref="J1132">SUMPRODUCT((Tablo3[Urun Ad]=I1132)*(Tablo3[Ürün Kar Tutarı]))</f>
        <v>0</v>
      </c>
      <c r="L1132" s="37"/>
    </row>
    <row r="1133" spans="1:12" x14ac:dyDescent="0.25">
      <c r="A1133" s="13"/>
      <c r="B1133" s="9" cm="1">
        <f t="array" ref="B1133">SUMPRODUCT((Tablo3[Personel Ad]=A1133)*(Tablo3[Ürün Kar Tutarı]))</f>
        <v>0</v>
      </c>
      <c r="D1133" s="14"/>
      <c r="F1133" s="9" cm="1">
        <f t="array" ref="F1133">SUMPRODUCT((Tablo3[Şehirler]=E1133)*(Tablo3[Ürün Kar Tutarı]))</f>
        <v>0</v>
      </c>
      <c r="H1133" s="14"/>
      <c r="J1133" s="9" cm="1">
        <f t="array" ref="J1133">SUMPRODUCT((Tablo3[Urun Ad]=I1133)*(Tablo3[Ürün Kar Tutarı]))</f>
        <v>0</v>
      </c>
      <c r="L1133" s="37"/>
    </row>
    <row r="1134" spans="1:12" x14ac:dyDescent="0.25">
      <c r="A1134" s="13"/>
      <c r="B1134" s="9" cm="1">
        <f t="array" ref="B1134">SUMPRODUCT((Tablo3[Personel Ad]=A1134)*(Tablo3[Ürün Kar Tutarı]))</f>
        <v>0</v>
      </c>
      <c r="D1134" s="14"/>
      <c r="F1134" s="9" cm="1">
        <f t="array" ref="F1134">SUMPRODUCT((Tablo3[Şehirler]=E1134)*(Tablo3[Ürün Kar Tutarı]))</f>
        <v>0</v>
      </c>
      <c r="H1134" s="14"/>
      <c r="J1134" s="9" cm="1">
        <f t="array" ref="J1134">SUMPRODUCT((Tablo3[Urun Ad]=I1134)*(Tablo3[Ürün Kar Tutarı]))</f>
        <v>0</v>
      </c>
      <c r="L1134" s="37"/>
    </row>
    <row r="1135" spans="1:12" x14ac:dyDescent="0.25">
      <c r="A1135" s="13"/>
      <c r="B1135" s="9" cm="1">
        <f t="array" ref="B1135">SUMPRODUCT((Tablo3[Personel Ad]=A1135)*(Tablo3[Ürün Kar Tutarı]))</f>
        <v>0</v>
      </c>
      <c r="D1135" s="14"/>
      <c r="F1135" s="9" cm="1">
        <f t="array" ref="F1135">SUMPRODUCT((Tablo3[Şehirler]=E1135)*(Tablo3[Ürün Kar Tutarı]))</f>
        <v>0</v>
      </c>
      <c r="H1135" s="14"/>
      <c r="J1135" s="9" cm="1">
        <f t="array" ref="J1135">SUMPRODUCT((Tablo3[Urun Ad]=I1135)*(Tablo3[Ürün Kar Tutarı]))</f>
        <v>0</v>
      </c>
      <c r="L1135" s="37"/>
    </row>
    <row r="1136" spans="1:12" x14ac:dyDescent="0.25">
      <c r="A1136" s="13"/>
      <c r="B1136" s="9" cm="1">
        <f t="array" ref="B1136">SUMPRODUCT((Tablo3[Personel Ad]=A1136)*(Tablo3[Ürün Kar Tutarı]))</f>
        <v>0</v>
      </c>
      <c r="D1136" s="14"/>
      <c r="F1136" s="9" cm="1">
        <f t="array" ref="F1136">SUMPRODUCT((Tablo3[Şehirler]=E1136)*(Tablo3[Ürün Kar Tutarı]))</f>
        <v>0</v>
      </c>
      <c r="H1136" s="14"/>
      <c r="J1136" s="9" cm="1">
        <f t="array" ref="J1136">SUMPRODUCT((Tablo3[Urun Ad]=I1136)*(Tablo3[Ürün Kar Tutarı]))</f>
        <v>0</v>
      </c>
      <c r="L1136" s="37"/>
    </row>
    <row r="1137" spans="1:12" x14ac:dyDescent="0.25">
      <c r="A1137" s="13"/>
      <c r="B1137" s="9" cm="1">
        <f t="array" ref="B1137">SUMPRODUCT((Tablo3[Personel Ad]=A1137)*(Tablo3[Ürün Kar Tutarı]))</f>
        <v>0</v>
      </c>
      <c r="D1137" s="14"/>
      <c r="F1137" s="9" cm="1">
        <f t="array" ref="F1137">SUMPRODUCT((Tablo3[Şehirler]=E1137)*(Tablo3[Ürün Kar Tutarı]))</f>
        <v>0</v>
      </c>
      <c r="H1137" s="14"/>
      <c r="J1137" s="9" cm="1">
        <f t="array" ref="J1137">SUMPRODUCT((Tablo3[Urun Ad]=I1137)*(Tablo3[Ürün Kar Tutarı]))</f>
        <v>0</v>
      </c>
      <c r="L1137" s="37"/>
    </row>
    <row r="1138" spans="1:12" x14ac:dyDescent="0.25">
      <c r="A1138" s="13"/>
      <c r="B1138" s="9" cm="1">
        <f t="array" ref="B1138">SUMPRODUCT((Tablo3[Personel Ad]=A1138)*(Tablo3[Ürün Kar Tutarı]))</f>
        <v>0</v>
      </c>
      <c r="D1138" s="14"/>
      <c r="F1138" s="9" cm="1">
        <f t="array" ref="F1138">SUMPRODUCT((Tablo3[Şehirler]=E1138)*(Tablo3[Ürün Kar Tutarı]))</f>
        <v>0</v>
      </c>
      <c r="H1138" s="14"/>
      <c r="J1138" s="9" cm="1">
        <f t="array" ref="J1138">SUMPRODUCT((Tablo3[Urun Ad]=I1138)*(Tablo3[Ürün Kar Tutarı]))</f>
        <v>0</v>
      </c>
      <c r="L1138" s="37"/>
    </row>
    <row r="1139" spans="1:12" x14ac:dyDescent="0.25">
      <c r="A1139" s="13"/>
      <c r="B1139" s="9" cm="1">
        <f t="array" ref="B1139">SUMPRODUCT((Tablo3[Personel Ad]=A1139)*(Tablo3[Ürün Kar Tutarı]))</f>
        <v>0</v>
      </c>
      <c r="D1139" s="14"/>
      <c r="F1139" s="9" cm="1">
        <f t="array" ref="F1139">SUMPRODUCT((Tablo3[Şehirler]=E1139)*(Tablo3[Ürün Kar Tutarı]))</f>
        <v>0</v>
      </c>
      <c r="H1139" s="14"/>
      <c r="J1139" s="9" cm="1">
        <f t="array" ref="J1139">SUMPRODUCT((Tablo3[Urun Ad]=I1139)*(Tablo3[Ürün Kar Tutarı]))</f>
        <v>0</v>
      </c>
      <c r="L1139" s="37"/>
    </row>
    <row r="1140" spans="1:12" x14ac:dyDescent="0.25">
      <c r="A1140" s="13"/>
      <c r="B1140" s="9" cm="1">
        <f t="array" ref="B1140">SUMPRODUCT((Tablo3[Personel Ad]=A1140)*(Tablo3[Ürün Kar Tutarı]))</f>
        <v>0</v>
      </c>
      <c r="D1140" s="14"/>
      <c r="F1140" s="9" cm="1">
        <f t="array" ref="F1140">SUMPRODUCT((Tablo3[Şehirler]=E1140)*(Tablo3[Ürün Kar Tutarı]))</f>
        <v>0</v>
      </c>
      <c r="H1140" s="14"/>
      <c r="J1140" s="9" cm="1">
        <f t="array" ref="J1140">SUMPRODUCT((Tablo3[Urun Ad]=I1140)*(Tablo3[Ürün Kar Tutarı]))</f>
        <v>0</v>
      </c>
      <c r="L1140" s="37"/>
    </row>
    <row r="1141" spans="1:12" x14ac:dyDescent="0.25">
      <c r="A1141" s="13"/>
      <c r="B1141" s="9" cm="1">
        <f t="array" ref="B1141">SUMPRODUCT((Tablo3[Personel Ad]=A1141)*(Tablo3[Ürün Kar Tutarı]))</f>
        <v>0</v>
      </c>
      <c r="D1141" s="14"/>
      <c r="F1141" s="9" cm="1">
        <f t="array" ref="F1141">SUMPRODUCT((Tablo3[Şehirler]=E1141)*(Tablo3[Ürün Kar Tutarı]))</f>
        <v>0</v>
      </c>
      <c r="H1141" s="14"/>
      <c r="J1141" s="9" cm="1">
        <f t="array" ref="J1141">SUMPRODUCT((Tablo3[Urun Ad]=I1141)*(Tablo3[Ürün Kar Tutarı]))</f>
        <v>0</v>
      </c>
      <c r="L1141" s="37"/>
    </row>
    <row r="1142" spans="1:12" x14ac:dyDescent="0.25">
      <c r="A1142" s="13"/>
      <c r="B1142" s="9" cm="1">
        <f t="array" ref="B1142">SUMPRODUCT((Tablo3[Personel Ad]=A1142)*(Tablo3[Ürün Kar Tutarı]))</f>
        <v>0</v>
      </c>
      <c r="D1142" s="14"/>
      <c r="F1142" s="9" cm="1">
        <f t="array" ref="F1142">SUMPRODUCT((Tablo3[Şehirler]=E1142)*(Tablo3[Ürün Kar Tutarı]))</f>
        <v>0</v>
      </c>
      <c r="H1142" s="14"/>
      <c r="J1142" s="9" cm="1">
        <f t="array" ref="J1142">SUMPRODUCT((Tablo3[Urun Ad]=I1142)*(Tablo3[Ürün Kar Tutarı]))</f>
        <v>0</v>
      </c>
      <c r="L1142" s="37"/>
    </row>
    <row r="1143" spans="1:12" x14ac:dyDescent="0.25">
      <c r="A1143" s="13"/>
      <c r="B1143" s="9" cm="1">
        <f t="array" ref="B1143">SUMPRODUCT((Tablo3[Personel Ad]=A1143)*(Tablo3[Ürün Kar Tutarı]))</f>
        <v>0</v>
      </c>
      <c r="D1143" s="14"/>
      <c r="F1143" s="9" cm="1">
        <f t="array" ref="F1143">SUMPRODUCT((Tablo3[Şehirler]=E1143)*(Tablo3[Ürün Kar Tutarı]))</f>
        <v>0</v>
      </c>
      <c r="H1143" s="14"/>
      <c r="J1143" s="9" cm="1">
        <f t="array" ref="J1143">SUMPRODUCT((Tablo3[Urun Ad]=I1143)*(Tablo3[Ürün Kar Tutarı]))</f>
        <v>0</v>
      </c>
      <c r="L1143" s="37"/>
    </row>
    <row r="1144" spans="1:12" x14ac:dyDescent="0.25">
      <c r="A1144" s="13"/>
      <c r="B1144" s="9" cm="1">
        <f t="array" ref="B1144">SUMPRODUCT((Tablo3[Personel Ad]=A1144)*(Tablo3[Ürün Kar Tutarı]))</f>
        <v>0</v>
      </c>
      <c r="D1144" s="14"/>
      <c r="F1144" s="9" cm="1">
        <f t="array" ref="F1144">SUMPRODUCT((Tablo3[Şehirler]=E1144)*(Tablo3[Ürün Kar Tutarı]))</f>
        <v>0</v>
      </c>
      <c r="H1144" s="14"/>
      <c r="J1144" s="9" cm="1">
        <f t="array" ref="J1144">SUMPRODUCT((Tablo3[Urun Ad]=I1144)*(Tablo3[Ürün Kar Tutarı]))</f>
        <v>0</v>
      </c>
      <c r="L1144" s="37"/>
    </row>
    <row r="1145" spans="1:12" x14ac:dyDescent="0.25">
      <c r="A1145" s="13"/>
      <c r="B1145" s="9" cm="1">
        <f t="array" ref="B1145">SUMPRODUCT((Tablo3[Personel Ad]=A1145)*(Tablo3[Ürün Kar Tutarı]))</f>
        <v>0</v>
      </c>
      <c r="D1145" s="14"/>
      <c r="F1145" s="9" cm="1">
        <f t="array" ref="F1145">SUMPRODUCT((Tablo3[Şehirler]=E1145)*(Tablo3[Ürün Kar Tutarı]))</f>
        <v>0</v>
      </c>
      <c r="H1145" s="14"/>
      <c r="J1145" s="9" cm="1">
        <f t="array" ref="J1145">SUMPRODUCT((Tablo3[Urun Ad]=I1145)*(Tablo3[Ürün Kar Tutarı]))</f>
        <v>0</v>
      </c>
      <c r="L1145" s="37"/>
    </row>
    <row r="1146" spans="1:12" x14ac:dyDescent="0.25">
      <c r="A1146" s="13"/>
      <c r="B1146" s="9" cm="1">
        <f t="array" ref="B1146">SUMPRODUCT((Tablo3[Personel Ad]=A1146)*(Tablo3[Ürün Kar Tutarı]))</f>
        <v>0</v>
      </c>
      <c r="D1146" s="14"/>
      <c r="F1146" s="9" cm="1">
        <f t="array" ref="F1146">SUMPRODUCT((Tablo3[Şehirler]=E1146)*(Tablo3[Ürün Kar Tutarı]))</f>
        <v>0</v>
      </c>
      <c r="H1146" s="14"/>
      <c r="J1146" s="9" cm="1">
        <f t="array" ref="J1146">SUMPRODUCT((Tablo3[Urun Ad]=I1146)*(Tablo3[Ürün Kar Tutarı]))</f>
        <v>0</v>
      </c>
      <c r="L1146" s="37"/>
    </row>
    <row r="1147" spans="1:12" x14ac:dyDescent="0.25">
      <c r="A1147" s="13"/>
      <c r="B1147" s="9" cm="1">
        <f t="array" ref="B1147">SUMPRODUCT((Tablo3[Personel Ad]=A1147)*(Tablo3[Ürün Kar Tutarı]))</f>
        <v>0</v>
      </c>
      <c r="D1147" s="14"/>
      <c r="F1147" s="9" cm="1">
        <f t="array" ref="F1147">SUMPRODUCT((Tablo3[Şehirler]=E1147)*(Tablo3[Ürün Kar Tutarı]))</f>
        <v>0</v>
      </c>
      <c r="H1147" s="14"/>
      <c r="J1147" s="9" cm="1">
        <f t="array" ref="J1147">SUMPRODUCT((Tablo3[Urun Ad]=I1147)*(Tablo3[Ürün Kar Tutarı]))</f>
        <v>0</v>
      </c>
      <c r="L1147" s="37"/>
    </row>
    <row r="1148" spans="1:12" x14ac:dyDescent="0.25">
      <c r="A1148" s="13"/>
      <c r="B1148" s="9" cm="1">
        <f t="array" ref="B1148">SUMPRODUCT((Tablo3[Personel Ad]=A1148)*(Tablo3[Ürün Kar Tutarı]))</f>
        <v>0</v>
      </c>
      <c r="D1148" s="14"/>
      <c r="F1148" s="9" cm="1">
        <f t="array" ref="F1148">SUMPRODUCT((Tablo3[Şehirler]=E1148)*(Tablo3[Ürün Kar Tutarı]))</f>
        <v>0</v>
      </c>
      <c r="H1148" s="14"/>
      <c r="J1148" s="9" cm="1">
        <f t="array" ref="J1148">SUMPRODUCT((Tablo3[Urun Ad]=I1148)*(Tablo3[Ürün Kar Tutarı]))</f>
        <v>0</v>
      </c>
      <c r="L1148" s="37"/>
    </row>
    <row r="1149" spans="1:12" x14ac:dyDescent="0.25">
      <c r="A1149" s="13"/>
      <c r="B1149" s="9" cm="1">
        <f t="array" ref="B1149">SUMPRODUCT((Tablo3[Personel Ad]=A1149)*(Tablo3[Ürün Kar Tutarı]))</f>
        <v>0</v>
      </c>
      <c r="D1149" s="14"/>
      <c r="F1149" s="9" cm="1">
        <f t="array" ref="F1149">SUMPRODUCT((Tablo3[Şehirler]=E1149)*(Tablo3[Ürün Kar Tutarı]))</f>
        <v>0</v>
      </c>
      <c r="H1149" s="14"/>
      <c r="J1149" s="9" cm="1">
        <f t="array" ref="J1149">SUMPRODUCT((Tablo3[Urun Ad]=I1149)*(Tablo3[Ürün Kar Tutarı]))</f>
        <v>0</v>
      </c>
      <c r="L1149" s="37"/>
    </row>
    <row r="1150" spans="1:12" x14ac:dyDescent="0.25">
      <c r="A1150" s="13"/>
      <c r="B1150" s="9" cm="1">
        <f t="array" ref="B1150">SUMPRODUCT((Tablo3[Personel Ad]=A1150)*(Tablo3[Ürün Kar Tutarı]))</f>
        <v>0</v>
      </c>
      <c r="D1150" s="14"/>
      <c r="F1150" s="9" cm="1">
        <f t="array" ref="F1150">SUMPRODUCT((Tablo3[Şehirler]=E1150)*(Tablo3[Ürün Kar Tutarı]))</f>
        <v>0</v>
      </c>
      <c r="H1150" s="14"/>
      <c r="J1150" s="9" cm="1">
        <f t="array" ref="J1150">SUMPRODUCT((Tablo3[Urun Ad]=I1150)*(Tablo3[Ürün Kar Tutarı]))</f>
        <v>0</v>
      </c>
      <c r="L1150" s="37"/>
    </row>
    <row r="1151" spans="1:12" x14ac:dyDescent="0.25">
      <c r="A1151" s="13"/>
      <c r="B1151" s="9" cm="1">
        <f t="array" ref="B1151">SUMPRODUCT((Tablo3[Personel Ad]=A1151)*(Tablo3[Ürün Kar Tutarı]))</f>
        <v>0</v>
      </c>
      <c r="D1151" s="14"/>
      <c r="F1151" s="9" cm="1">
        <f t="array" ref="F1151">SUMPRODUCT((Tablo3[Şehirler]=E1151)*(Tablo3[Ürün Kar Tutarı]))</f>
        <v>0</v>
      </c>
      <c r="H1151" s="14"/>
      <c r="J1151" s="9" cm="1">
        <f t="array" ref="J1151">SUMPRODUCT((Tablo3[Urun Ad]=I1151)*(Tablo3[Ürün Kar Tutarı]))</f>
        <v>0</v>
      </c>
      <c r="L1151" s="37"/>
    </row>
    <row r="1152" spans="1:12" x14ac:dyDescent="0.25">
      <c r="A1152" s="13"/>
      <c r="B1152" s="9" cm="1">
        <f t="array" ref="B1152">SUMPRODUCT((Tablo3[Personel Ad]=A1152)*(Tablo3[Ürün Kar Tutarı]))</f>
        <v>0</v>
      </c>
      <c r="D1152" s="14"/>
      <c r="F1152" s="9" cm="1">
        <f t="array" ref="F1152">SUMPRODUCT((Tablo3[Şehirler]=E1152)*(Tablo3[Ürün Kar Tutarı]))</f>
        <v>0</v>
      </c>
      <c r="H1152" s="14"/>
      <c r="J1152" s="9" cm="1">
        <f t="array" ref="J1152">SUMPRODUCT((Tablo3[Urun Ad]=I1152)*(Tablo3[Ürün Kar Tutarı]))</f>
        <v>0</v>
      </c>
      <c r="L1152" s="37"/>
    </row>
    <row r="1153" spans="1:12" x14ac:dyDescent="0.25">
      <c r="A1153" s="13"/>
      <c r="B1153" s="9" cm="1">
        <f t="array" ref="B1153">SUMPRODUCT((Tablo3[Personel Ad]=A1153)*(Tablo3[Ürün Kar Tutarı]))</f>
        <v>0</v>
      </c>
      <c r="D1153" s="14"/>
      <c r="F1153" s="9" cm="1">
        <f t="array" ref="F1153">SUMPRODUCT((Tablo3[Şehirler]=E1153)*(Tablo3[Ürün Kar Tutarı]))</f>
        <v>0</v>
      </c>
      <c r="H1153" s="14"/>
      <c r="J1153" s="9" cm="1">
        <f t="array" ref="J1153">SUMPRODUCT((Tablo3[Urun Ad]=I1153)*(Tablo3[Ürün Kar Tutarı]))</f>
        <v>0</v>
      </c>
      <c r="L1153" s="37"/>
    </row>
    <row r="1154" spans="1:12" x14ac:dyDescent="0.25">
      <c r="A1154" s="13"/>
      <c r="B1154" s="9" cm="1">
        <f t="array" ref="B1154">SUMPRODUCT((Tablo3[Personel Ad]=A1154)*(Tablo3[Ürün Kar Tutarı]))</f>
        <v>0</v>
      </c>
      <c r="D1154" s="14"/>
      <c r="F1154" s="9" cm="1">
        <f t="array" ref="F1154">SUMPRODUCT((Tablo3[Şehirler]=E1154)*(Tablo3[Ürün Kar Tutarı]))</f>
        <v>0</v>
      </c>
      <c r="H1154" s="14"/>
      <c r="J1154" s="9" cm="1">
        <f t="array" ref="J1154">SUMPRODUCT((Tablo3[Urun Ad]=I1154)*(Tablo3[Ürün Kar Tutarı]))</f>
        <v>0</v>
      </c>
      <c r="L1154" s="37"/>
    </row>
    <row r="1155" spans="1:12" x14ac:dyDescent="0.25">
      <c r="A1155" s="13"/>
      <c r="B1155" s="9" cm="1">
        <f t="array" ref="B1155">SUMPRODUCT((Tablo3[Personel Ad]=A1155)*(Tablo3[Ürün Kar Tutarı]))</f>
        <v>0</v>
      </c>
      <c r="D1155" s="14"/>
      <c r="F1155" s="9" cm="1">
        <f t="array" ref="F1155">SUMPRODUCT((Tablo3[Şehirler]=E1155)*(Tablo3[Ürün Kar Tutarı]))</f>
        <v>0</v>
      </c>
      <c r="H1155" s="14"/>
      <c r="J1155" s="9" cm="1">
        <f t="array" ref="J1155">SUMPRODUCT((Tablo3[Urun Ad]=I1155)*(Tablo3[Ürün Kar Tutarı]))</f>
        <v>0</v>
      </c>
      <c r="L1155" s="37"/>
    </row>
    <row r="1156" spans="1:12" x14ac:dyDescent="0.25">
      <c r="A1156" s="13"/>
      <c r="B1156" s="9" cm="1">
        <f t="array" ref="B1156">SUMPRODUCT((Tablo3[Personel Ad]=A1156)*(Tablo3[Ürün Kar Tutarı]))</f>
        <v>0</v>
      </c>
      <c r="D1156" s="14"/>
      <c r="F1156" s="9" cm="1">
        <f t="array" ref="F1156">SUMPRODUCT((Tablo3[Şehirler]=E1156)*(Tablo3[Ürün Kar Tutarı]))</f>
        <v>0</v>
      </c>
      <c r="H1156" s="14"/>
      <c r="J1156" s="9" cm="1">
        <f t="array" ref="J1156">SUMPRODUCT((Tablo3[Urun Ad]=I1156)*(Tablo3[Ürün Kar Tutarı]))</f>
        <v>0</v>
      </c>
      <c r="L1156" s="37"/>
    </row>
    <row r="1157" spans="1:12" x14ac:dyDescent="0.25">
      <c r="A1157" s="13"/>
      <c r="B1157" s="9" cm="1">
        <f t="array" ref="B1157">SUMPRODUCT((Tablo3[Personel Ad]=A1157)*(Tablo3[Ürün Kar Tutarı]))</f>
        <v>0</v>
      </c>
      <c r="D1157" s="14"/>
      <c r="F1157" s="9" cm="1">
        <f t="array" ref="F1157">SUMPRODUCT((Tablo3[Şehirler]=E1157)*(Tablo3[Ürün Kar Tutarı]))</f>
        <v>0</v>
      </c>
      <c r="H1157" s="14"/>
      <c r="J1157" s="9" cm="1">
        <f t="array" ref="J1157">SUMPRODUCT((Tablo3[Urun Ad]=I1157)*(Tablo3[Ürün Kar Tutarı]))</f>
        <v>0</v>
      </c>
      <c r="L1157" s="37"/>
    </row>
    <row r="1158" spans="1:12" x14ac:dyDescent="0.25">
      <c r="A1158" s="13"/>
      <c r="B1158" s="9" cm="1">
        <f t="array" ref="B1158">SUMPRODUCT((Tablo3[Personel Ad]=A1158)*(Tablo3[Ürün Kar Tutarı]))</f>
        <v>0</v>
      </c>
      <c r="D1158" s="14"/>
      <c r="F1158" s="9" cm="1">
        <f t="array" ref="F1158">SUMPRODUCT((Tablo3[Şehirler]=E1158)*(Tablo3[Ürün Kar Tutarı]))</f>
        <v>0</v>
      </c>
      <c r="H1158" s="14"/>
      <c r="J1158" s="9" cm="1">
        <f t="array" ref="J1158">SUMPRODUCT((Tablo3[Urun Ad]=I1158)*(Tablo3[Ürün Kar Tutarı]))</f>
        <v>0</v>
      </c>
      <c r="L1158" s="37"/>
    </row>
    <row r="1159" spans="1:12" x14ac:dyDescent="0.25">
      <c r="A1159" s="13"/>
      <c r="B1159" s="9" cm="1">
        <f t="array" ref="B1159">SUMPRODUCT((Tablo3[Personel Ad]=A1159)*(Tablo3[Ürün Kar Tutarı]))</f>
        <v>0</v>
      </c>
      <c r="D1159" s="14"/>
      <c r="F1159" s="9" cm="1">
        <f t="array" ref="F1159">SUMPRODUCT((Tablo3[Şehirler]=E1159)*(Tablo3[Ürün Kar Tutarı]))</f>
        <v>0</v>
      </c>
      <c r="H1159" s="14"/>
      <c r="J1159" s="9" cm="1">
        <f t="array" ref="J1159">SUMPRODUCT((Tablo3[Urun Ad]=I1159)*(Tablo3[Ürün Kar Tutarı]))</f>
        <v>0</v>
      </c>
      <c r="L1159" s="37"/>
    </row>
    <row r="1160" spans="1:12" x14ac:dyDescent="0.25">
      <c r="A1160" s="13"/>
      <c r="B1160" s="9" cm="1">
        <f t="array" ref="B1160">SUMPRODUCT((Tablo3[Personel Ad]=A1160)*(Tablo3[Ürün Kar Tutarı]))</f>
        <v>0</v>
      </c>
      <c r="D1160" s="14"/>
      <c r="F1160" s="9" cm="1">
        <f t="array" ref="F1160">SUMPRODUCT((Tablo3[Şehirler]=E1160)*(Tablo3[Ürün Kar Tutarı]))</f>
        <v>0</v>
      </c>
      <c r="H1160" s="14"/>
      <c r="J1160" s="9" cm="1">
        <f t="array" ref="J1160">SUMPRODUCT((Tablo3[Urun Ad]=I1160)*(Tablo3[Ürün Kar Tutarı]))</f>
        <v>0</v>
      </c>
      <c r="L1160" s="37"/>
    </row>
    <row r="1161" spans="1:12" x14ac:dyDescent="0.25">
      <c r="A1161" s="13"/>
      <c r="B1161" s="9" cm="1">
        <f t="array" ref="B1161">SUMPRODUCT((Tablo3[Personel Ad]=A1161)*(Tablo3[Ürün Kar Tutarı]))</f>
        <v>0</v>
      </c>
      <c r="D1161" s="14"/>
      <c r="F1161" s="9" cm="1">
        <f t="array" ref="F1161">SUMPRODUCT((Tablo3[Şehirler]=E1161)*(Tablo3[Ürün Kar Tutarı]))</f>
        <v>0</v>
      </c>
      <c r="H1161" s="14"/>
      <c r="J1161" s="9" cm="1">
        <f t="array" ref="J1161">SUMPRODUCT((Tablo3[Urun Ad]=I1161)*(Tablo3[Ürün Kar Tutarı]))</f>
        <v>0</v>
      </c>
      <c r="L1161" s="37"/>
    </row>
    <row r="1162" spans="1:12" x14ac:dyDescent="0.25">
      <c r="A1162" s="13"/>
      <c r="B1162" s="9" cm="1">
        <f t="array" ref="B1162">SUMPRODUCT((Tablo3[Personel Ad]=A1162)*(Tablo3[Ürün Kar Tutarı]))</f>
        <v>0</v>
      </c>
      <c r="D1162" s="14"/>
      <c r="F1162" s="9" cm="1">
        <f t="array" ref="F1162">SUMPRODUCT((Tablo3[Şehirler]=E1162)*(Tablo3[Ürün Kar Tutarı]))</f>
        <v>0</v>
      </c>
      <c r="H1162" s="14"/>
      <c r="J1162" s="9" cm="1">
        <f t="array" ref="J1162">SUMPRODUCT((Tablo3[Urun Ad]=I1162)*(Tablo3[Ürün Kar Tutarı]))</f>
        <v>0</v>
      </c>
      <c r="L1162" s="37"/>
    </row>
    <row r="1163" spans="1:12" x14ac:dyDescent="0.25">
      <c r="A1163" s="13"/>
      <c r="B1163" s="9" cm="1">
        <f t="array" ref="B1163">SUMPRODUCT((Tablo3[Personel Ad]=A1163)*(Tablo3[Ürün Kar Tutarı]))</f>
        <v>0</v>
      </c>
      <c r="D1163" s="14"/>
      <c r="F1163" s="9" cm="1">
        <f t="array" ref="F1163">SUMPRODUCT((Tablo3[Şehirler]=E1163)*(Tablo3[Ürün Kar Tutarı]))</f>
        <v>0</v>
      </c>
      <c r="H1163" s="14"/>
      <c r="J1163" s="9" cm="1">
        <f t="array" ref="J1163">SUMPRODUCT((Tablo3[Urun Ad]=I1163)*(Tablo3[Ürün Kar Tutarı]))</f>
        <v>0</v>
      </c>
      <c r="L1163" s="37"/>
    </row>
    <row r="1164" spans="1:12" x14ac:dyDescent="0.25">
      <c r="A1164" s="13"/>
      <c r="B1164" s="9" cm="1">
        <f t="array" ref="B1164">SUMPRODUCT((Tablo3[Personel Ad]=A1164)*(Tablo3[Ürün Kar Tutarı]))</f>
        <v>0</v>
      </c>
      <c r="D1164" s="14"/>
      <c r="F1164" s="9" cm="1">
        <f t="array" ref="F1164">SUMPRODUCT((Tablo3[Şehirler]=E1164)*(Tablo3[Ürün Kar Tutarı]))</f>
        <v>0</v>
      </c>
      <c r="H1164" s="14"/>
      <c r="J1164" s="9" cm="1">
        <f t="array" ref="J1164">SUMPRODUCT((Tablo3[Urun Ad]=I1164)*(Tablo3[Ürün Kar Tutarı]))</f>
        <v>0</v>
      </c>
      <c r="L1164" s="37"/>
    </row>
    <row r="1165" spans="1:12" x14ac:dyDescent="0.25">
      <c r="A1165" s="13"/>
      <c r="B1165" s="9" cm="1">
        <f t="array" ref="B1165">SUMPRODUCT((Tablo3[Personel Ad]=A1165)*(Tablo3[Ürün Kar Tutarı]))</f>
        <v>0</v>
      </c>
      <c r="D1165" s="14"/>
      <c r="F1165" s="9" cm="1">
        <f t="array" ref="F1165">SUMPRODUCT((Tablo3[Şehirler]=E1165)*(Tablo3[Ürün Kar Tutarı]))</f>
        <v>0</v>
      </c>
      <c r="H1165" s="14"/>
      <c r="J1165" s="9" cm="1">
        <f t="array" ref="J1165">SUMPRODUCT((Tablo3[Urun Ad]=I1165)*(Tablo3[Ürün Kar Tutarı]))</f>
        <v>0</v>
      </c>
      <c r="L1165" s="37"/>
    </row>
    <row r="1166" spans="1:12" x14ac:dyDescent="0.25">
      <c r="A1166" s="13"/>
      <c r="B1166" s="9" cm="1">
        <f t="array" ref="B1166">SUMPRODUCT((Tablo3[Personel Ad]=A1166)*(Tablo3[Ürün Kar Tutarı]))</f>
        <v>0</v>
      </c>
      <c r="D1166" s="14"/>
      <c r="F1166" s="9" cm="1">
        <f t="array" ref="F1166">SUMPRODUCT((Tablo3[Şehirler]=E1166)*(Tablo3[Ürün Kar Tutarı]))</f>
        <v>0</v>
      </c>
      <c r="H1166" s="14"/>
      <c r="J1166" s="9" cm="1">
        <f t="array" ref="J1166">SUMPRODUCT((Tablo3[Urun Ad]=I1166)*(Tablo3[Ürün Kar Tutarı]))</f>
        <v>0</v>
      </c>
      <c r="L1166" s="37"/>
    </row>
    <row r="1167" spans="1:12" x14ac:dyDescent="0.25">
      <c r="A1167" s="13"/>
      <c r="B1167" s="9" cm="1">
        <f t="array" ref="B1167">SUMPRODUCT((Tablo3[Personel Ad]=A1167)*(Tablo3[Ürün Kar Tutarı]))</f>
        <v>0</v>
      </c>
      <c r="D1167" s="14"/>
      <c r="F1167" s="9" cm="1">
        <f t="array" ref="F1167">SUMPRODUCT((Tablo3[Şehirler]=E1167)*(Tablo3[Ürün Kar Tutarı]))</f>
        <v>0</v>
      </c>
      <c r="H1167" s="14"/>
      <c r="J1167" s="9" cm="1">
        <f t="array" ref="J1167">SUMPRODUCT((Tablo3[Urun Ad]=I1167)*(Tablo3[Ürün Kar Tutarı]))</f>
        <v>0</v>
      </c>
      <c r="L1167" s="37"/>
    </row>
    <row r="1168" spans="1:12" x14ac:dyDescent="0.25">
      <c r="A1168" s="13"/>
      <c r="B1168" s="9" cm="1">
        <f t="array" ref="B1168">SUMPRODUCT((Tablo3[Personel Ad]=A1168)*(Tablo3[Ürün Kar Tutarı]))</f>
        <v>0</v>
      </c>
      <c r="D1168" s="14"/>
      <c r="F1168" s="9" cm="1">
        <f t="array" ref="F1168">SUMPRODUCT((Tablo3[Şehirler]=E1168)*(Tablo3[Ürün Kar Tutarı]))</f>
        <v>0</v>
      </c>
      <c r="H1168" s="14"/>
      <c r="J1168" s="9" cm="1">
        <f t="array" ref="J1168">SUMPRODUCT((Tablo3[Urun Ad]=I1168)*(Tablo3[Ürün Kar Tutarı]))</f>
        <v>0</v>
      </c>
      <c r="L1168" s="37"/>
    </row>
    <row r="1169" spans="1:12" x14ac:dyDescent="0.25">
      <c r="A1169" s="13"/>
      <c r="B1169" s="9" cm="1">
        <f t="array" ref="B1169">SUMPRODUCT((Tablo3[Personel Ad]=A1169)*(Tablo3[Ürün Kar Tutarı]))</f>
        <v>0</v>
      </c>
      <c r="D1169" s="14"/>
      <c r="F1169" s="9" cm="1">
        <f t="array" ref="F1169">SUMPRODUCT((Tablo3[Şehirler]=E1169)*(Tablo3[Ürün Kar Tutarı]))</f>
        <v>0</v>
      </c>
      <c r="H1169" s="14"/>
      <c r="J1169" s="9" cm="1">
        <f t="array" ref="J1169">SUMPRODUCT((Tablo3[Urun Ad]=I1169)*(Tablo3[Ürün Kar Tutarı]))</f>
        <v>0</v>
      </c>
      <c r="L1169" s="37"/>
    </row>
    <row r="1170" spans="1:12" x14ac:dyDescent="0.25">
      <c r="A1170" s="13"/>
      <c r="B1170" s="9" cm="1">
        <f t="array" ref="B1170">SUMPRODUCT((Tablo3[Personel Ad]=A1170)*(Tablo3[Ürün Kar Tutarı]))</f>
        <v>0</v>
      </c>
      <c r="D1170" s="14"/>
      <c r="F1170" s="9" cm="1">
        <f t="array" ref="F1170">SUMPRODUCT((Tablo3[Şehirler]=E1170)*(Tablo3[Ürün Kar Tutarı]))</f>
        <v>0</v>
      </c>
      <c r="H1170" s="14"/>
      <c r="J1170" s="9" cm="1">
        <f t="array" ref="J1170">SUMPRODUCT((Tablo3[Urun Ad]=I1170)*(Tablo3[Ürün Kar Tutarı]))</f>
        <v>0</v>
      </c>
      <c r="L1170" s="37"/>
    </row>
    <row r="1171" spans="1:12" x14ac:dyDescent="0.25">
      <c r="A1171" s="13"/>
      <c r="B1171" s="9" cm="1">
        <f t="array" ref="B1171">SUMPRODUCT((Tablo3[Personel Ad]=A1171)*(Tablo3[Ürün Kar Tutarı]))</f>
        <v>0</v>
      </c>
      <c r="D1171" s="14"/>
      <c r="F1171" s="9" cm="1">
        <f t="array" ref="F1171">SUMPRODUCT((Tablo3[Şehirler]=E1171)*(Tablo3[Ürün Kar Tutarı]))</f>
        <v>0</v>
      </c>
      <c r="H1171" s="14"/>
      <c r="J1171" s="9" cm="1">
        <f t="array" ref="J1171">SUMPRODUCT((Tablo3[Urun Ad]=I1171)*(Tablo3[Ürün Kar Tutarı]))</f>
        <v>0</v>
      </c>
      <c r="L1171" s="37"/>
    </row>
    <row r="1172" spans="1:12" x14ac:dyDescent="0.25">
      <c r="A1172" s="13"/>
      <c r="B1172" s="9" cm="1">
        <f t="array" ref="B1172">SUMPRODUCT((Tablo3[Personel Ad]=A1172)*(Tablo3[Ürün Kar Tutarı]))</f>
        <v>0</v>
      </c>
      <c r="D1172" s="14"/>
      <c r="F1172" s="9" cm="1">
        <f t="array" ref="F1172">SUMPRODUCT((Tablo3[Şehirler]=E1172)*(Tablo3[Ürün Kar Tutarı]))</f>
        <v>0</v>
      </c>
      <c r="H1172" s="14"/>
      <c r="J1172" s="9" cm="1">
        <f t="array" ref="J1172">SUMPRODUCT((Tablo3[Urun Ad]=I1172)*(Tablo3[Ürün Kar Tutarı]))</f>
        <v>0</v>
      </c>
      <c r="L1172" s="37"/>
    </row>
    <row r="1173" spans="1:12" x14ac:dyDescent="0.25">
      <c r="A1173" s="13"/>
      <c r="B1173" s="9" cm="1">
        <f t="array" ref="B1173">SUMPRODUCT((Tablo3[Personel Ad]=A1173)*(Tablo3[Ürün Kar Tutarı]))</f>
        <v>0</v>
      </c>
      <c r="D1173" s="14"/>
      <c r="F1173" s="9" cm="1">
        <f t="array" ref="F1173">SUMPRODUCT((Tablo3[Şehirler]=E1173)*(Tablo3[Ürün Kar Tutarı]))</f>
        <v>0</v>
      </c>
      <c r="H1173" s="14"/>
      <c r="J1173" s="9" cm="1">
        <f t="array" ref="J1173">SUMPRODUCT((Tablo3[Urun Ad]=I1173)*(Tablo3[Ürün Kar Tutarı]))</f>
        <v>0</v>
      </c>
      <c r="L1173" s="37"/>
    </row>
    <row r="1174" spans="1:12" x14ac:dyDescent="0.25">
      <c r="A1174" s="13"/>
      <c r="B1174" s="9" cm="1">
        <f t="array" ref="B1174">SUMPRODUCT((Tablo3[Personel Ad]=A1174)*(Tablo3[Ürün Kar Tutarı]))</f>
        <v>0</v>
      </c>
      <c r="D1174" s="14"/>
      <c r="F1174" s="9" cm="1">
        <f t="array" ref="F1174">SUMPRODUCT((Tablo3[Şehirler]=E1174)*(Tablo3[Ürün Kar Tutarı]))</f>
        <v>0</v>
      </c>
      <c r="H1174" s="14"/>
      <c r="J1174" s="9" cm="1">
        <f t="array" ref="J1174">SUMPRODUCT((Tablo3[Urun Ad]=I1174)*(Tablo3[Ürün Kar Tutarı]))</f>
        <v>0</v>
      </c>
      <c r="L1174" s="37"/>
    </row>
    <row r="1175" spans="1:12" x14ac:dyDescent="0.25">
      <c r="A1175" s="13"/>
      <c r="B1175" s="9" cm="1">
        <f t="array" ref="B1175">SUMPRODUCT((Tablo3[Personel Ad]=A1175)*(Tablo3[Ürün Kar Tutarı]))</f>
        <v>0</v>
      </c>
      <c r="D1175" s="14"/>
      <c r="F1175" s="9" cm="1">
        <f t="array" ref="F1175">SUMPRODUCT((Tablo3[Şehirler]=E1175)*(Tablo3[Ürün Kar Tutarı]))</f>
        <v>0</v>
      </c>
      <c r="H1175" s="14"/>
      <c r="J1175" s="9" cm="1">
        <f t="array" ref="J1175">SUMPRODUCT((Tablo3[Urun Ad]=I1175)*(Tablo3[Ürün Kar Tutarı]))</f>
        <v>0</v>
      </c>
      <c r="L1175" s="37"/>
    </row>
    <row r="1176" spans="1:12" x14ac:dyDescent="0.25">
      <c r="A1176" s="13"/>
      <c r="B1176" s="9" cm="1">
        <f t="array" ref="B1176">SUMPRODUCT((Tablo3[Personel Ad]=A1176)*(Tablo3[Ürün Kar Tutarı]))</f>
        <v>0</v>
      </c>
      <c r="D1176" s="14"/>
      <c r="F1176" s="9" cm="1">
        <f t="array" ref="F1176">SUMPRODUCT((Tablo3[Şehirler]=E1176)*(Tablo3[Ürün Kar Tutarı]))</f>
        <v>0</v>
      </c>
      <c r="H1176" s="14"/>
      <c r="J1176" s="9" cm="1">
        <f t="array" ref="J1176">SUMPRODUCT((Tablo3[Urun Ad]=I1176)*(Tablo3[Ürün Kar Tutarı]))</f>
        <v>0</v>
      </c>
      <c r="L1176" s="37"/>
    </row>
    <row r="1177" spans="1:12" x14ac:dyDescent="0.25">
      <c r="A1177" s="13"/>
      <c r="B1177" s="9" cm="1">
        <f t="array" ref="B1177">SUMPRODUCT((Tablo3[Personel Ad]=A1177)*(Tablo3[Ürün Kar Tutarı]))</f>
        <v>0</v>
      </c>
      <c r="D1177" s="14"/>
      <c r="F1177" s="9" cm="1">
        <f t="array" ref="F1177">SUMPRODUCT((Tablo3[Şehirler]=E1177)*(Tablo3[Ürün Kar Tutarı]))</f>
        <v>0</v>
      </c>
      <c r="H1177" s="14"/>
      <c r="J1177" s="9" cm="1">
        <f t="array" ref="J1177">SUMPRODUCT((Tablo3[Urun Ad]=I1177)*(Tablo3[Ürün Kar Tutarı]))</f>
        <v>0</v>
      </c>
      <c r="L1177" s="37"/>
    </row>
    <row r="1178" spans="1:12" x14ac:dyDescent="0.25">
      <c r="A1178" s="13"/>
      <c r="B1178" s="9" cm="1">
        <f t="array" ref="B1178">SUMPRODUCT((Tablo3[Personel Ad]=A1178)*(Tablo3[Ürün Kar Tutarı]))</f>
        <v>0</v>
      </c>
      <c r="D1178" s="14"/>
      <c r="F1178" s="9" cm="1">
        <f t="array" ref="F1178">SUMPRODUCT((Tablo3[Şehirler]=E1178)*(Tablo3[Ürün Kar Tutarı]))</f>
        <v>0</v>
      </c>
      <c r="H1178" s="14"/>
      <c r="J1178" s="9" cm="1">
        <f t="array" ref="J1178">SUMPRODUCT((Tablo3[Urun Ad]=I1178)*(Tablo3[Ürün Kar Tutarı]))</f>
        <v>0</v>
      </c>
      <c r="L1178" s="37"/>
    </row>
    <row r="1179" spans="1:12" x14ac:dyDescent="0.25">
      <c r="A1179" s="13"/>
      <c r="B1179" s="9" cm="1">
        <f t="array" ref="B1179">SUMPRODUCT((Tablo3[Personel Ad]=A1179)*(Tablo3[Ürün Kar Tutarı]))</f>
        <v>0</v>
      </c>
      <c r="D1179" s="14"/>
      <c r="F1179" s="9" cm="1">
        <f t="array" ref="F1179">SUMPRODUCT((Tablo3[Şehirler]=E1179)*(Tablo3[Ürün Kar Tutarı]))</f>
        <v>0</v>
      </c>
      <c r="H1179" s="14"/>
      <c r="J1179" s="9" cm="1">
        <f t="array" ref="J1179">SUMPRODUCT((Tablo3[Urun Ad]=I1179)*(Tablo3[Ürün Kar Tutarı]))</f>
        <v>0</v>
      </c>
      <c r="L1179" s="37"/>
    </row>
    <row r="1180" spans="1:12" x14ac:dyDescent="0.25">
      <c r="A1180" s="13"/>
      <c r="B1180" s="9" cm="1">
        <f t="array" ref="B1180">SUMPRODUCT((Tablo3[Personel Ad]=A1180)*(Tablo3[Ürün Kar Tutarı]))</f>
        <v>0</v>
      </c>
      <c r="D1180" s="14"/>
      <c r="F1180" s="9" cm="1">
        <f t="array" ref="F1180">SUMPRODUCT((Tablo3[Şehirler]=E1180)*(Tablo3[Ürün Kar Tutarı]))</f>
        <v>0</v>
      </c>
      <c r="H1180" s="14"/>
      <c r="J1180" s="9" cm="1">
        <f t="array" ref="J1180">SUMPRODUCT((Tablo3[Urun Ad]=I1180)*(Tablo3[Ürün Kar Tutarı]))</f>
        <v>0</v>
      </c>
      <c r="L1180" s="37"/>
    </row>
    <row r="1181" spans="1:12" x14ac:dyDescent="0.25">
      <c r="A1181" s="13"/>
      <c r="B1181" s="9" cm="1">
        <f t="array" ref="B1181">SUMPRODUCT((Tablo3[Personel Ad]=A1181)*(Tablo3[Ürün Kar Tutarı]))</f>
        <v>0</v>
      </c>
      <c r="D1181" s="14"/>
      <c r="F1181" s="9" cm="1">
        <f t="array" ref="F1181">SUMPRODUCT((Tablo3[Şehirler]=E1181)*(Tablo3[Ürün Kar Tutarı]))</f>
        <v>0</v>
      </c>
      <c r="H1181" s="14"/>
      <c r="J1181" s="9" cm="1">
        <f t="array" ref="J1181">SUMPRODUCT((Tablo3[Urun Ad]=I1181)*(Tablo3[Ürün Kar Tutarı]))</f>
        <v>0</v>
      </c>
      <c r="L1181" s="37"/>
    </row>
    <row r="1182" spans="1:12" x14ac:dyDescent="0.25">
      <c r="A1182" s="13"/>
      <c r="B1182" s="9" cm="1">
        <f t="array" ref="B1182">SUMPRODUCT((Tablo3[Personel Ad]=A1182)*(Tablo3[Ürün Kar Tutarı]))</f>
        <v>0</v>
      </c>
      <c r="D1182" s="14"/>
      <c r="F1182" s="9" cm="1">
        <f t="array" ref="F1182">SUMPRODUCT((Tablo3[Şehirler]=E1182)*(Tablo3[Ürün Kar Tutarı]))</f>
        <v>0</v>
      </c>
      <c r="H1182" s="14"/>
      <c r="J1182" s="9" cm="1">
        <f t="array" ref="J1182">SUMPRODUCT((Tablo3[Urun Ad]=I1182)*(Tablo3[Ürün Kar Tutarı]))</f>
        <v>0</v>
      </c>
      <c r="L1182" s="37"/>
    </row>
    <row r="1183" spans="1:12" x14ac:dyDescent="0.25">
      <c r="A1183" s="13"/>
      <c r="B1183" s="9" cm="1">
        <f t="array" ref="B1183">SUMPRODUCT((Tablo3[Personel Ad]=A1183)*(Tablo3[Ürün Kar Tutarı]))</f>
        <v>0</v>
      </c>
      <c r="D1183" s="14"/>
      <c r="F1183" s="9" cm="1">
        <f t="array" ref="F1183">SUMPRODUCT((Tablo3[Şehirler]=E1183)*(Tablo3[Ürün Kar Tutarı]))</f>
        <v>0</v>
      </c>
      <c r="H1183" s="14"/>
      <c r="J1183" s="9" cm="1">
        <f t="array" ref="J1183">SUMPRODUCT((Tablo3[Urun Ad]=I1183)*(Tablo3[Ürün Kar Tutarı]))</f>
        <v>0</v>
      </c>
      <c r="L1183" s="37"/>
    </row>
    <row r="1184" spans="1:12" x14ac:dyDescent="0.25">
      <c r="A1184" s="13"/>
      <c r="B1184" s="9" cm="1">
        <f t="array" ref="B1184">SUMPRODUCT((Tablo3[Personel Ad]=A1184)*(Tablo3[Ürün Kar Tutarı]))</f>
        <v>0</v>
      </c>
      <c r="D1184" s="14"/>
      <c r="F1184" s="9" cm="1">
        <f t="array" ref="F1184">SUMPRODUCT((Tablo3[Şehirler]=E1184)*(Tablo3[Ürün Kar Tutarı]))</f>
        <v>0</v>
      </c>
      <c r="H1184" s="14"/>
      <c r="J1184" s="9" cm="1">
        <f t="array" ref="J1184">SUMPRODUCT((Tablo3[Urun Ad]=I1184)*(Tablo3[Ürün Kar Tutarı]))</f>
        <v>0</v>
      </c>
      <c r="L1184" s="37"/>
    </row>
    <row r="1185" spans="1:12" x14ac:dyDescent="0.25">
      <c r="A1185" s="13"/>
      <c r="B1185" s="9" cm="1">
        <f t="array" ref="B1185">SUMPRODUCT((Tablo3[Personel Ad]=A1185)*(Tablo3[Ürün Kar Tutarı]))</f>
        <v>0</v>
      </c>
      <c r="D1185" s="14"/>
      <c r="F1185" s="9" cm="1">
        <f t="array" ref="F1185">SUMPRODUCT((Tablo3[Şehirler]=E1185)*(Tablo3[Ürün Kar Tutarı]))</f>
        <v>0</v>
      </c>
      <c r="H1185" s="14"/>
      <c r="J1185" s="9" cm="1">
        <f t="array" ref="J1185">SUMPRODUCT((Tablo3[Urun Ad]=I1185)*(Tablo3[Ürün Kar Tutarı]))</f>
        <v>0</v>
      </c>
      <c r="L1185" s="37"/>
    </row>
    <row r="1186" spans="1:12" x14ac:dyDescent="0.25">
      <c r="A1186" s="13"/>
      <c r="B1186" s="9" cm="1">
        <f t="array" ref="B1186">SUMPRODUCT((Tablo3[Personel Ad]=A1186)*(Tablo3[Ürün Kar Tutarı]))</f>
        <v>0</v>
      </c>
      <c r="D1186" s="14"/>
      <c r="F1186" s="9" cm="1">
        <f t="array" ref="F1186">SUMPRODUCT((Tablo3[Şehirler]=E1186)*(Tablo3[Ürün Kar Tutarı]))</f>
        <v>0</v>
      </c>
      <c r="H1186" s="14"/>
      <c r="J1186" s="9" cm="1">
        <f t="array" ref="J1186">SUMPRODUCT((Tablo3[Urun Ad]=I1186)*(Tablo3[Ürün Kar Tutarı]))</f>
        <v>0</v>
      </c>
      <c r="L1186" s="37"/>
    </row>
    <row r="1187" spans="1:12" x14ac:dyDescent="0.25">
      <c r="A1187" s="13"/>
      <c r="B1187" s="9" cm="1">
        <f t="array" ref="B1187">SUMPRODUCT((Tablo3[Personel Ad]=A1187)*(Tablo3[Ürün Kar Tutarı]))</f>
        <v>0</v>
      </c>
      <c r="D1187" s="14"/>
      <c r="F1187" s="9" cm="1">
        <f t="array" ref="F1187">SUMPRODUCT((Tablo3[Şehirler]=E1187)*(Tablo3[Ürün Kar Tutarı]))</f>
        <v>0</v>
      </c>
      <c r="H1187" s="14"/>
      <c r="J1187" s="9" cm="1">
        <f t="array" ref="J1187">SUMPRODUCT((Tablo3[Urun Ad]=I1187)*(Tablo3[Ürün Kar Tutarı]))</f>
        <v>0</v>
      </c>
      <c r="L1187" s="37"/>
    </row>
    <row r="1188" spans="1:12" x14ac:dyDescent="0.25">
      <c r="A1188" s="13"/>
      <c r="B1188" s="9" cm="1">
        <f t="array" ref="B1188">SUMPRODUCT((Tablo3[Personel Ad]=A1188)*(Tablo3[Ürün Kar Tutarı]))</f>
        <v>0</v>
      </c>
      <c r="D1188" s="14"/>
      <c r="F1188" s="9" cm="1">
        <f t="array" ref="F1188">SUMPRODUCT((Tablo3[Şehirler]=E1188)*(Tablo3[Ürün Kar Tutarı]))</f>
        <v>0</v>
      </c>
      <c r="H1188" s="14"/>
      <c r="J1188" s="9" cm="1">
        <f t="array" ref="J1188">SUMPRODUCT((Tablo3[Urun Ad]=I1188)*(Tablo3[Ürün Kar Tutarı]))</f>
        <v>0</v>
      </c>
      <c r="L1188" s="37"/>
    </row>
    <row r="1189" spans="1:12" x14ac:dyDescent="0.25">
      <c r="A1189" s="13"/>
      <c r="B1189" s="9" cm="1">
        <f t="array" ref="B1189">SUMPRODUCT((Tablo3[Personel Ad]=A1189)*(Tablo3[Ürün Kar Tutarı]))</f>
        <v>0</v>
      </c>
      <c r="D1189" s="14"/>
      <c r="F1189" s="9" cm="1">
        <f t="array" ref="F1189">SUMPRODUCT((Tablo3[Şehirler]=E1189)*(Tablo3[Ürün Kar Tutarı]))</f>
        <v>0</v>
      </c>
      <c r="H1189" s="14"/>
      <c r="J1189" s="9" cm="1">
        <f t="array" ref="J1189">SUMPRODUCT((Tablo3[Urun Ad]=I1189)*(Tablo3[Ürün Kar Tutarı]))</f>
        <v>0</v>
      </c>
      <c r="L1189" s="37"/>
    </row>
    <row r="1190" spans="1:12" x14ac:dyDescent="0.25">
      <c r="A1190" s="13"/>
      <c r="B1190" s="9" cm="1">
        <f t="array" ref="B1190">SUMPRODUCT((Tablo3[Personel Ad]=A1190)*(Tablo3[Ürün Kar Tutarı]))</f>
        <v>0</v>
      </c>
      <c r="D1190" s="14"/>
      <c r="F1190" s="9" cm="1">
        <f t="array" ref="F1190">SUMPRODUCT((Tablo3[Şehirler]=E1190)*(Tablo3[Ürün Kar Tutarı]))</f>
        <v>0</v>
      </c>
      <c r="H1190" s="14"/>
      <c r="J1190" s="9" cm="1">
        <f t="array" ref="J1190">SUMPRODUCT((Tablo3[Urun Ad]=I1190)*(Tablo3[Ürün Kar Tutarı]))</f>
        <v>0</v>
      </c>
      <c r="L1190" s="37"/>
    </row>
    <row r="1191" spans="1:12" x14ac:dyDescent="0.25">
      <c r="A1191" s="13"/>
      <c r="B1191" s="9" cm="1">
        <f t="array" ref="B1191">SUMPRODUCT((Tablo3[Personel Ad]=A1191)*(Tablo3[Ürün Kar Tutarı]))</f>
        <v>0</v>
      </c>
      <c r="D1191" s="14"/>
      <c r="F1191" s="9" cm="1">
        <f t="array" ref="F1191">SUMPRODUCT((Tablo3[Şehirler]=E1191)*(Tablo3[Ürün Kar Tutarı]))</f>
        <v>0</v>
      </c>
      <c r="H1191" s="14"/>
      <c r="J1191" s="9" cm="1">
        <f t="array" ref="J1191">SUMPRODUCT((Tablo3[Urun Ad]=I1191)*(Tablo3[Ürün Kar Tutarı]))</f>
        <v>0</v>
      </c>
      <c r="L1191" s="37"/>
    </row>
    <row r="1192" spans="1:12" x14ac:dyDescent="0.25">
      <c r="A1192" s="13"/>
      <c r="B1192" s="9" cm="1">
        <f t="array" ref="B1192">SUMPRODUCT((Tablo3[Personel Ad]=A1192)*(Tablo3[Ürün Kar Tutarı]))</f>
        <v>0</v>
      </c>
      <c r="D1192" s="14"/>
      <c r="F1192" s="9" cm="1">
        <f t="array" ref="F1192">SUMPRODUCT((Tablo3[Şehirler]=E1192)*(Tablo3[Ürün Kar Tutarı]))</f>
        <v>0</v>
      </c>
      <c r="H1192" s="14"/>
      <c r="J1192" s="9" cm="1">
        <f t="array" ref="J1192">SUMPRODUCT((Tablo3[Urun Ad]=I1192)*(Tablo3[Ürün Kar Tutarı]))</f>
        <v>0</v>
      </c>
      <c r="L1192" s="37"/>
    </row>
    <row r="1193" spans="1:12" x14ac:dyDescent="0.25">
      <c r="A1193" s="13"/>
      <c r="B1193" s="9" cm="1">
        <f t="array" ref="B1193">SUMPRODUCT((Tablo3[Personel Ad]=A1193)*(Tablo3[Ürün Kar Tutarı]))</f>
        <v>0</v>
      </c>
      <c r="D1193" s="14"/>
      <c r="F1193" s="9" cm="1">
        <f t="array" ref="F1193">SUMPRODUCT((Tablo3[Şehirler]=E1193)*(Tablo3[Ürün Kar Tutarı]))</f>
        <v>0</v>
      </c>
      <c r="H1193" s="14"/>
      <c r="J1193" s="9" cm="1">
        <f t="array" ref="J1193">SUMPRODUCT((Tablo3[Urun Ad]=I1193)*(Tablo3[Ürün Kar Tutarı]))</f>
        <v>0</v>
      </c>
      <c r="L1193" s="37"/>
    </row>
    <row r="1194" spans="1:12" x14ac:dyDescent="0.25">
      <c r="A1194" s="13"/>
      <c r="B1194" s="9" cm="1">
        <f t="array" ref="B1194">SUMPRODUCT((Tablo3[Personel Ad]=A1194)*(Tablo3[Ürün Kar Tutarı]))</f>
        <v>0</v>
      </c>
      <c r="D1194" s="14"/>
      <c r="F1194" s="9" cm="1">
        <f t="array" ref="F1194">SUMPRODUCT((Tablo3[Şehirler]=E1194)*(Tablo3[Ürün Kar Tutarı]))</f>
        <v>0</v>
      </c>
      <c r="H1194" s="14"/>
      <c r="J1194" s="9" cm="1">
        <f t="array" ref="J1194">SUMPRODUCT((Tablo3[Urun Ad]=I1194)*(Tablo3[Ürün Kar Tutarı]))</f>
        <v>0</v>
      </c>
      <c r="L1194" s="37"/>
    </row>
    <row r="1195" spans="1:12" x14ac:dyDescent="0.25">
      <c r="A1195" s="13"/>
      <c r="B1195" s="9" cm="1">
        <f t="array" ref="B1195">SUMPRODUCT((Tablo3[Personel Ad]=A1195)*(Tablo3[Ürün Kar Tutarı]))</f>
        <v>0</v>
      </c>
      <c r="D1195" s="14"/>
      <c r="F1195" s="9" cm="1">
        <f t="array" ref="F1195">SUMPRODUCT((Tablo3[Şehirler]=E1195)*(Tablo3[Ürün Kar Tutarı]))</f>
        <v>0</v>
      </c>
      <c r="H1195" s="14"/>
      <c r="J1195" s="9" cm="1">
        <f t="array" ref="J1195">SUMPRODUCT((Tablo3[Urun Ad]=I1195)*(Tablo3[Ürün Kar Tutarı]))</f>
        <v>0</v>
      </c>
      <c r="L1195" s="37"/>
    </row>
    <row r="1196" spans="1:12" x14ac:dyDescent="0.25">
      <c r="A1196" s="13"/>
      <c r="B1196" s="9" cm="1">
        <f t="array" ref="B1196">SUMPRODUCT((Tablo3[Personel Ad]=A1196)*(Tablo3[Ürün Kar Tutarı]))</f>
        <v>0</v>
      </c>
      <c r="D1196" s="14"/>
      <c r="F1196" s="9" cm="1">
        <f t="array" ref="F1196">SUMPRODUCT((Tablo3[Şehirler]=E1196)*(Tablo3[Ürün Kar Tutarı]))</f>
        <v>0</v>
      </c>
      <c r="H1196" s="14"/>
      <c r="J1196" s="9" cm="1">
        <f t="array" ref="J1196">SUMPRODUCT((Tablo3[Urun Ad]=I1196)*(Tablo3[Ürün Kar Tutarı]))</f>
        <v>0</v>
      </c>
      <c r="L1196" s="37"/>
    </row>
    <row r="1197" spans="1:12" x14ac:dyDescent="0.25">
      <c r="A1197" s="13"/>
      <c r="B1197" s="9" cm="1">
        <f t="array" ref="B1197">SUMPRODUCT((Tablo3[Personel Ad]=A1197)*(Tablo3[Ürün Kar Tutarı]))</f>
        <v>0</v>
      </c>
      <c r="D1197" s="14"/>
      <c r="F1197" s="9" cm="1">
        <f t="array" ref="F1197">SUMPRODUCT((Tablo3[Şehirler]=E1197)*(Tablo3[Ürün Kar Tutarı]))</f>
        <v>0</v>
      </c>
      <c r="H1197" s="14"/>
      <c r="J1197" s="9" cm="1">
        <f t="array" ref="J1197">SUMPRODUCT((Tablo3[Urun Ad]=I1197)*(Tablo3[Ürün Kar Tutarı]))</f>
        <v>0</v>
      </c>
      <c r="L1197" s="37"/>
    </row>
    <row r="1198" spans="1:12" x14ac:dyDescent="0.25">
      <c r="A1198" s="13"/>
      <c r="B1198" s="9" cm="1">
        <f t="array" ref="B1198">SUMPRODUCT((Tablo3[Personel Ad]=A1198)*(Tablo3[Ürün Kar Tutarı]))</f>
        <v>0</v>
      </c>
      <c r="D1198" s="14"/>
      <c r="F1198" s="9" cm="1">
        <f t="array" ref="F1198">SUMPRODUCT((Tablo3[Şehirler]=E1198)*(Tablo3[Ürün Kar Tutarı]))</f>
        <v>0</v>
      </c>
      <c r="H1198" s="14"/>
      <c r="J1198" s="9" cm="1">
        <f t="array" ref="J1198">SUMPRODUCT((Tablo3[Urun Ad]=I1198)*(Tablo3[Ürün Kar Tutarı]))</f>
        <v>0</v>
      </c>
      <c r="L1198" s="37"/>
    </row>
    <row r="1199" spans="1:12" x14ac:dyDescent="0.25">
      <c r="A1199" s="13"/>
      <c r="B1199" s="9" cm="1">
        <f t="array" ref="B1199">SUMPRODUCT((Tablo3[Personel Ad]=A1199)*(Tablo3[Ürün Kar Tutarı]))</f>
        <v>0</v>
      </c>
      <c r="D1199" s="14"/>
      <c r="F1199" s="9" cm="1">
        <f t="array" ref="F1199">SUMPRODUCT((Tablo3[Şehirler]=E1199)*(Tablo3[Ürün Kar Tutarı]))</f>
        <v>0</v>
      </c>
      <c r="H1199" s="14"/>
      <c r="J1199" s="9" cm="1">
        <f t="array" ref="J1199">SUMPRODUCT((Tablo3[Urun Ad]=I1199)*(Tablo3[Ürün Kar Tutarı]))</f>
        <v>0</v>
      </c>
      <c r="L1199" s="37"/>
    </row>
    <row r="1200" spans="1:12" x14ac:dyDescent="0.25">
      <c r="A1200" s="13"/>
      <c r="B1200" s="9" cm="1">
        <f t="array" ref="B1200">SUMPRODUCT((Tablo3[Personel Ad]=A1200)*(Tablo3[Ürün Kar Tutarı]))</f>
        <v>0</v>
      </c>
      <c r="D1200" s="14"/>
      <c r="F1200" s="9" cm="1">
        <f t="array" ref="F1200">SUMPRODUCT((Tablo3[Şehirler]=E1200)*(Tablo3[Ürün Kar Tutarı]))</f>
        <v>0</v>
      </c>
      <c r="H1200" s="14"/>
      <c r="J1200" s="9" cm="1">
        <f t="array" ref="J1200">SUMPRODUCT((Tablo3[Urun Ad]=I1200)*(Tablo3[Ürün Kar Tutarı]))</f>
        <v>0</v>
      </c>
      <c r="L1200" s="37"/>
    </row>
    <row r="1201" spans="1:12" x14ac:dyDescent="0.25">
      <c r="A1201" s="13"/>
      <c r="B1201" s="9" cm="1">
        <f t="array" ref="B1201">SUMPRODUCT((Tablo3[Personel Ad]=A1201)*(Tablo3[Ürün Kar Tutarı]))</f>
        <v>0</v>
      </c>
      <c r="D1201" s="14"/>
      <c r="F1201" s="9" cm="1">
        <f t="array" ref="F1201">SUMPRODUCT((Tablo3[Şehirler]=E1201)*(Tablo3[Ürün Kar Tutarı]))</f>
        <v>0</v>
      </c>
      <c r="H1201" s="14"/>
      <c r="J1201" s="9" cm="1">
        <f t="array" ref="J1201">SUMPRODUCT((Tablo3[Urun Ad]=I1201)*(Tablo3[Ürün Kar Tutarı]))</f>
        <v>0</v>
      </c>
      <c r="L1201" s="37"/>
    </row>
    <row r="1202" spans="1:12" x14ac:dyDescent="0.25">
      <c r="A1202" s="13"/>
      <c r="B1202" s="9" cm="1">
        <f t="array" ref="B1202">SUMPRODUCT((Tablo3[Personel Ad]=A1202)*(Tablo3[Ürün Kar Tutarı]))</f>
        <v>0</v>
      </c>
      <c r="D1202" s="14"/>
      <c r="F1202" s="9" cm="1">
        <f t="array" ref="F1202">SUMPRODUCT((Tablo3[Şehirler]=E1202)*(Tablo3[Ürün Kar Tutarı]))</f>
        <v>0</v>
      </c>
      <c r="H1202" s="14"/>
      <c r="J1202" s="9" cm="1">
        <f t="array" ref="J1202">SUMPRODUCT((Tablo3[Urun Ad]=I1202)*(Tablo3[Ürün Kar Tutarı]))</f>
        <v>0</v>
      </c>
      <c r="L1202" s="37"/>
    </row>
    <row r="1203" spans="1:12" x14ac:dyDescent="0.25">
      <c r="A1203" s="13"/>
      <c r="B1203" s="9" cm="1">
        <f t="array" ref="B1203">SUMPRODUCT((Tablo3[Personel Ad]=A1203)*(Tablo3[Ürün Kar Tutarı]))</f>
        <v>0</v>
      </c>
      <c r="D1203" s="14"/>
      <c r="F1203" s="9" cm="1">
        <f t="array" ref="F1203">SUMPRODUCT((Tablo3[Şehirler]=E1203)*(Tablo3[Ürün Kar Tutarı]))</f>
        <v>0</v>
      </c>
      <c r="H1203" s="14"/>
      <c r="J1203" s="9" cm="1">
        <f t="array" ref="J1203">SUMPRODUCT((Tablo3[Urun Ad]=I1203)*(Tablo3[Ürün Kar Tutarı]))</f>
        <v>0</v>
      </c>
      <c r="L1203" s="37"/>
    </row>
    <row r="1204" spans="1:12" x14ac:dyDescent="0.25">
      <c r="A1204" s="13"/>
      <c r="B1204" s="9" cm="1">
        <f t="array" ref="B1204">SUMPRODUCT((Tablo3[Personel Ad]=A1204)*(Tablo3[Ürün Kar Tutarı]))</f>
        <v>0</v>
      </c>
      <c r="D1204" s="14"/>
      <c r="F1204" s="9" cm="1">
        <f t="array" ref="F1204">SUMPRODUCT((Tablo3[Şehirler]=E1204)*(Tablo3[Ürün Kar Tutarı]))</f>
        <v>0</v>
      </c>
      <c r="H1204" s="14"/>
      <c r="J1204" s="9" cm="1">
        <f t="array" ref="J1204">SUMPRODUCT((Tablo3[Urun Ad]=I1204)*(Tablo3[Ürün Kar Tutarı]))</f>
        <v>0</v>
      </c>
      <c r="L1204" s="37"/>
    </row>
    <row r="1205" spans="1:12" x14ac:dyDescent="0.25">
      <c r="A1205" s="13"/>
      <c r="B1205" s="9" cm="1">
        <f t="array" ref="B1205">SUMPRODUCT((Tablo3[Personel Ad]=A1205)*(Tablo3[Ürün Kar Tutarı]))</f>
        <v>0</v>
      </c>
      <c r="D1205" s="14"/>
      <c r="F1205" s="9" cm="1">
        <f t="array" ref="F1205">SUMPRODUCT((Tablo3[Şehirler]=E1205)*(Tablo3[Ürün Kar Tutarı]))</f>
        <v>0</v>
      </c>
      <c r="H1205" s="14"/>
      <c r="J1205" s="9" cm="1">
        <f t="array" ref="J1205">SUMPRODUCT((Tablo3[Urun Ad]=I1205)*(Tablo3[Ürün Kar Tutarı]))</f>
        <v>0</v>
      </c>
      <c r="L1205" s="37"/>
    </row>
    <row r="1206" spans="1:12" x14ac:dyDescent="0.25">
      <c r="A1206" s="13"/>
      <c r="B1206" s="9" cm="1">
        <f t="array" ref="B1206">SUMPRODUCT((Tablo3[Personel Ad]=A1206)*(Tablo3[Ürün Kar Tutarı]))</f>
        <v>0</v>
      </c>
      <c r="D1206" s="14"/>
      <c r="F1206" s="9" cm="1">
        <f t="array" ref="F1206">SUMPRODUCT((Tablo3[Şehirler]=E1206)*(Tablo3[Ürün Kar Tutarı]))</f>
        <v>0</v>
      </c>
      <c r="H1206" s="14"/>
      <c r="J1206" s="9" cm="1">
        <f t="array" ref="J1206">SUMPRODUCT((Tablo3[Urun Ad]=I1206)*(Tablo3[Ürün Kar Tutarı]))</f>
        <v>0</v>
      </c>
      <c r="L1206" s="37"/>
    </row>
    <row r="1207" spans="1:12" x14ac:dyDescent="0.25">
      <c r="A1207" s="13"/>
      <c r="B1207" s="9" cm="1">
        <f t="array" ref="B1207">SUMPRODUCT((Tablo3[Personel Ad]=A1207)*(Tablo3[Ürün Kar Tutarı]))</f>
        <v>0</v>
      </c>
      <c r="D1207" s="14"/>
      <c r="F1207" s="9" cm="1">
        <f t="array" ref="F1207">SUMPRODUCT((Tablo3[Şehirler]=E1207)*(Tablo3[Ürün Kar Tutarı]))</f>
        <v>0</v>
      </c>
      <c r="H1207" s="14"/>
      <c r="J1207" s="9" cm="1">
        <f t="array" ref="J1207">SUMPRODUCT((Tablo3[Urun Ad]=I1207)*(Tablo3[Ürün Kar Tutarı]))</f>
        <v>0</v>
      </c>
      <c r="L1207" s="37"/>
    </row>
    <row r="1208" spans="1:12" x14ac:dyDescent="0.25">
      <c r="A1208" s="13"/>
      <c r="B1208" s="9" cm="1">
        <f t="array" ref="B1208">SUMPRODUCT((Tablo3[Personel Ad]=A1208)*(Tablo3[Ürün Kar Tutarı]))</f>
        <v>0</v>
      </c>
      <c r="D1208" s="14"/>
      <c r="F1208" s="9" cm="1">
        <f t="array" ref="F1208">SUMPRODUCT((Tablo3[Şehirler]=E1208)*(Tablo3[Ürün Kar Tutarı]))</f>
        <v>0</v>
      </c>
      <c r="H1208" s="14"/>
      <c r="J1208" s="9" cm="1">
        <f t="array" ref="J1208">SUMPRODUCT((Tablo3[Urun Ad]=I1208)*(Tablo3[Ürün Kar Tutarı]))</f>
        <v>0</v>
      </c>
      <c r="L1208" s="37"/>
    </row>
    <row r="1209" spans="1:12" x14ac:dyDescent="0.25">
      <c r="A1209" s="13"/>
      <c r="B1209" s="9" cm="1">
        <f t="array" ref="B1209">SUMPRODUCT((Tablo3[Personel Ad]=A1209)*(Tablo3[Ürün Kar Tutarı]))</f>
        <v>0</v>
      </c>
      <c r="D1209" s="14"/>
      <c r="F1209" s="9" cm="1">
        <f t="array" ref="F1209">SUMPRODUCT((Tablo3[Şehirler]=E1209)*(Tablo3[Ürün Kar Tutarı]))</f>
        <v>0</v>
      </c>
      <c r="H1209" s="14"/>
      <c r="J1209" s="9" cm="1">
        <f t="array" ref="J1209">SUMPRODUCT((Tablo3[Urun Ad]=I1209)*(Tablo3[Ürün Kar Tutarı]))</f>
        <v>0</v>
      </c>
      <c r="L1209" s="37"/>
    </row>
    <row r="1210" spans="1:12" x14ac:dyDescent="0.25">
      <c r="A1210" s="13"/>
      <c r="B1210" s="9" cm="1">
        <f t="array" ref="B1210">SUMPRODUCT((Tablo3[Personel Ad]=A1210)*(Tablo3[Ürün Kar Tutarı]))</f>
        <v>0</v>
      </c>
      <c r="D1210" s="14"/>
      <c r="F1210" s="9" cm="1">
        <f t="array" ref="F1210">SUMPRODUCT((Tablo3[Şehirler]=E1210)*(Tablo3[Ürün Kar Tutarı]))</f>
        <v>0</v>
      </c>
      <c r="H1210" s="14"/>
      <c r="J1210" s="9" cm="1">
        <f t="array" ref="J1210">SUMPRODUCT((Tablo3[Urun Ad]=I1210)*(Tablo3[Ürün Kar Tutarı]))</f>
        <v>0</v>
      </c>
      <c r="L1210" s="37"/>
    </row>
    <row r="1211" spans="1:12" x14ac:dyDescent="0.25">
      <c r="A1211" s="13"/>
      <c r="B1211" s="9" cm="1">
        <f t="array" ref="B1211">SUMPRODUCT((Tablo3[Personel Ad]=A1211)*(Tablo3[Ürün Kar Tutarı]))</f>
        <v>0</v>
      </c>
      <c r="D1211" s="14"/>
      <c r="F1211" s="9" cm="1">
        <f t="array" ref="F1211">SUMPRODUCT((Tablo3[Şehirler]=E1211)*(Tablo3[Ürün Kar Tutarı]))</f>
        <v>0</v>
      </c>
      <c r="H1211" s="14"/>
      <c r="J1211" s="9" cm="1">
        <f t="array" ref="J1211">SUMPRODUCT((Tablo3[Urun Ad]=I1211)*(Tablo3[Ürün Kar Tutarı]))</f>
        <v>0</v>
      </c>
      <c r="L1211" s="37"/>
    </row>
    <row r="1212" spans="1:12" x14ac:dyDescent="0.25">
      <c r="A1212" s="13"/>
      <c r="B1212" s="9" cm="1">
        <f t="array" ref="B1212">SUMPRODUCT((Tablo3[Personel Ad]=A1212)*(Tablo3[Ürün Kar Tutarı]))</f>
        <v>0</v>
      </c>
      <c r="D1212" s="14"/>
      <c r="F1212" s="9" cm="1">
        <f t="array" ref="F1212">SUMPRODUCT((Tablo3[Şehirler]=E1212)*(Tablo3[Ürün Kar Tutarı]))</f>
        <v>0</v>
      </c>
      <c r="H1212" s="14"/>
      <c r="J1212" s="9" cm="1">
        <f t="array" ref="J1212">SUMPRODUCT((Tablo3[Urun Ad]=I1212)*(Tablo3[Ürün Kar Tutarı]))</f>
        <v>0</v>
      </c>
      <c r="L1212" s="37"/>
    </row>
    <row r="1213" spans="1:12" x14ac:dyDescent="0.25">
      <c r="A1213" s="13"/>
      <c r="B1213" s="9" cm="1">
        <f t="array" ref="B1213">SUMPRODUCT((Tablo3[Personel Ad]=A1213)*(Tablo3[Ürün Kar Tutarı]))</f>
        <v>0</v>
      </c>
      <c r="D1213" s="14"/>
      <c r="F1213" s="9" cm="1">
        <f t="array" ref="F1213">SUMPRODUCT((Tablo3[Şehirler]=E1213)*(Tablo3[Ürün Kar Tutarı]))</f>
        <v>0</v>
      </c>
      <c r="H1213" s="14"/>
      <c r="J1213" s="9" cm="1">
        <f t="array" ref="J1213">SUMPRODUCT((Tablo3[Urun Ad]=I1213)*(Tablo3[Ürün Kar Tutarı]))</f>
        <v>0</v>
      </c>
      <c r="L1213" s="37"/>
    </row>
    <row r="1214" spans="1:12" x14ac:dyDescent="0.25">
      <c r="A1214" s="13"/>
      <c r="B1214" s="9" cm="1">
        <f t="array" ref="B1214">SUMPRODUCT((Tablo3[Personel Ad]=A1214)*(Tablo3[Ürün Kar Tutarı]))</f>
        <v>0</v>
      </c>
      <c r="D1214" s="14"/>
      <c r="F1214" s="9" cm="1">
        <f t="array" ref="F1214">SUMPRODUCT((Tablo3[Şehirler]=E1214)*(Tablo3[Ürün Kar Tutarı]))</f>
        <v>0</v>
      </c>
      <c r="H1214" s="14"/>
      <c r="J1214" s="9" cm="1">
        <f t="array" ref="J1214">SUMPRODUCT((Tablo3[Urun Ad]=I1214)*(Tablo3[Ürün Kar Tutarı]))</f>
        <v>0</v>
      </c>
      <c r="L1214" s="37"/>
    </row>
    <row r="1215" spans="1:12" x14ac:dyDescent="0.25">
      <c r="A1215" s="13"/>
      <c r="B1215" s="9" cm="1">
        <f t="array" ref="B1215">SUMPRODUCT((Tablo3[Personel Ad]=A1215)*(Tablo3[Ürün Kar Tutarı]))</f>
        <v>0</v>
      </c>
      <c r="D1215" s="14"/>
      <c r="F1215" s="9" cm="1">
        <f t="array" ref="F1215">SUMPRODUCT((Tablo3[Şehirler]=E1215)*(Tablo3[Ürün Kar Tutarı]))</f>
        <v>0</v>
      </c>
      <c r="H1215" s="14"/>
      <c r="J1215" s="9" cm="1">
        <f t="array" ref="J1215">SUMPRODUCT((Tablo3[Urun Ad]=I1215)*(Tablo3[Ürün Kar Tutarı]))</f>
        <v>0</v>
      </c>
      <c r="L1215" s="37"/>
    </row>
    <row r="1216" spans="1:12" x14ac:dyDescent="0.25">
      <c r="A1216" s="13"/>
      <c r="B1216" s="9" cm="1">
        <f t="array" ref="B1216">SUMPRODUCT((Tablo3[Personel Ad]=A1216)*(Tablo3[Ürün Kar Tutarı]))</f>
        <v>0</v>
      </c>
      <c r="D1216" s="14"/>
      <c r="F1216" s="9" cm="1">
        <f t="array" ref="F1216">SUMPRODUCT((Tablo3[Şehirler]=E1216)*(Tablo3[Ürün Kar Tutarı]))</f>
        <v>0</v>
      </c>
      <c r="H1216" s="14"/>
      <c r="J1216" s="9" cm="1">
        <f t="array" ref="J1216">SUMPRODUCT((Tablo3[Urun Ad]=I1216)*(Tablo3[Ürün Kar Tutarı]))</f>
        <v>0</v>
      </c>
      <c r="L1216" s="37"/>
    </row>
    <row r="1217" spans="1:12" x14ac:dyDescent="0.25">
      <c r="A1217" s="13"/>
      <c r="B1217" s="9" cm="1">
        <f t="array" ref="B1217">SUMPRODUCT((Tablo3[Personel Ad]=A1217)*(Tablo3[Ürün Kar Tutarı]))</f>
        <v>0</v>
      </c>
      <c r="D1217" s="14"/>
      <c r="F1217" s="9" cm="1">
        <f t="array" ref="F1217">SUMPRODUCT((Tablo3[Şehirler]=E1217)*(Tablo3[Ürün Kar Tutarı]))</f>
        <v>0</v>
      </c>
      <c r="H1217" s="14"/>
      <c r="J1217" s="9" cm="1">
        <f t="array" ref="J1217">SUMPRODUCT((Tablo3[Urun Ad]=I1217)*(Tablo3[Ürün Kar Tutarı]))</f>
        <v>0</v>
      </c>
      <c r="L1217" s="37"/>
    </row>
    <row r="1218" spans="1:12" x14ac:dyDescent="0.25">
      <c r="A1218" s="13"/>
      <c r="B1218" s="9" cm="1">
        <f t="array" ref="B1218">SUMPRODUCT((Tablo3[Personel Ad]=A1218)*(Tablo3[Ürün Kar Tutarı]))</f>
        <v>0</v>
      </c>
      <c r="D1218" s="14"/>
      <c r="F1218" s="9" cm="1">
        <f t="array" ref="F1218">SUMPRODUCT((Tablo3[Şehirler]=E1218)*(Tablo3[Ürün Kar Tutarı]))</f>
        <v>0</v>
      </c>
      <c r="H1218" s="14"/>
      <c r="J1218" s="9" cm="1">
        <f t="array" ref="J1218">SUMPRODUCT((Tablo3[Urun Ad]=I1218)*(Tablo3[Ürün Kar Tutarı]))</f>
        <v>0</v>
      </c>
      <c r="L1218" s="37"/>
    </row>
    <row r="1219" spans="1:12" x14ac:dyDescent="0.25">
      <c r="A1219" s="13"/>
      <c r="B1219" s="9" cm="1">
        <f t="array" ref="B1219">SUMPRODUCT((Tablo3[Personel Ad]=A1219)*(Tablo3[Ürün Kar Tutarı]))</f>
        <v>0</v>
      </c>
      <c r="D1219" s="14"/>
      <c r="F1219" s="9" cm="1">
        <f t="array" ref="F1219">SUMPRODUCT((Tablo3[Şehirler]=E1219)*(Tablo3[Ürün Kar Tutarı]))</f>
        <v>0</v>
      </c>
      <c r="H1219" s="14"/>
      <c r="J1219" s="9" cm="1">
        <f t="array" ref="J1219">SUMPRODUCT((Tablo3[Urun Ad]=I1219)*(Tablo3[Ürün Kar Tutarı]))</f>
        <v>0</v>
      </c>
      <c r="L1219" s="37"/>
    </row>
    <row r="1220" spans="1:12" x14ac:dyDescent="0.25">
      <c r="A1220" s="13"/>
      <c r="B1220" s="9" cm="1">
        <f t="array" ref="B1220">SUMPRODUCT((Tablo3[Personel Ad]=A1220)*(Tablo3[Ürün Kar Tutarı]))</f>
        <v>0</v>
      </c>
      <c r="D1220" s="14"/>
      <c r="F1220" s="9" cm="1">
        <f t="array" ref="F1220">SUMPRODUCT((Tablo3[Şehirler]=E1220)*(Tablo3[Ürün Kar Tutarı]))</f>
        <v>0</v>
      </c>
      <c r="H1220" s="14"/>
      <c r="J1220" s="9" cm="1">
        <f t="array" ref="J1220">SUMPRODUCT((Tablo3[Urun Ad]=I1220)*(Tablo3[Ürün Kar Tutarı]))</f>
        <v>0</v>
      </c>
      <c r="L1220" s="37"/>
    </row>
    <row r="1221" spans="1:12" x14ac:dyDescent="0.25">
      <c r="A1221" s="13"/>
      <c r="B1221" s="9" cm="1">
        <f t="array" ref="B1221">SUMPRODUCT((Tablo3[Personel Ad]=A1221)*(Tablo3[Ürün Kar Tutarı]))</f>
        <v>0</v>
      </c>
      <c r="D1221" s="14"/>
      <c r="F1221" s="9" cm="1">
        <f t="array" ref="F1221">SUMPRODUCT((Tablo3[Şehirler]=E1221)*(Tablo3[Ürün Kar Tutarı]))</f>
        <v>0</v>
      </c>
      <c r="H1221" s="14"/>
      <c r="J1221" s="9" cm="1">
        <f t="array" ref="J1221">SUMPRODUCT((Tablo3[Urun Ad]=I1221)*(Tablo3[Ürün Kar Tutarı]))</f>
        <v>0</v>
      </c>
      <c r="L1221" s="37"/>
    </row>
    <row r="1222" spans="1:12" x14ac:dyDescent="0.25">
      <c r="A1222" s="13"/>
      <c r="B1222" s="9" cm="1">
        <f t="array" ref="B1222">SUMPRODUCT((Tablo3[Personel Ad]=A1222)*(Tablo3[Ürün Kar Tutarı]))</f>
        <v>0</v>
      </c>
      <c r="D1222" s="14"/>
      <c r="F1222" s="9" cm="1">
        <f t="array" ref="F1222">SUMPRODUCT((Tablo3[Şehirler]=E1222)*(Tablo3[Ürün Kar Tutarı]))</f>
        <v>0</v>
      </c>
      <c r="H1222" s="14"/>
      <c r="J1222" s="9" cm="1">
        <f t="array" ref="J1222">SUMPRODUCT((Tablo3[Urun Ad]=I1222)*(Tablo3[Ürün Kar Tutarı]))</f>
        <v>0</v>
      </c>
      <c r="L1222" s="37"/>
    </row>
    <row r="1223" spans="1:12" x14ac:dyDescent="0.25">
      <c r="A1223" s="13"/>
      <c r="B1223" s="9" cm="1">
        <f t="array" ref="B1223">SUMPRODUCT((Tablo3[Personel Ad]=A1223)*(Tablo3[Ürün Kar Tutarı]))</f>
        <v>0</v>
      </c>
      <c r="D1223" s="14"/>
      <c r="F1223" s="9" cm="1">
        <f t="array" ref="F1223">SUMPRODUCT((Tablo3[Şehirler]=E1223)*(Tablo3[Ürün Kar Tutarı]))</f>
        <v>0</v>
      </c>
      <c r="H1223" s="14"/>
      <c r="J1223" s="9" cm="1">
        <f t="array" ref="J1223">SUMPRODUCT((Tablo3[Urun Ad]=I1223)*(Tablo3[Ürün Kar Tutarı]))</f>
        <v>0</v>
      </c>
      <c r="L1223" s="37"/>
    </row>
    <row r="1224" spans="1:12" x14ac:dyDescent="0.25">
      <c r="A1224" s="13"/>
      <c r="B1224" s="9" cm="1">
        <f t="array" ref="B1224">SUMPRODUCT((Tablo3[Personel Ad]=A1224)*(Tablo3[Ürün Kar Tutarı]))</f>
        <v>0</v>
      </c>
      <c r="D1224" s="14"/>
      <c r="F1224" s="9" cm="1">
        <f t="array" ref="F1224">SUMPRODUCT((Tablo3[Şehirler]=E1224)*(Tablo3[Ürün Kar Tutarı]))</f>
        <v>0</v>
      </c>
      <c r="H1224" s="14"/>
      <c r="J1224" s="9" cm="1">
        <f t="array" ref="J1224">SUMPRODUCT((Tablo3[Urun Ad]=I1224)*(Tablo3[Ürün Kar Tutarı]))</f>
        <v>0</v>
      </c>
      <c r="L1224" s="37"/>
    </row>
    <row r="1225" spans="1:12" x14ac:dyDescent="0.25">
      <c r="A1225" s="13"/>
      <c r="B1225" s="9" cm="1">
        <f t="array" ref="B1225">SUMPRODUCT((Tablo3[Personel Ad]=A1225)*(Tablo3[Ürün Kar Tutarı]))</f>
        <v>0</v>
      </c>
      <c r="D1225" s="14"/>
      <c r="F1225" s="9" cm="1">
        <f t="array" ref="F1225">SUMPRODUCT((Tablo3[Şehirler]=E1225)*(Tablo3[Ürün Kar Tutarı]))</f>
        <v>0</v>
      </c>
      <c r="H1225" s="14"/>
      <c r="J1225" s="9" cm="1">
        <f t="array" ref="J1225">SUMPRODUCT((Tablo3[Urun Ad]=I1225)*(Tablo3[Ürün Kar Tutarı]))</f>
        <v>0</v>
      </c>
      <c r="L1225" s="37"/>
    </row>
    <row r="1226" spans="1:12" x14ac:dyDescent="0.25">
      <c r="A1226" s="13"/>
      <c r="B1226" s="9" cm="1">
        <f t="array" ref="B1226">SUMPRODUCT((Tablo3[Personel Ad]=A1226)*(Tablo3[Ürün Kar Tutarı]))</f>
        <v>0</v>
      </c>
      <c r="D1226" s="14"/>
      <c r="F1226" s="9" cm="1">
        <f t="array" ref="F1226">SUMPRODUCT((Tablo3[Şehirler]=E1226)*(Tablo3[Ürün Kar Tutarı]))</f>
        <v>0</v>
      </c>
      <c r="H1226" s="14"/>
      <c r="J1226" s="9" cm="1">
        <f t="array" ref="J1226">SUMPRODUCT((Tablo3[Urun Ad]=I1226)*(Tablo3[Ürün Kar Tutarı]))</f>
        <v>0</v>
      </c>
      <c r="L1226" s="37"/>
    </row>
    <row r="1227" spans="1:12" x14ac:dyDescent="0.25">
      <c r="A1227" s="13"/>
      <c r="B1227" s="9" cm="1">
        <f t="array" ref="B1227">SUMPRODUCT((Tablo3[Personel Ad]=A1227)*(Tablo3[Ürün Kar Tutarı]))</f>
        <v>0</v>
      </c>
      <c r="D1227" s="14"/>
      <c r="F1227" s="9" cm="1">
        <f t="array" ref="F1227">SUMPRODUCT((Tablo3[Şehirler]=E1227)*(Tablo3[Ürün Kar Tutarı]))</f>
        <v>0</v>
      </c>
      <c r="H1227" s="14"/>
      <c r="J1227" s="9" cm="1">
        <f t="array" ref="J1227">SUMPRODUCT((Tablo3[Urun Ad]=I1227)*(Tablo3[Ürün Kar Tutarı]))</f>
        <v>0</v>
      </c>
      <c r="L1227" s="37"/>
    </row>
    <row r="1228" spans="1:12" x14ac:dyDescent="0.25">
      <c r="A1228" s="13"/>
      <c r="B1228" s="9" cm="1">
        <f t="array" ref="B1228">SUMPRODUCT((Tablo3[Personel Ad]=A1228)*(Tablo3[Ürün Kar Tutarı]))</f>
        <v>0</v>
      </c>
      <c r="D1228" s="14"/>
      <c r="F1228" s="9" cm="1">
        <f t="array" ref="F1228">SUMPRODUCT((Tablo3[Şehirler]=E1228)*(Tablo3[Ürün Kar Tutarı]))</f>
        <v>0</v>
      </c>
      <c r="H1228" s="14"/>
      <c r="J1228" s="9" cm="1">
        <f t="array" ref="J1228">SUMPRODUCT((Tablo3[Urun Ad]=I1228)*(Tablo3[Ürün Kar Tutarı]))</f>
        <v>0</v>
      </c>
      <c r="L1228" s="37"/>
    </row>
    <row r="1229" spans="1:12" x14ac:dyDescent="0.25">
      <c r="A1229" s="13"/>
      <c r="B1229" s="9" cm="1">
        <f t="array" ref="B1229">SUMPRODUCT((Tablo3[Personel Ad]=A1229)*(Tablo3[Ürün Kar Tutarı]))</f>
        <v>0</v>
      </c>
      <c r="D1229" s="14"/>
      <c r="F1229" s="9" cm="1">
        <f t="array" ref="F1229">SUMPRODUCT((Tablo3[Şehirler]=E1229)*(Tablo3[Ürün Kar Tutarı]))</f>
        <v>0</v>
      </c>
      <c r="H1229" s="14"/>
      <c r="J1229" s="9" cm="1">
        <f t="array" ref="J1229">SUMPRODUCT((Tablo3[Urun Ad]=I1229)*(Tablo3[Ürün Kar Tutarı]))</f>
        <v>0</v>
      </c>
      <c r="L1229" s="37"/>
    </row>
    <row r="1230" spans="1:12" x14ac:dyDescent="0.25">
      <c r="A1230" s="13"/>
      <c r="B1230" s="9" cm="1">
        <f t="array" ref="B1230">SUMPRODUCT((Tablo3[Personel Ad]=A1230)*(Tablo3[Ürün Kar Tutarı]))</f>
        <v>0</v>
      </c>
      <c r="D1230" s="14"/>
      <c r="F1230" s="9" cm="1">
        <f t="array" ref="F1230">SUMPRODUCT((Tablo3[Şehirler]=E1230)*(Tablo3[Ürün Kar Tutarı]))</f>
        <v>0</v>
      </c>
      <c r="H1230" s="14"/>
      <c r="J1230" s="9" cm="1">
        <f t="array" ref="J1230">SUMPRODUCT((Tablo3[Urun Ad]=I1230)*(Tablo3[Ürün Kar Tutarı]))</f>
        <v>0</v>
      </c>
      <c r="L1230" s="37"/>
    </row>
    <row r="1231" spans="1:12" x14ac:dyDescent="0.25">
      <c r="A1231" s="13"/>
      <c r="B1231" s="9" cm="1">
        <f t="array" ref="B1231">SUMPRODUCT((Tablo3[Personel Ad]=A1231)*(Tablo3[Ürün Kar Tutarı]))</f>
        <v>0</v>
      </c>
      <c r="D1231" s="14"/>
      <c r="F1231" s="9" cm="1">
        <f t="array" ref="F1231">SUMPRODUCT((Tablo3[Şehirler]=E1231)*(Tablo3[Ürün Kar Tutarı]))</f>
        <v>0</v>
      </c>
      <c r="H1231" s="14"/>
      <c r="J1231" s="9" cm="1">
        <f t="array" ref="J1231">SUMPRODUCT((Tablo3[Urun Ad]=I1231)*(Tablo3[Ürün Kar Tutarı]))</f>
        <v>0</v>
      </c>
      <c r="L1231" s="37"/>
    </row>
    <row r="1232" spans="1:12" x14ac:dyDescent="0.25">
      <c r="A1232" s="13"/>
      <c r="B1232" s="9" cm="1">
        <f t="array" ref="B1232">SUMPRODUCT((Tablo3[Personel Ad]=A1232)*(Tablo3[Ürün Kar Tutarı]))</f>
        <v>0</v>
      </c>
      <c r="D1232" s="14"/>
      <c r="F1232" s="9" cm="1">
        <f t="array" ref="F1232">SUMPRODUCT((Tablo3[Şehirler]=E1232)*(Tablo3[Ürün Kar Tutarı]))</f>
        <v>0</v>
      </c>
      <c r="H1232" s="14"/>
      <c r="J1232" s="9" cm="1">
        <f t="array" ref="J1232">SUMPRODUCT((Tablo3[Urun Ad]=I1232)*(Tablo3[Ürün Kar Tutarı]))</f>
        <v>0</v>
      </c>
      <c r="L1232" s="37"/>
    </row>
    <row r="1233" spans="1:12" x14ac:dyDescent="0.25">
      <c r="A1233" s="13"/>
      <c r="B1233" s="9" cm="1">
        <f t="array" ref="B1233">SUMPRODUCT((Tablo3[Personel Ad]=A1233)*(Tablo3[Ürün Kar Tutarı]))</f>
        <v>0</v>
      </c>
      <c r="D1233" s="14"/>
      <c r="F1233" s="9" cm="1">
        <f t="array" ref="F1233">SUMPRODUCT((Tablo3[Şehirler]=E1233)*(Tablo3[Ürün Kar Tutarı]))</f>
        <v>0</v>
      </c>
      <c r="H1233" s="14"/>
      <c r="J1233" s="9" cm="1">
        <f t="array" ref="J1233">SUMPRODUCT((Tablo3[Urun Ad]=I1233)*(Tablo3[Ürün Kar Tutarı]))</f>
        <v>0</v>
      </c>
      <c r="L1233" s="37"/>
    </row>
    <row r="1234" spans="1:12" x14ac:dyDescent="0.25">
      <c r="A1234" s="13"/>
      <c r="B1234" s="9" cm="1">
        <f t="array" ref="B1234">SUMPRODUCT((Tablo3[Personel Ad]=A1234)*(Tablo3[Ürün Kar Tutarı]))</f>
        <v>0</v>
      </c>
      <c r="D1234" s="14"/>
      <c r="F1234" s="9" cm="1">
        <f t="array" ref="F1234">SUMPRODUCT((Tablo3[Şehirler]=E1234)*(Tablo3[Ürün Kar Tutarı]))</f>
        <v>0</v>
      </c>
      <c r="H1234" s="14"/>
      <c r="J1234" s="9" cm="1">
        <f t="array" ref="J1234">SUMPRODUCT((Tablo3[Urun Ad]=I1234)*(Tablo3[Ürün Kar Tutarı]))</f>
        <v>0</v>
      </c>
      <c r="L1234" s="37"/>
    </row>
    <row r="1235" spans="1:12" x14ac:dyDescent="0.25">
      <c r="A1235" s="13"/>
      <c r="B1235" s="9" cm="1">
        <f t="array" ref="B1235">SUMPRODUCT((Tablo3[Personel Ad]=A1235)*(Tablo3[Ürün Kar Tutarı]))</f>
        <v>0</v>
      </c>
      <c r="D1235" s="14"/>
      <c r="F1235" s="9" cm="1">
        <f t="array" ref="F1235">SUMPRODUCT((Tablo3[Şehirler]=E1235)*(Tablo3[Ürün Kar Tutarı]))</f>
        <v>0</v>
      </c>
      <c r="H1235" s="14"/>
      <c r="J1235" s="9" cm="1">
        <f t="array" ref="J1235">SUMPRODUCT((Tablo3[Urun Ad]=I1235)*(Tablo3[Ürün Kar Tutarı]))</f>
        <v>0</v>
      </c>
      <c r="L1235" s="37"/>
    </row>
    <row r="1236" spans="1:12" x14ac:dyDescent="0.25">
      <c r="A1236" s="13"/>
      <c r="B1236" s="9" cm="1">
        <f t="array" ref="B1236">SUMPRODUCT((Tablo3[Personel Ad]=A1236)*(Tablo3[Ürün Kar Tutarı]))</f>
        <v>0</v>
      </c>
      <c r="D1236" s="14"/>
      <c r="F1236" s="9" cm="1">
        <f t="array" ref="F1236">SUMPRODUCT((Tablo3[Şehirler]=E1236)*(Tablo3[Ürün Kar Tutarı]))</f>
        <v>0</v>
      </c>
      <c r="H1236" s="14"/>
      <c r="J1236" s="9" cm="1">
        <f t="array" ref="J1236">SUMPRODUCT((Tablo3[Urun Ad]=I1236)*(Tablo3[Ürün Kar Tutarı]))</f>
        <v>0</v>
      </c>
      <c r="L1236" s="37"/>
    </row>
    <row r="1237" spans="1:12" x14ac:dyDescent="0.25">
      <c r="A1237" s="13"/>
      <c r="B1237" s="9" cm="1">
        <f t="array" ref="B1237">SUMPRODUCT((Tablo3[Personel Ad]=A1237)*(Tablo3[Ürün Kar Tutarı]))</f>
        <v>0</v>
      </c>
      <c r="D1237" s="14"/>
      <c r="F1237" s="9" cm="1">
        <f t="array" ref="F1237">SUMPRODUCT((Tablo3[Şehirler]=E1237)*(Tablo3[Ürün Kar Tutarı]))</f>
        <v>0</v>
      </c>
      <c r="H1237" s="14"/>
      <c r="J1237" s="9" cm="1">
        <f t="array" ref="J1237">SUMPRODUCT((Tablo3[Urun Ad]=I1237)*(Tablo3[Ürün Kar Tutarı]))</f>
        <v>0</v>
      </c>
      <c r="L1237" s="37"/>
    </row>
    <row r="1238" spans="1:12" x14ac:dyDescent="0.25">
      <c r="A1238" s="13"/>
      <c r="B1238" s="9" cm="1">
        <f t="array" ref="B1238">SUMPRODUCT((Tablo3[Personel Ad]=A1238)*(Tablo3[Ürün Kar Tutarı]))</f>
        <v>0</v>
      </c>
      <c r="D1238" s="14"/>
      <c r="F1238" s="9" cm="1">
        <f t="array" ref="F1238">SUMPRODUCT((Tablo3[Şehirler]=E1238)*(Tablo3[Ürün Kar Tutarı]))</f>
        <v>0</v>
      </c>
      <c r="H1238" s="14"/>
      <c r="J1238" s="9" cm="1">
        <f t="array" ref="J1238">SUMPRODUCT((Tablo3[Urun Ad]=I1238)*(Tablo3[Ürün Kar Tutarı]))</f>
        <v>0</v>
      </c>
      <c r="L1238" s="37"/>
    </row>
    <row r="1239" spans="1:12" x14ac:dyDescent="0.25">
      <c r="A1239" s="13"/>
      <c r="B1239" s="9" cm="1">
        <f t="array" ref="B1239">SUMPRODUCT((Tablo3[Personel Ad]=A1239)*(Tablo3[Ürün Kar Tutarı]))</f>
        <v>0</v>
      </c>
      <c r="D1239" s="14"/>
      <c r="F1239" s="9" cm="1">
        <f t="array" ref="F1239">SUMPRODUCT((Tablo3[Şehirler]=E1239)*(Tablo3[Ürün Kar Tutarı]))</f>
        <v>0</v>
      </c>
      <c r="H1239" s="14"/>
      <c r="J1239" s="9" cm="1">
        <f t="array" ref="J1239">SUMPRODUCT((Tablo3[Urun Ad]=I1239)*(Tablo3[Ürün Kar Tutarı]))</f>
        <v>0</v>
      </c>
      <c r="L1239" s="37"/>
    </row>
    <row r="1240" spans="1:12" x14ac:dyDescent="0.25">
      <c r="A1240" s="13"/>
      <c r="B1240" s="9" cm="1">
        <f t="array" ref="B1240">SUMPRODUCT((Tablo3[Personel Ad]=A1240)*(Tablo3[Ürün Kar Tutarı]))</f>
        <v>0</v>
      </c>
      <c r="D1240" s="14"/>
      <c r="F1240" s="9" cm="1">
        <f t="array" ref="F1240">SUMPRODUCT((Tablo3[Şehirler]=E1240)*(Tablo3[Ürün Kar Tutarı]))</f>
        <v>0</v>
      </c>
      <c r="H1240" s="14"/>
      <c r="J1240" s="9" cm="1">
        <f t="array" ref="J1240">SUMPRODUCT((Tablo3[Urun Ad]=I1240)*(Tablo3[Ürün Kar Tutarı]))</f>
        <v>0</v>
      </c>
      <c r="L1240" s="37"/>
    </row>
    <row r="1241" spans="1:12" x14ac:dyDescent="0.25">
      <c r="A1241" s="13"/>
      <c r="B1241" s="9" cm="1">
        <f t="array" ref="B1241">SUMPRODUCT((Tablo3[Personel Ad]=A1241)*(Tablo3[Ürün Kar Tutarı]))</f>
        <v>0</v>
      </c>
      <c r="D1241" s="14"/>
      <c r="F1241" s="9" cm="1">
        <f t="array" ref="F1241">SUMPRODUCT((Tablo3[Şehirler]=E1241)*(Tablo3[Ürün Kar Tutarı]))</f>
        <v>0</v>
      </c>
      <c r="H1241" s="14"/>
      <c r="J1241" s="9" cm="1">
        <f t="array" ref="J1241">SUMPRODUCT((Tablo3[Urun Ad]=I1241)*(Tablo3[Ürün Kar Tutarı]))</f>
        <v>0</v>
      </c>
      <c r="L1241" s="37"/>
    </row>
    <row r="1242" spans="1:12" x14ac:dyDescent="0.25">
      <c r="A1242" s="13"/>
      <c r="B1242" s="9" cm="1">
        <f t="array" ref="B1242">SUMPRODUCT((Tablo3[Personel Ad]=A1242)*(Tablo3[Ürün Kar Tutarı]))</f>
        <v>0</v>
      </c>
      <c r="D1242" s="14"/>
      <c r="F1242" s="9" cm="1">
        <f t="array" ref="F1242">SUMPRODUCT((Tablo3[Şehirler]=E1242)*(Tablo3[Ürün Kar Tutarı]))</f>
        <v>0</v>
      </c>
      <c r="H1242" s="14"/>
      <c r="J1242" s="9" cm="1">
        <f t="array" ref="J1242">SUMPRODUCT((Tablo3[Urun Ad]=I1242)*(Tablo3[Ürün Kar Tutarı]))</f>
        <v>0</v>
      </c>
      <c r="L1242" s="37"/>
    </row>
    <row r="1243" spans="1:12" x14ac:dyDescent="0.25">
      <c r="A1243" s="13"/>
      <c r="B1243" s="9" cm="1">
        <f t="array" ref="B1243">SUMPRODUCT((Tablo3[Personel Ad]=A1243)*(Tablo3[Ürün Kar Tutarı]))</f>
        <v>0</v>
      </c>
      <c r="D1243" s="14"/>
      <c r="F1243" s="9" cm="1">
        <f t="array" ref="F1243">SUMPRODUCT((Tablo3[Şehirler]=E1243)*(Tablo3[Ürün Kar Tutarı]))</f>
        <v>0</v>
      </c>
      <c r="H1243" s="14"/>
      <c r="J1243" s="9" cm="1">
        <f t="array" ref="J1243">SUMPRODUCT((Tablo3[Urun Ad]=I1243)*(Tablo3[Ürün Kar Tutarı]))</f>
        <v>0</v>
      </c>
      <c r="L1243" s="37"/>
    </row>
    <row r="1244" spans="1:12" x14ac:dyDescent="0.25">
      <c r="A1244" s="13"/>
      <c r="B1244" s="9" cm="1">
        <f t="array" ref="B1244">SUMPRODUCT((Tablo3[Personel Ad]=A1244)*(Tablo3[Ürün Kar Tutarı]))</f>
        <v>0</v>
      </c>
      <c r="D1244" s="14"/>
      <c r="F1244" s="9" cm="1">
        <f t="array" ref="F1244">SUMPRODUCT((Tablo3[Şehirler]=E1244)*(Tablo3[Ürün Kar Tutarı]))</f>
        <v>0</v>
      </c>
      <c r="H1244" s="14"/>
      <c r="J1244" s="9" cm="1">
        <f t="array" ref="J1244">SUMPRODUCT((Tablo3[Urun Ad]=I1244)*(Tablo3[Ürün Kar Tutarı]))</f>
        <v>0</v>
      </c>
      <c r="L1244" s="37"/>
    </row>
    <row r="1245" spans="1:12" x14ac:dyDescent="0.25">
      <c r="A1245" s="13"/>
      <c r="B1245" s="9" cm="1">
        <f t="array" ref="B1245">SUMPRODUCT((Tablo3[Personel Ad]=A1245)*(Tablo3[Ürün Kar Tutarı]))</f>
        <v>0</v>
      </c>
      <c r="D1245" s="14"/>
      <c r="F1245" s="9" cm="1">
        <f t="array" ref="F1245">SUMPRODUCT((Tablo3[Şehirler]=E1245)*(Tablo3[Ürün Kar Tutarı]))</f>
        <v>0</v>
      </c>
      <c r="H1245" s="14"/>
      <c r="J1245" s="9" cm="1">
        <f t="array" ref="J1245">SUMPRODUCT((Tablo3[Urun Ad]=I1245)*(Tablo3[Ürün Kar Tutarı]))</f>
        <v>0</v>
      </c>
      <c r="L1245" s="37"/>
    </row>
    <row r="1246" spans="1:12" x14ac:dyDescent="0.25">
      <c r="A1246" s="13"/>
      <c r="B1246" s="9" cm="1">
        <f t="array" ref="B1246">SUMPRODUCT((Tablo3[Personel Ad]=A1246)*(Tablo3[Ürün Kar Tutarı]))</f>
        <v>0</v>
      </c>
      <c r="D1246" s="14"/>
      <c r="F1246" s="9" cm="1">
        <f t="array" ref="F1246">SUMPRODUCT((Tablo3[Şehirler]=E1246)*(Tablo3[Ürün Kar Tutarı]))</f>
        <v>0</v>
      </c>
      <c r="H1246" s="14"/>
      <c r="J1246" s="9" cm="1">
        <f t="array" ref="J1246">SUMPRODUCT((Tablo3[Urun Ad]=I1246)*(Tablo3[Ürün Kar Tutarı]))</f>
        <v>0</v>
      </c>
      <c r="L1246" s="37"/>
    </row>
    <row r="1247" spans="1:12" x14ac:dyDescent="0.25">
      <c r="A1247" s="13"/>
      <c r="B1247" s="9" cm="1">
        <f t="array" ref="B1247">SUMPRODUCT((Tablo3[Personel Ad]=A1247)*(Tablo3[Ürün Kar Tutarı]))</f>
        <v>0</v>
      </c>
      <c r="D1247" s="14"/>
      <c r="F1247" s="9" cm="1">
        <f t="array" ref="F1247">SUMPRODUCT((Tablo3[Şehirler]=E1247)*(Tablo3[Ürün Kar Tutarı]))</f>
        <v>0</v>
      </c>
      <c r="H1247" s="14"/>
      <c r="J1247" s="9" cm="1">
        <f t="array" ref="J1247">SUMPRODUCT((Tablo3[Urun Ad]=I1247)*(Tablo3[Ürün Kar Tutarı]))</f>
        <v>0</v>
      </c>
      <c r="L1247" s="37"/>
    </row>
    <row r="1248" spans="1:12" x14ac:dyDescent="0.25">
      <c r="A1248" s="13"/>
      <c r="B1248" s="9" cm="1">
        <f t="array" ref="B1248">SUMPRODUCT((Tablo3[Personel Ad]=A1248)*(Tablo3[Ürün Kar Tutarı]))</f>
        <v>0</v>
      </c>
      <c r="D1248" s="14"/>
      <c r="F1248" s="9" cm="1">
        <f t="array" ref="F1248">SUMPRODUCT((Tablo3[Şehirler]=E1248)*(Tablo3[Ürün Kar Tutarı]))</f>
        <v>0</v>
      </c>
      <c r="H1248" s="14"/>
      <c r="J1248" s="9" cm="1">
        <f t="array" ref="J1248">SUMPRODUCT((Tablo3[Urun Ad]=I1248)*(Tablo3[Ürün Kar Tutarı]))</f>
        <v>0</v>
      </c>
      <c r="L1248" s="37"/>
    </row>
    <row r="1249" spans="1:12" x14ac:dyDescent="0.25">
      <c r="A1249" s="13"/>
      <c r="B1249" s="9" cm="1">
        <f t="array" ref="B1249">SUMPRODUCT((Tablo3[Personel Ad]=A1249)*(Tablo3[Ürün Kar Tutarı]))</f>
        <v>0</v>
      </c>
      <c r="D1249" s="14"/>
      <c r="F1249" s="9" cm="1">
        <f t="array" ref="F1249">SUMPRODUCT((Tablo3[Şehirler]=E1249)*(Tablo3[Ürün Kar Tutarı]))</f>
        <v>0</v>
      </c>
      <c r="H1249" s="14"/>
      <c r="J1249" s="9" cm="1">
        <f t="array" ref="J1249">SUMPRODUCT((Tablo3[Urun Ad]=I1249)*(Tablo3[Ürün Kar Tutarı]))</f>
        <v>0</v>
      </c>
      <c r="L1249" s="37"/>
    </row>
    <row r="1250" spans="1:12" x14ac:dyDescent="0.25">
      <c r="A1250" s="13"/>
      <c r="B1250" s="9" cm="1">
        <f t="array" ref="B1250">SUMPRODUCT((Tablo3[Personel Ad]=A1250)*(Tablo3[Ürün Kar Tutarı]))</f>
        <v>0</v>
      </c>
      <c r="D1250" s="14"/>
      <c r="F1250" s="9" cm="1">
        <f t="array" ref="F1250">SUMPRODUCT((Tablo3[Şehirler]=E1250)*(Tablo3[Ürün Kar Tutarı]))</f>
        <v>0</v>
      </c>
      <c r="H1250" s="14"/>
      <c r="J1250" s="9" cm="1">
        <f t="array" ref="J1250">SUMPRODUCT((Tablo3[Urun Ad]=I1250)*(Tablo3[Ürün Kar Tutarı]))</f>
        <v>0</v>
      </c>
      <c r="L1250" s="37"/>
    </row>
    <row r="1251" spans="1:12" x14ac:dyDescent="0.25">
      <c r="A1251" s="13"/>
      <c r="B1251" s="9" cm="1">
        <f t="array" ref="B1251">SUMPRODUCT((Tablo3[Personel Ad]=A1251)*(Tablo3[Ürün Kar Tutarı]))</f>
        <v>0</v>
      </c>
      <c r="D1251" s="14"/>
      <c r="F1251" s="9" cm="1">
        <f t="array" ref="F1251">SUMPRODUCT((Tablo3[Şehirler]=E1251)*(Tablo3[Ürün Kar Tutarı]))</f>
        <v>0</v>
      </c>
      <c r="H1251" s="14"/>
      <c r="J1251" s="9" cm="1">
        <f t="array" ref="J1251">SUMPRODUCT((Tablo3[Urun Ad]=I1251)*(Tablo3[Ürün Kar Tutarı]))</f>
        <v>0</v>
      </c>
      <c r="L1251" s="37"/>
    </row>
    <row r="1252" spans="1:12" x14ac:dyDescent="0.25">
      <c r="A1252" s="13"/>
      <c r="B1252" s="9" cm="1">
        <f t="array" ref="B1252">SUMPRODUCT((Tablo3[Personel Ad]=A1252)*(Tablo3[Ürün Kar Tutarı]))</f>
        <v>0</v>
      </c>
      <c r="D1252" s="14"/>
      <c r="F1252" s="9" cm="1">
        <f t="array" ref="F1252">SUMPRODUCT((Tablo3[Şehirler]=E1252)*(Tablo3[Ürün Kar Tutarı]))</f>
        <v>0</v>
      </c>
      <c r="H1252" s="14"/>
      <c r="J1252" s="9" cm="1">
        <f t="array" ref="J1252">SUMPRODUCT((Tablo3[Urun Ad]=I1252)*(Tablo3[Ürün Kar Tutarı]))</f>
        <v>0</v>
      </c>
      <c r="L1252" s="37"/>
    </row>
    <row r="1253" spans="1:12" x14ac:dyDescent="0.25">
      <c r="A1253" s="13"/>
      <c r="B1253" s="9" cm="1">
        <f t="array" ref="B1253">SUMPRODUCT((Tablo3[Personel Ad]=A1253)*(Tablo3[Ürün Kar Tutarı]))</f>
        <v>0</v>
      </c>
      <c r="D1253" s="14"/>
      <c r="F1253" s="9" cm="1">
        <f t="array" ref="F1253">SUMPRODUCT((Tablo3[Şehirler]=E1253)*(Tablo3[Ürün Kar Tutarı]))</f>
        <v>0</v>
      </c>
      <c r="H1253" s="14"/>
      <c r="J1253" s="9" cm="1">
        <f t="array" ref="J1253">SUMPRODUCT((Tablo3[Urun Ad]=I1253)*(Tablo3[Ürün Kar Tutarı]))</f>
        <v>0</v>
      </c>
      <c r="L1253" s="37"/>
    </row>
    <row r="1254" spans="1:12" x14ac:dyDescent="0.25">
      <c r="A1254" s="13"/>
      <c r="B1254" s="9" cm="1">
        <f t="array" ref="B1254">SUMPRODUCT((Tablo3[Personel Ad]=A1254)*(Tablo3[Ürün Kar Tutarı]))</f>
        <v>0</v>
      </c>
      <c r="D1254" s="14"/>
      <c r="F1254" s="9" cm="1">
        <f t="array" ref="F1254">SUMPRODUCT((Tablo3[Şehirler]=E1254)*(Tablo3[Ürün Kar Tutarı]))</f>
        <v>0</v>
      </c>
      <c r="H1254" s="14"/>
      <c r="J1254" s="9" cm="1">
        <f t="array" ref="J1254">SUMPRODUCT((Tablo3[Urun Ad]=I1254)*(Tablo3[Ürün Kar Tutarı]))</f>
        <v>0</v>
      </c>
      <c r="L1254" s="37"/>
    </row>
    <row r="1255" spans="1:12" x14ac:dyDescent="0.25">
      <c r="A1255" s="13"/>
      <c r="B1255" s="9" cm="1">
        <f t="array" ref="B1255">SUMPRODUCT((Tablo3[Personel Ad]=A1255)*(Tablo3[Ürün Kar Tutarı]))</f>
        <v>0</v>
      </c>
      <c r="D1255" s="14"/>
      <c r="F1255" s="9" cm="1">
        <f t="array" ref="F1255">SUMPRODUCT((Tablo3[Şehirler]=E1255)*(Tablo3[Ürün Kar Tutarı]))</f>
        <v>0</v>
      </c>
      <c r="H1255" s="14"/>
      <c r="J1255" s="9" cm="1">
        <f t="array" ref="J1255">SUMPRODUCT((Tablo3[Urun Ad]=I1255)*(Tablo3[Ürün Kar Tutarı]))</f>
        <v>0</v>
      </c>
      <c r="L1255" s="37"/>
    </row>
    <row r="1256" spans="1:12" x14ac:dyDescent="0.25">
      <c r="A1256" s="13"/>
      <c r="B1256" s="9" cm="1">
        <f t="array" ref="B1256">SUMPRODUCT((Tablo3[Personel Ad]=A1256)*(Tablo3[Ürün Kar Tutarı]))</f>
        <v>0</v>
      </c>
      <c r="D1256" s="14"/>
      <c r="F1256" s="9" cm="1">
        <f t="array" ref="F1256">SUMPRODUCT((Tablo3[Şehirler]=E1256)*(Tablo3[Ürün Kar Tutarı]))</f>
        <v>0</v>
      </c>
      <c r="H1256" s="14"/>
      <c r="J1256" s="9" cm="1">
        <f t="array" ref="J1256">SUMPRODUCT((Tablo3[Urun Ad]=I1256)*(Tablo3[Ürün Kar Tutarı]))</f>
        <v>0</v>
      </c>
      <c r="L1256" s="37"/>
    </row>
    <row r="1257" spans="1:12" x14ac:dyDescent="0.25">
      <c r="A1257" s="13"/>
      <c r="B1257" s="9" cm="1">
        <f t="array" ref="B1257">SUMPRODUCT((Tablo3[Personel Ad]=A1257)*(Tablo3[Ürün Kar Tutarı]))</f>
        <v>0</v>
      </c>
      <c r="D1257" s="14"/>
      <c r="F1257" s="9" cm="1">
        <f t="array" ref="F1257">SUMPRODUCT((Tablo3[Şehirler]=E1257)*(Tablo3[Ürün Kar Tutarı]))</f>
        <v>0</v>
      </c>
      <c r="H1257" s="14"/>
      <c r="J1257" s="9" cm="1">
        <f t="array" ref="J1257">SUMPRODUCT((Tablo3[Urun Ad]=I1257)*(Tablo3[Ürün Kar Tutarı]))</f>
        <v>0</v>
      </c>
      <c r="L1257" s="37"/>
    </row>
    <row r="1258" spans="1:12" x14ac:dyDescent="0.25">
      <c r="A1258" s="13"/>
      <c r="B1258" s="9" cm="1">
        <f t="array" ref="B1258">SUMPRODUCT((Tablo3[Personel Ad]=A1258)*(Tablo3[Ürün Kar Tutarı]))</f>
        <v>0</v>
      </c>
      <c r="D1258" s="14"/>
      <c r="F1258" s="9" cm="1">
        <f t="array" ref="F1258">SUMPRODUCT((Tablo3[Şehirler]=E1258)*(Tablo3[Ürün Kar Tutarı]))</f>
        <v>0</v>
      </c>
      <c r="H1258" s="14"/>
      <c r="J1258" s="9" cm="1">
        <f t="array" ref="J1258">SUMPRODUCT((Tablo3[Urun Ad]=I1258)*(Tablo3[Ürün Kar Tutarı]))</f>
        <v>0</v>
      </c>
      <c r="L1258" s="37"/>
    </row>
    <row r="1259" spans="1:12" x14ac:dyDescent="0.25">
      <c r="A1259" s="13"/>
      <c r="B1259" s="9" cm="1">
        <f t="array" ref="B1259">SUMPRODUCT((Tablo3[Personel Ad]=A1259)*(Tablo3[Ürün Kar Tutarı]))</f>
        <v>0</v>
      </c>
      <c r="D1259" s="14"/>
      <c r="F1259" s="9" cm="1">
        <f t="array" ref="F1259">SUMPRODUCT((Tablo3[Şehirler]=E1259)*(Tablo3[Ürün Kar Tutarı]))</f>
        <v>0</v>
      </c>
      <c r="H1259" s="14"/>
      <c r="J1259" s="9" cm="1">
        <f t="array" ref="J1259">SUMPRODUCT((Tablo3[Urun Ad]=I1259)*(Tablo3[Ürün Kar Tutarı]))</f>
        <v>0</v>
      </c>
      <c r="L1259" s="37"/>
    </row>
    <row r="1260" spans="1:12" x14ac:dyDescent="0.25">
      <c r="A1260" s="13"/>
      <c r="B1260" s="9" cm="1">
        <f t="array" ref="B1260">SUMPRODUCT((Tablo3[Personel Ad]=A1260)*(Tablo3[Ürün Kar Tutarı]))</f>
        <v>0</v>
      </c>
      <c r="D1260" s="14"/>
      <c r="F1260" s="9" cm="1">
        <f t="array" ref="F1260">SUMPRODUCT((Tablo3[Şehirler]=E1260)*(Tablo3[Ürün Kar Tutarı]))</f>
        <v>0</v>
      </c>
      <c r="H1260" s="14"/>
      <c r="J1260" s="9" cm="1">
        <f t="array" ref="J1260">SUMPRODUCT((Tablo3[Urun Ad]=I1260)*(Tablo3[Ürün Kar Tutarı]))</f>
        <v>0</v>
      </c>
      <c r="L1260" s="37"/>
    </row>
    <row r="1261" spans="1:12" x14ac:dyDescent="0.25">
      <c r="A1261" s="13"/>
      <c r="B1261" s="9" cm="1">
        <f t="array" ref="B1261">SUMPRODUCT((Tablo3[Personel Ad]=A1261)*(Tablo3[Ürün Kar Tutarı]))</f>
        <v>0</v>
      </c>
      <c r="D1261" s="14"/>
      <c r="F1261" s="9" cm="1">
        <f t="array" ref="F1261">SUMPRODUCT((Tablo3[Şehirler]=E1261)*(Tablo3[Ürün Kar Tutarı]))</f>
        <v>0</v>
      </c>
      <c r="H1261" s="14"/>
      <c r="J1261" s="9" cm="1">
        <f t="array" ref="J1261">SUMPRODUCT((Tablo3[Urun Ad]=I1261)*(Tablo3[Ürün Kar Tutarı]))</f>
        <v>0</v>
      </c>
      <c r="L1261" s="37"/>
    </row>
    <row r="1262" spans="1:12" x14ac:dyDescent="0.25">
      <c r="A1262" s="13"/>
      <c r="B1262" s="9" cm="1">
        <f t="array" ref="B1262">SUMPRODUCT((Tablo3[Personel Ad]=A1262)*(Tablo3[Ürün Kar Tutarı]))</f>
        <v>0</v>
      </c>
      <c r="D1262" s="14"/>
      <c r="F1262" s="9" cm="1">
        <f t="array" ref="F1262">SUMPRODUCT((Tablo3[Şehirler]=E1262)*(Tablo3[Ürün Kar Tutarı]))</f>
        <v>0</v>
      </c>
      <c r="H1262" s="14"/>
      <c r="J1262" s="9" cm="1">
        <f t="array" ref="J1262">SUMPRODUCT((Tablo3[Urun Ad]=I1262)*(Tablo3[Ürün Kar Tutarı]))</f>
        <v>0</v>
      </c>
      <c r="L1262" s="37"/>
    </row>
    <row r="1263" spans="1:12" x14ac:dyDescent="0.25">
      <c r="A1263" s="13"/>
      <c r="B1263" s="9" cm="1">
        <f t="array" ref="B1263">SUMPRODUCT((Tablo3[Personel Ad]=A1263)*(Tablo3[Ürün Kar Tutarı]))</f>
        <v>0</v>
      </c>
      <c r="D1263" s="14"/>
      <c r="F1263" s="9" cm="1">
        <f t="array" ref="F1263">SUMPRODUCT((Tablo3[Şehirler]=E1263)*(Tablo3[Ürün Kar Tutarı]))</f>
        <v>0</v>
      </c>
      <c r="H1263" s="14"/>
      <c r="J1263" s="9" cm="1">
        <f t="array" ref="J1263">SUMPRODUCT((Tablo3[Urun Ad]=I1263)*(Tablo3[Ürün Kar Tutarı]))</f>
        <v>0</v>
      </c>
      <c r="L1263" s="37"/>
    </row>
    <row r="1264" spans="1:12" x14ac:dyDescent="0.25">
      <c r="A1264" s="13"/>
      <c r="B1264" s="9" cm="1">
        <f t="array" ref="B1264">SUMPRODUCT((Tablo3[Personel Ad]=A1264)*(Tablo3[Ürün Kar Tutarı]))</f>
        <v>0</v>
      </c>
      <c r="D1264" s="14"/>
      <c r="F1264" s="9" cm="1">
        <f t="array" ref="F1264">SUMPRODUCT((Tablo3[Şehirler]=E1264)*(Tablo3[Ürün Kar Tutarı]))</f>
        <v>0</v>
      </c>
      <c r="H1264" s="14"/>
      <c r="J1264" s="9" cm="1">
        <f t="array" ref="J1264">SUMPRODUCT((Tablo3[Urun Ad]=I1264)*(Tablo3[Ürün Kar Tutarı]))</f>
        <v>0</v>
      </c>
      <c r="L1264" s="37"/>
    </row>
    <row r="1265" spans="1:12" x14ac:dyDescent="0.25">
      <c r="A1265" s="13"/>
      <c r="B1265" s="9" cm="1">
        <f t="array" ref="B1265">SUMPRODUCT((Tablo3[Personel Ad]=A1265)*(Tablo3[Ürün Kar Tutarı]))</f>
        <v>0</v>
      </c>
      <c r="D1265" s="14"/>
      <c r="F1265" s="9" cm="1">
        <f t="array" ref="F1265">SUMPRODUCT((Tablo3[Şehirler]=E1265)*(Tablo3[Ürün Kar Tutarı]))</f>
        <v>0</v>
      </c>
      <c r="H1265" s="14"/>
      <c r="J1265" s="9" cm="1">
        <f t="array" ref="J1265">SUMPRODUCT((Tablo3[Urun Ad]=I1265)*(Tablo3[Ürün Kar Tutarı]))</f>
        <v>0</v>
      </c>
      <c r="L1265" s="37"/>
    </row>
    <row r="1266" spans="1:12" x14ac:dyDescent="0.25">
      <c r="A1266" s="13"/>
      <c r="B1266" s="9" cm="1">
        <f t="array" ref="B1266">SUMPRODUCT((Tablo3[Personel Ad]=A1266)*(Tablo3[Ürün Kar Tutarı]))</f>
        <v>0</v>
      </c>
      <c r="D1266" s="14"/>
      <c r="F1266" s="9" cm="1">
        <f t="array" ref="F1266">SUMPRODUCT((Tablo3[Şehirler]=E1266)*(Tablo3[Ürün Kar Tutarı]))</f>
        <v>0</v>
      </c>
      <c r="H1266" s="14"/>
      <c r="J1266" s="9" cm="1">
        <f t="array" ref="J1266">SUMPRODUCT((Tablo3[Urun Ad]=I1266)*(Tablo3[Ürün Kar Tutarı]))</f>
        <v>0</v>
      </c>
      <c r="L1266" s="37"/>
    </row>
    <row r="1267" spans="1:12" x14ac:dyDescent="0.25">
      <c r="A1267" s="13"/>
      <c r="B1267" s="9" cm="1">
        <f t="array" ref="B1267">SUMPRODUCT((Tablo3[Personel Ad]=A1267)*(Tablo3[Ürün Kar Tutarı]))</f>
        <v>0</v>
      </c>
      <c r="D1267" s="14"/>
      <c r="F1267" s="9" cm="1">
        <f t="array" ref="F1267">SUMPRODUCT((Tablo3[Şehirler]=E1267)*(Tablo3[Ürün Kar Tutarı]))</f>
        <v>0</v>
      </c>
      <c r="H1267" s="14"/>
      <c r="J1267" s="9" cm="1">
        <f t="array" ref="J1267">SUMPRODUCT((Tablo3[Urun Ad]=I1267)*(Tablo3[Ürün Kar Tutarı]))</f>
        <v>0</v>
      </c>
      <c r="L1267" s="37"/>
    </row>
    <row r="1268" spans="1:12" x14ac:dyDescent="0.25">
      <c r="A1268" s="13"/>
      <c r="B1268" s="9" cm="1">
        <f t="array" ref="B1268">SUMPRODUCT((Tablo3[Personel Ad]=A1268)*(Tablo3[Ürün Kar Tutarı]))</f>
        <v>0</v>
      </c>
      <c r="D1268" s="14"/>
      <c r="F1268" s="9" cm="1">
        <f t="array" ref="F1268">SUMPRODUCT((Tablo3[Şehirler]=E1268)*(Tablo3[Ürün Kar Tutarı]))</f>
        <v>0</v>
      </c>
      <c r="H1268" s="14"/>
      <c r="J1268" s="9" cm="1">
        <f t="array" ref="J1268">SUMPRODUCT((Tablo3[Urun Ad]=I1268)*(Tablo3[Ürün Kar Tutarı]))</f>
        <v>0</v>
      </c>
      <c r="L1268" s="37"/>
    </row>
    <row r="1269" spans="1:12" x14ac:dyDescent="0.25">
      <c r="A1269" s="13"/>
      <c r="B1269" s="9" cm="1">
        <f t="array" ref="B1269">SUMPRODUCT((Tablo3[Personel Ad]=A1269)*(Tablo3[Ürün Kar Tutarı]))</f>
        <v>0</v>
      </c>
      <c r="D1269" s="14"/>
      <c r="F1269" s="9" cm="1">
        <f t="array" ref="F1269">SUMPRODUCT((Tablo3[Şehirler]=E1269)*(Tablo3[Ürün Kar Tutarı]))</f>
        <v>0</v>
      </c>
      <c r="H1269" s="14"/>
      <c r="J1269" s="9" cm="1">
        <f t="array" ref="J1269">SUMPRODUCT((Tablo3[Urun Ad]=I1269)*(Tablo3[Ürün Kar Tutarı]))</f>
        <v>0</v>
      </c>
      <c r="L1269" s="37"/>
    </row>
    <row r="1270" spans="1:12" x14ac:dyDescent="0.25">
      <c r="A1270" s="13"/>
      <c r="B1270" s="9" cm="1">
        <f t="array" ref="B1270">SUMPRODUCT((Tablo3[Personel Ad]=A1270)*(Tablo3[Ürün Kar Tutarı]))</f>
        <v>0</v>
      </c>
      <c r="D1270" s="14"/>
      <c r="F1270" s="9" cm="1">
        <f t="array" ref="F1270">SUMPRODUCT((Tablo3[Şehirler]=E1270)*(Tablo3[Ürün Kar Tutarı]))</f>
        <v>0</v>
      </c>
      <c r="H1270" s="14"/>
      <c r="J1270" s="9" cm="1">
        <f t="array" ref="J1270">SUMPRODUCT((Tablo3[Urun Ad]=I1270)*(Tablo3[Ürün Kar Tutarı]))</f>
        <v>0</v>
      </c>
      <c r="L1270" s="37"/>
    </row>
    <row r="1271" spans="1:12" x14ac:dyDescent="0.25">
      <c r="A1271" s="13"/>
      <c r="B1271" s="9" cm="1">
        <f t="array" ref="B1271">SUMPRODUCT((Tablo3[Personel Ad]=A1271)*(Tablo3[Ürün Kar Tutarı]))</f>
        <v>0</v>
      </c>
      <c r="D1271" s="14"/>
      <c r="F1271" s="9" cm="1">
        <f t="array" ref="F1271">SUMPRODUCT((Tablo3[Şehirler]=E1271)*(Tablo3[Ürün Kar Tutarı]))</f>
        <v>0</v>
      </c>
      <c r="H1271" s="14"/>
      <c r="J1271" s="9" cm="1">
        <f t="array" ref="J1271">SUMPRODUCT((Tablo3[Urun Ad]=I1271)*(Tablo3[Ürün Kar Tutarı]))</f>
        <v>0</v>
      </c>
      <c r="L1271" s="37"/>
    </row>
    <row r="1272" spans="1:12" x14ac:dyDescent="0.25">
      <c r="A1272" s="13"/>
      <c r="B1272" s="9" cm="1">
        <f t="array" ref="B1272">SUMPRODUCT((Tablo3[Personel Ad]=A1272)*(Tablo3[Ürün Kar Tutarı]))</f>
        <v>0</v>
      </c>
      <c r="D1272" s="14"/>
      <c r="F1272" s="9" cm="1">
        <f t="array" ref="F1272">SUMPRODUCT((Tablo3[Şehirler]=E1272)*(Tablo3[Ürün Kar Tutarı]))</f>
        <v>0</v>
      </c>
      <c r="H1272" s="14"/>
      <c r="J1272" s="9" cm="1">
        <f t="array" ref="J1272">SUMPRODUCT((Tablo3[Urun Ad]=I1272)*(Tablo3[Ürün Kar Tutarı]))</f>
        <v>0</v>
      </c>
      <c r="L1272" s="37"/>
    </row>
    <row r="1273" spans="1:12" x14ac:dyDescent="0.25">
      <c r="A1273" s="13"/>
      <c r="B1273" s="9" cm="1">
        <f t="array" ref="B1273">SUMPRODUCT((Tablo3[Personel Ad]=A1273)*(Tablo3[Ürün Kar Tutarı]))</f>
        <v>0</v>
      </c>
      <c r="D1273" s="14"/>
      <c r="F1273" s="9" cm="1">
        <f t="array" ref="F1273">SUMPRODUCT((Tablo3[Şehirler]=E1273)*(Tablo3[Ürün Kar Tutarı]))</f>
        <v>0</v>
      </c>
      <c r="H1273" s="14"/>
      <c r="J1273" s="9" cm="1">
        <f t="array" ref="J1273">SUMPRODUCT((Tablo3[Urun Ad]=I1273)*(Tablo3[Ürün Kar Tutarı]))</f>
        <v>0</v>
      </c>
      <c r="L1273" s="37"/>
    </row>
    <row r="1274" spans="1:12" x14ac:dyDescent="0.25">
      <c r="A1274" s="13"/>
      <c r="B1274" s="9" cm="1">
        <f t="array" ref="B1274">SUMPRODUCT((Tablo3[Personel Ad]=A1274)*(Tablo3[Ürün Kar Tutarı]))</f>
        <v>0</v>
      </c>
      <c r="D1274" s="14"/>
      <c r="F1274" s="9" cm="1">
        <f t="array" ref="F1274">SUMPRODUCT((Tablo3[Şehirler]=E1274)*(Tablo3[Ürün Kar Tutarı]))</f>
        <v>0</v>
      </c>
      <c r="H1274" s="14"/>
      <c r="J1274" s="9" cm="1">
        <f t="array" ref="J1274">SUMPRODUCT((Tablo3[Urun Ad]=I1274)*(Tablo3[Ürün Kar Tutarı]))</f>
        <v>0</v>
      </c>
      <c r="L1274" s="37"/>
    </row>
    <row r="1275" spans="1:12" x14ac:dyDescent="0.25">
      <c r="A1275" s="13"/>
      <c r="B1275" s="9" cm="1">
        <f t="array" ref="B1275">SUMPRODUCT((Tablo3[Personel Ad]=A1275)*(Tablo3[Ürün Kar Tutarı]))</f>
        <v>0</v>
      </c>
      <c r="D1275" s="14"/>
      <c r="F1275" s="9" cm="1">
        <f t="array" ref="F1275">SUMPRODUCT((Tablo3[Şehirler]=E1275)*(Tablo3[Ürün Kar Tutarı]))</f>
        <v>0</v>
      </c>
      <c r="H1275" s="14"/>
      <c r="J1275" s="9" cm="1">
        <f t="array" ref="J1275">SUMPRODUCT((Tablo3[Urun Ad]=I1275)*(Tablo3[Ürün Kar Tutarı]))</f>
        <v>0</v>
      </c>
      <c r="L1275" s="37"/>
    </row>
    <row r="1276" spans="1:12" x14ac:dyDescent="0.25">
      <c r="A1276" s="13"/>
      <c r="B1276" s="9" cm="1">
        <f t="array" ref="B1276">SUMPRODUCT((Tablo3[Personel Ad]=A1276)*(Tablo3[Ürün Kar Tutarı]))</f>
        <v>0</v>
      </c>
      <c r="D1276" s="14"/>
      <c r="F1276" s="9" cm="1">
        <f t="array" ref="F1276">SUMPRODUCT((Tablo3[Şehirler]=E1276)*(Tablo3[Ürün Kar Tutarı]))</f>
        <v>0</v>
      </c>
      <c r="H1276" s="14"/>
      <c r="J1276" s="9" cm="1">
        <f t="array" ref="J1276">SUMPRODUCT((Tablo3[Urun Ad]=I1276)*(Tablo3[Ürün Kar Tutarı]))</f>
        <v>0</v>
      </c>
      <c r="L1276" s="37"/>
    </row>
    <row r="1277" spans="1:12" x14ac:dyDescent="0.25">
      <c r="A1277" s="13"/>
      <c r="B1277" s="9" cm="1">
        <f t="array" ref="B1277">SUMPRODUCT((Tablo3[Personel Ad]=A1277)*(Tablo3[Ürün Kar Tutarı]))</f>
        <v>0</v>
      </c>
      <c r="D1277" s="14"/>
      <c r="F1277" s="9" cm="1">
        <f t="array" ref="F1277">SUMPRODUCT((Tablo3[Şehirler]=E1277)*(Tablo3[Ürün Kar Tutarı]))</f>
        <v>0</v>
      </c>
      <c r="H1277" s="14"/>
      <c r="J1277" s="9" cm="1">
        <f t="array" ref="J1277">SUMPRODUCT((Tablo3[Urun Ad]=I1277)*(Tablo3[Ürün Kar Tutarı]))</f>
        <v>0</v>
      </c>
      <c r="L1277" s="37"/>
    </row>
    <row r="1278" spans="1:12" x14ac:dyDescent="0.25">
      <c r="A1278" s="13"/>
      <c r="B1278" s="9" cm="1">
        <f t="array" ref="B1278">SUMPRODUCT((Tablo3[Personel Ad]=A1278)*(Tablo3[Ürün Kar Tutarı]))</f>
        <v>0</v>
      </c>
      <c r="D1278" s="14"/>
      <c r="F1278" s="9" cm="1">
        <f t="array" ref="F1278">SUMPRODUCT((Tablo3[Şehirler]=E1278)*(Tablo3[Ürün Kar Tutarı]))</f>
        <v>0</v>
      </c>
      <c r="H1278" s="14"/>
      <c r="J1278" s="9" cm="1">
        <f t="array" ref="J1278">SUMPRODUCT((Tablo3[Urun Ad]=I1278)*(Tablo3[Ürün Kar Tutarı]))</f>
        <v>0</v>
      </c>
      <c r="L1278" s="37"/>
    </row>
    <row r="1279" spans="1:12" x14ac:dyDescent="0.25">
      <c r="A1279" s="13"/>
      <c r="B1279" s="9" cm="1">
        <f t="array" ref="B1279">SUMPRODUCT((Tablo3[Personel Ad]=A1279)*(Tablo3[Ürün Kar Tutarı]))</f>
        <v>0</v>
      </c>
      <c r="D1279" s="14"/>
      <c r="F1279" s="9" cm="1">
        <f t="array" ref="F1279">SUMPRODUCT((Tablo3[Şehirler]=E1279)*(Tablo3[Ürün Kar Tutarı]))</f>
        <v>0</v>
      </c>
      <c r="H1279" s="14"/>
      <c r="J1279" s="9" cm="1">
        <f t="array" ref="J1279">SUMPRODUCT((Tablo3[Urun Ad]=I1279)*(Tablo3[Ürün Kar Tutarı]))</f>
        <v>0</v>
      </c>
      <c r="L1279" s="37"/>
    </row>
    <row r="1280" spans="1:12" x14ac:dyDescent="0.25">
      <c r="A1280" s="13"/>
      <c r="B1280" s="9" cm="1">
        <f t="array" ref="B1280">SUMPRODUCT((Tablo3[Personel Ad]=A1280)*(Tablo3[Ürün Kar Tutarı]))</f>
        <v>0</v>
      </c>
      <c r="D1280" s="14"/>
      <c r="F1280" s="9" cm="1">
        <f t="array" ref="F1280">SUMPRODUCT((Tablo3[Şehirler]=E1280)*(Tablo3[Ürün Kar Tutarı]))</f>
        <v>0</v>
      </c>
      <c r="H1280" s="14"/>
      <c r="J1280" s="9" cm="1">
        <f t="array" ref="J1280">SUMPRODUCT((Tablo3[Urun Ad]=I1280)*(Tablo3[Ürün Kar Tutarı]))</f>
        <v>0</v>
      </c>
      <c r="L1280" s="37"/>
    </row>
    <row r="1281" spans="1:12" x14ac:dyDescent="0.25">
      <c r="A1281" s="13"/>
      <c r="B1281" s="9" cm="1">
        <f t="array" ref="B1281">SUMPRODUCT((Tablo3[Personel Ad]=A1281)*(Tablo3[Ürün Kar Tutarı]))</f>
        <v>0</v>
      </c>
      <c r="D1281" s="14"/>
      <c r="F1281" s="9" cm="1">
        <f t="array" ref="F1281">SUMPRODUCT((Tablo3[Şehirler]=E1281)*(Tablo3[Ürün Kar Tutarı]))</f>
        <v>0</v>
      </c>
      <c r="H1281" s="14"/>
      <c r="J1281" s="9" cm="1">
        <f t="array" ref="J1281">SUMPRODUCT((Tablo3[Urun Ad]=I1281)*(Tablo3[Ürün Kar Tutarı]))</f>
        <v>0</v>
      </c>
      <c r="L1281" s="37"/>
    </row>
    <row r="1282" spans="1:12" x14ac:dyDescent="0.25">
      <c r="A1282" s="13"/>
      <c r="B1282" s="9" cm="1">
        <f t="array" ref="B1282">SUMPRODUCT((Tablo3[Personel Ad]=A1282)*(Tablo3[Ürün Kar Tutarı]))</f>
        <v>0</v>
      </c>
      <c r="D1282" s="14"/>
      <c r="F1282" s="9" cm="1">
        <f t="array" ref="F1282">SUMPRODUCT((Tablo3[Şehirler]=E1282)*(Tablo3[Ürün Kar Tutarı]))</f>
        <v>0</v>
      </c>
      <c r="H1282" s="14"/>
      <c r="J1282" s="9" cm="1">
        <f t="array" ref="J1282">SUMPRODUCT((Tablo3[Urun Ad]=I1282)*(Tablo3[Ürün Kar Tutarı]))</f>
        <v>0</v>
      </c>
      <c r="L1282" s="37"/>
    </row>
    <row r="1283" spans="1:12" x14ac:dyDescent="0.25">
      <c r="A1283" s="13"/>
      <c r="B1283" s="9" cm="1">
        <f t="array" ref="B1283">SUMPRODUCT((Tablo3[Personel Ad]=A1283)*(Tablo3[Ürün Kar Tutarı]))</f>
        <v>0</v>
      </c>
      <c r="D1283" s="14"/>
      <c r="F1283" s="9" cm="1">
        <f t="array" ref="F1283">SUMPRODUCT((Tablo3[Şehirler]=E1283)*(Tablo3[Ürün Kar Tutarı]))</f>
        <v>0</v>
      </c>
      <c r="H1283" s="14"/>
      <c r="J1283" s="9" cm="1">
        <f t="array" ref="J1283">SUMPRODUCT((Tablo3[Urun Ad]=I1283)*(Tablo3[Ürün Kar Tutarı]))</f>
        <v>0</v>
      </c>
      <c r="L1283" s="37"/>
    </row>
    <row r="1284" spans="1:12" x14ac:dyDescent="0.25">
      <c r="A1284" s="13"/>
      <c r="B1284" s="9" cm="1">
        <f t="array" ref="B1284">SUMPRODUCT((Tablo3[Personel Ad]=A1284)*(Tablo3[Ürün Kar Tutarı]))</f>
        <v>0</v>
      </c>
      <c r="D1284" s="14"/>
      <c r="F1284" s="9" cm="1">
        <f t="array" ref="F1284">SUMPRODUCT((Tablo3[Şehirler]=E1284)*(Tablo3[Ürün Kar Tutarı]))</f>
        <v>0</v>
      </c>
      <c r="H1284" s="14"/>
      <c r="J1284" s="9" cm="1">
        <f t="array" ref="J1284">SUMPRODUCT((Tablo3[Urun Ad]=I1284)*(Tablo3[Ürün Kar Tutarı]))</f>
        <v>0</v>
      </c>
      <c r="L1284" s="37"/>
    </row>
    <row r="1285" spans="1:12" x14ac:dyDescent="0.25">
      <c r="A1285" s="13"/>
      <c r="B1285" s="9" cm="1">
        <f t="array" ref="B1285">SUMPRODUCT((Tablo3[Personel Ad]=A1285)*(Tablo3[Ürün Kar Tutarı]))</f>
        <v>0</v>
      </c>
      <c r="D1285" s="14"/>
      <c r="F1285" s="9" cm="1">
        <f t="array" ref="F1285">SUMPRODUCT((Tablo3[Şehirler]=E1285)*(Tablo3[Ürün Kar Tutarı]))</f>
        <v>0</v>
      </c>
      <c r="H1285" s="14"/>
      <c r="J1285" s="9" cm="1">
        <f t="array" ref="J1285">SUMPRODUCT((Tablo3[Urun Ad]=I1285)*(Tablo3[Ürün Kar Tutarı]))</f>
        <v>0</v>
      </c>
      <c r="L1285" s="37"/>
    </row>
    <row r="1286" spans="1:12" x14ac:dyDescent="0.25">
      <c r="A1286" s="13"/>
      <c r="B1286" s="9" cm="1">
        <f t="array" ref="B1286">SUMPRODUCT((Tablo3[Personel Ad]=A1286)*(Tablo3[Ürün Kar Tutarı]))</f>
        <v>0</v>
      </c>
      <c r="D1286" s="14"/>
      <c r="F1286" s="9" cm="1">
        <f t="array" ref="F1286">SUMPRODUCT((Tablo3[Şehirler]=E1286)*(Tablo3[Ürün Kar Tutarı]))</f>
        <v>0</v>
      </c>
      <c r="H1286" s="14"/>
      <c r="J1286" s="9" cm="1">
        <f t="array" ref="J1286">SUMPRODUCT((Tablo3[Urun Ad]=I1286)*(Tablo3[Ürün Kar Tutarı]))</f>
        <v>0</v>
      </c>
      <c r="L1286" s="37"/>
    </row>
    <row r="1287" spans="1:12" x14ac:dyDescent="0.25">
      <c r="A1287" s="13"/>
      <c r="B1287" s="9" cm="1">
        <f t="array" ref="B1287">SUMPRODUCT((Tablo3[Personel Ad]=A1287)*(Tablo3[Ürün Kar Tutarı]))</f>
        <v>0</v>
      </c>
      <c r="D1287" s="14"/>
      <c r="F1287" s="9" cm="1">
        <f t="array" ref="F1287">SUMPRODUCT((Tablo3[Şehirler]=E1287)*(Tablo3[Ürün Kar Tutarı]))</f>
        <v>0</v>
      </c>
      <c r="H1287" s="14"/>
      <c r="J1287" s="9" cm="1">
        <f t="array" ref="J1287">SUMPRODUCT((Tablo3[Urun Ad]=I1287)*(Tablo3[Ürün Kar Tutarı]))</f>
        <v>0</v>
      </c>
      <c r="L1287" s="37"/>
    </row>
    <row r="1288" spans="1:12" x14ac:dyDescent="0.25">
      <c r="A1288" s="13"/>
      <c r="B1288" s="9" cm="1">
        <f t="array" ref="B1288">SUMPRODUCT((Tablo3[Personel Ad]=A1288)*(Tablo3[Ürün Kar Tutarı]))</f>
        <v>0</v>
      </c>
      <c r="D1288" s="14"/>
      <c r="F1288" s="9" cm="1">
        <f t="array" ref="F1288">SUMPRODUCT((Tablo3[Şehirler]=E1288)*(Tablo3[Ürün Kar Tutarı]))</f>
        <v>0</v>
      </c>
      <c r="H1288" s="14"/>
      <c r="J1288" s="9" cm="1">
        <f t="array" ref="J1288">SUMPRODUCT((Tablo3[Urun Ad]=I1288)*(Tablo3[Ürün Kar Tutarı]))</f>
        <v>0</v>
      </c>
      <c r="L1288" s="37"/>
    </row>
    <row r="1289" spans="1:12" x14ac:dyDescent="0.25">
      <c r="A1289" s="13"/>
      <c r="B1289" s="9" cm="1">
        <f t="array" ref="B1289">SUMPRODUCT((Tablo3[Personel Ad]=A1289)*(Tablo3[Ürün Kar Tutarı]))</f>
        <v>0</v>
      </c>
      <c r="D1289" s="14"/>
      <c r="F1289" s="9" cm="1">
        <f t="array" ref="F1289">SUMPRODUCT((Tablo3[Şehirler]=E1289)*(Tablo3[Ürün Kar Tutarı]))</f>
        <v>0</v>
      </c>
      <c r="H1289" s="14"/>
      <c r="J1289" s="9" cm="1">
        <f t="array" ref="J1289">SUMPRODUCT((Tablo3[Urun Ad]=I1289)*(Tablo3[Ürün Kar Tutarı]))</f>
        <v>0</v>
      </c>
      <c r="L1289" s="37"/>
    </row>
    <row r="1290" spans="1:12" x14ac:dyDescent="0.25">
      <c r="A1290" s="13"/>
      <c r="B1290" s="9" cm="1">
        <f t="array" ref="B1290">SUMPRODUCT((Tablo3[Personel Ad]=A1290)*(Tablo3[Ürün Kar Tutarı]))</f>
        <v>0</v>
      </c>
      <c r="D1290" s="14"/>
      <c r="F1290" s="9" cm="1">
        <f t="array" ref="F1290">SUMPRODUCT((Tablo3[Şehirler]=E1290)*(Tablo3[Ürün Kar Tutarı]))</f>
        <v>0</v>
      </c>
      <c r="H1290" s="14"/>
      <c r="J1290" s="9" cm="1">
        <f t="array" ref="J1290">SUMPRODUCT((Tablo3[Urun Ad]=I1290)*(Tablo3[Ürün Kar Tutarı]))</f>
        <v>0</v>
      </c>
      <c r="L1290" s="37"/>
    </row>
    <row r="1291" spans="1:12" x14ac:dyDescent="0.25">
      <c r="A1291" s="13"/>
      <c r="B1291" s="9" cm="1">
        <f t="array" ref="B1291">SUMPRODUCT((Tablo3[Personel Ad]=A1291)*(Tablo3[Ürün Kar Tutarı]))</f>
        <v>0</v>
      </c>
      <c r="D1291" s="14"/>
      <c r="F1291" s="9" cm="1">
        <f t="array" ref="F1291">SUMPRODUCT((Tablo3[Şehirler]=E1291)*(Tablo3[Ürün Kar Tutarı]))</f>
        <v>0</v>
      </c>
      <c r="H1291" s="14"/>
      <c r="J1291" s="9" cm="1">
        <f t="array" ref="J1291">SUMPRODUCT((Tablo3[Urun Ad]=I1291)*(Tablo3[Ürün Kar Tutarı]))</f>
        <v>0</v>
      </c>
      <c r="L1291" s="37"/>
    </row>
    <row r="1292" spans="1:12" x14ac:dyDescent="0.25">
      <c r="A1292" s="13"/>
      <c r="B1292" s="9" cm="1">
        <f t="array" ref="B1292">SUMPRODUCT((Tablo3[Personel Ad]=A1292)*(Tablo3[Ürün Kar Tutarı]))</f>
        <v>0</v>
      </c>
      <c r="D1292" s="14"/>
      <c r="F1292" s="9" cm="1">
        <f t="array" ref="F1292">SUMPRODUCT((Tablo3[Şehirler]=E1292)*(Tablo3[Ürün Kar Tutarı]))</f>
        <v>0</v>
      </c>
      <c r="H1292" s="14"/>
      <c r="J1292" s="9" cm="1">
        <f t="array" ref="J1292">SUMPRODUCT((Tablo3[Urun Ad]=I1292)*(Tablo3[Ürün Kar Tutarı]))</f>
        <v>0</v>
      </c>
      <c r="L1292" s="37"/>
    </row>
    <row r="1293" spans="1:12" x14ac:dyDescent="0.25">
      <c r="A1293" s="13"/>
      <c r="B1293" s="9" cm="1">
        <f t="array" ref="B1293">SUMPRODUCT((Tablo3[Personel Ad]=A1293)*(Tablo3[Ürün Kar Tutarı]))</f>
        <v>0</v>
      </c>
      <c r="D1293" s="14"/>
      <c r="F1293" s="9" cm="1">
        <f t="array" ref="F1293">SUMPRODUCT((Tablo3[Şehirler]=E1293)*(Tablo3[Ürün Kar Tutarı]))</f>
        <v>0</v>
      </c>
      <c r="H1293" s="14"/>
      <c r="J1293" s="9" cm="1">
        <f t="array" ref="J1293">SUMPRODUCT((Tablo3[Urun Ad]=I1293)*(Tablo3[Ürün Kar Tutarı]))</f>
        <v>0</v>
      </c>
      <c r="L1293" s="37"/>
    </row>
    <row r="1294" spans="1:12" x14ac:dyDescent="0.25">
      <c r="A1294" s="13"/>
      <c r="B1294" s="9" cm="1">
        <f t="array" ref="B1294">SUMPRODUCT((Tablo3[Personel Ad]=A1294)*(Tablo3[Ürün Kar Tutarı]))</f>
        <v>0</v>
      </c>
      <c r="D1294" s="14"/>
      <c r="F1294" s="9" cm="1">
        <f t="array" ref="F1294">SUMPRODUCT((Tablo3[Şehirler]=E1294)*(Tablo3[Ürün Kar Tutarı]))</f>
        <v>0</v>
      </c>
      <c r="H1294" s="14"/>
      <c r="J1294" s="9" cm="1">
        <f t="array" ref="J1294">SUMPRODUCT((Tablo3[Urun Ad]=I1294)*(Tablo3[Ürün Kar Tutarı]))</f>
        <v>0</v>
      </c>
      <c r="L1294" s="37"/>
    </row>
    <row r="1295" spans="1:12" x14ac:dyDescent="0.25">
      <c r="A1295" s="13"/>
      <c r="B1295" s="9" cm="1">
        <f t="array" ref="B1295">SUMPRODUCT((Tablo3[Personel Ad]=A1295)*(Tablo3[Ürün Kar Tutarı]))</f>
        <v>0</v>
      </c>
      <c r="D1295" s="14"/>
      <c r="F1295" s="9" cm="1">
        <f t="array" ref="F1295">SUMPRODUCT((Tablo3[Şehirler]=E1295)*(Tablo3[Ürün Kar Tutarı]))</f>
        <v>0</v>
      </c>
      <c r="H1295" s="14"/>
      <c r="J1295" s="9" cm="1">
        <f t="array" ref="J1295">SUMPRODUCT((Tablo3[Urun Ad]=I1295)*(Tablo3[Ürün Kar Tutarı]))</f>
        <v>0</v>
      </c>
      <c r="L1295" s="37"/>
    </row>
    <row r="1296" spans="1:12" x14ac:dyDescent="0.25">
      <c r="A1296" s="13"/>
      <c r="B1296" s="9" cm="1">
        <f t="array" ref="B1296">SUMPRODUCT((Tablo3[Personel Ad]=A1296)*(Tablo3[Ürün Kar Tutarı]))</f>
        <v>0</v>
      </c>
      <c r="D1296" s="14"/>
      <c r="F1296" s="9" cm="1">
        <f t="array" ref="F1296">SUMPRODUCT((Tablo3[Şehirler]=E1296)*(Tablo3[Ürün Kar Tutarı]))</f>
        <v>0</v>
      </c>
      <c r="H1296" s="14"/>
      <c r="J1296" s="9" cm="1">
        <f t="array" ref="J1296">SUMPRODUCT((Tablo3[Urun Ad]=I1296)*(Tablo3[Ürün Kar Tutarı]))</f>
        <v>0</v>
      </c>
      <c r="L1296" s="37"/>
    </row>
    <row r="1297" spans="1:12" x14ac:dyDescent="0.25">
      <c r="A1297" s="13"/>
      <c r="B1297" s="9" cm="1">
        <f t="array" ref="B1297">SUMPRODUCT((Tablo3[Personel Ad]=A1297)*(Tablo3[Ürün Kar Tutarı]))</f>
        <v>0</v>
      </c>
      <c r="D1297" s="14"/>
      <c r="F1297" s="9" cm="1">
        <f t="array" ref="F1297">SUMPRODUCT((Tablo3[Şehirler]=E1297)*(Tablo3[Ürün Kar Tutarı]))</f>
        <v>0</v>
      </c>
      <c r="H1297" s="14"/>
      <c r="J1297" s="9" cm="1">
        <f t="array" ref="J1297">SUMPRODUCT((Tablo3[Urun Ad]=I1297)*(Tablo3[Ürün Kar Tutarı]))</f>
        <v>0</v>
      </c>
      <c r="L1297" s="37"/>
    </row>
    <row r="1298" spans="1:12" x14ac:dyDescent="0.25">
      <c r="A1298" s="13"/>
      <c r="B1298" s="9" cm="1">
        <f t="array" ref="B1298">SUMPRODUCT((Tablo3[Personel Ad]=A1298)*(Tablo3[Ürün Kar Tutarı]))</f>
        <v>0</v>
      </c>
      <c r="D1298" s="14"/>
      <c r="F1298" s="9" cm="1">
        <f t="array" ref="F1298">SUMPRODUCT((Tablo3[Şehirler]=E1298)*(Tablo3[Ürün Kar Tutarı]))</f>
        <v>0</v>
      </c>
      <c r="H1298" s="14"/>
      <c r="J1298" s="9" cm="1">
        <f t="array" ref="J1298">SUMPRODUCT((Tablo3[Urun Ad]=I1298)*(Tablo3[Ürün Kar Tutarı]))</f>
        <v>0</v>
      </c>
      <c r="L1298" s="37"/>
    </row>
    <row r="1299" spans="1:12" x14ac:dyDescent="0.25">
      <c r="A1299" s="13"/>
      <c r="B1299" s="9" cm="1">
        <f t="array" ref="B1299">SUMPRODUCT((Tablo3[Personel Ad]=A1299)*(Tablo3[Ürün Kar Tutarı]))</f>
        <v>0</v>
      </c>
      <c r="D1299" s="14"/>
      <c r="F1299" s="9" cm="1">
        <f t="array" ref="F1299">SUMPRODUCT((Tablo3[Şehirler]=E1299)*(Tablo3[Ürün Kar Tutarı]))</f>
        <v>0</v>
      </c>
      <c r="H1299" s="14"/>
      <c r="J1299" s="9" cm="1">
        <f t="array" ref="J1299">SUMPRODUCT((Tablo3[Urun Ad]=I1299)*(Tablo3[Ürün Kar Tutarı]))</f>
        <v>0</v>
      </c>
      <c r="L1299" s="37"/>
    </row>
    <row r="1300" spans="1:12" x14ac:dyDescent="0.25">
      <c r="A1300" s="13"/>
      <c r="B1300" s="9" cm="1">
        <f t="array" ref="B1300">SUMPRODUCT((Tablo3[Personel Ad]=A1300)*(Tablo3[Ürün Kar Tutarı]))</f>
        <v>0</v>
      </c>
      <c r="D1300" s="14"/>
      <c r="F1300" s="9" cm="1">
        <f t="array" ref="F1300">SUMPRODUCT((Tablo3[Şehirler]=E1300)*(Tablo3[Ürün Kar Tutarı]))</f>
        <v>0</v>
      </c>
      <c r="H1300" s="14"/>
      <c r="J1300" s="9" cm="1">
        <f t="array" ref="J1300">SUMPRODUCT((Tablo3[Urun Ad]=I1300)*(Tablo3[Ürün Kar Tutarı]))</f>
        <v>0</v>
      </c>
      <c r="L1300" s="37"/>
    </row>
    <row r="1301" spans="1:12" x14ac:dyDescent="0.25">
      <c r="A1301" s="13"/>
      <c r="B1301" s="9" cm="1">
        <f t="array" ref="B1301">SUMPRODUCT((Tablo3[Personel Ad]=A1301)*(Tablo3[Ürün Kar Tutarı]))</f>
        <v>0</v>
      </c>
      <c r="D1301" s="14"/>
      <c r="F1301" s="9" cm="1">
        <f t="array" ref="F1301">SUMPRODUCT((Tablo3[Şehirler]=E1301)*(Tablo3[Ürün Kar Tutarı]))</f>
        <v>0</v>
      </c>
      <c r="H1301" s="14"/>
      <c r="J1301" s="9" cm="1">
        <f t="array" ref="J1301">SUMPRODUCT((Tablo3[Urun Ad]=I1301)*(Tablo3[Ürün Kar Tutarı]))</f>
        <v>0</v>
      </c>
      <c r="L1301" s="37"/>
    </row>
    <row r="1302" spans="1:12" x14ac:dyDescent="0.25">
      <c r="A1302" s="13"/>
      <c r="B1302" s="9" cm="1">
        <f t="array" ref="B1302">SUMPRODUCT((Tablo3[Personel Ad]=A1302)*(Tablo3[Ürün Kar Tutarı]))</f>
        <v>0</v>
      </c>
      <c r="D1302" s="14"/>
      <c r="F1302" s="9" cm="1">
        <f t="array" ref="F1302">SUMPRODUCT((Tablo3[Şehirler]=E1302)*(Tablo3[Ürün Kar Tutarı]))</f>
        <v>0</v>
      </c>
      <c r="H1302" s="14"/>
      <c r="J1302" s="9" cm="1">
        <f t="array" ref="J1302">SUMPRODUCT((Tablo3[Urun Ad]=I1302)*(Tablo3[Ürün Kar Tutarı]))</f>
        <v>0</v>
      </c>
      <c r="L1302" s="37"/>
    </row>
    <row r="1303" spans="1:12" x14ac:dyDescent="0.25">
      <c r="A1303" s="13"/>
      <c r="B1303" s="9" cm="1">
        <f t="array" ref="B1303">SUMPRODUCT((Tablo3[Personel Ad]=A1303)*(Tablo3[Ürün Kar Tutarı]))</f>
        <v>0</v>
      </c>
      <c r="D1303" s="14"/>
      <c r="F1303" s="9" cm="1">
        <f t="array" ref="F1303">SUMPRODUCT((Tablo3[Şehirler]=E1303)*(Tablo3[Ürün Kar Tutarı]))</f>
        <v>0</v>
      </c>
      <c r="H1303" s="14"/>
      <c r="J1303" s="9" cm="1">
        <f t="array" ref="J1303">SUMPRODUCT((Tablo3[Urun Ad]=I1303)*(Tablo3[Ürün Kar Tutarı]))</f>
        <v>0</v>
      </c>
      <c r="L1303" s="37"/>
    </row>
    <row r="1304" spans="1:12" x14ac:dyDescent="0.25">
      <c r="A1304" s="13"/>
      <c r="B1304" s="9" cm="1">
        <f t="array" ref="B1304">SUMPRODUCT((Tablo3[Personel Ad]=A1304)*(Tablo3[Ürün Kar Tutarı]))</f>
        <v>0</v>
      </c>
      <c r="D1304" s="14"/>
      <c r="F1304" s="9" cm="1">
        <f t="array" ref="F1304">SUMPRODUCT((Tablo3[Şehirler]=E1304)*(Tablo3[Ürün Kar Tutarı]))</f>
        <v>0</v>
      </c>
      <c r="H1304" s="14"/>
      <c r="J1304" s="9" cm="1">
        <f t="array" ref="J1304">SUMPRODUCT((Tablo3[Urun Ad]=I1304)*(Tablo3[Ürün Kar Tutarı]))</f>
        <v>0</v>
      </c>
      <c r="L1304" s="37"/>
    </row>
    <row r="1305" spans="1:12" x14ac:dyDescent="0.25">
      <c r="A1305" s="13"/>
      <c r="B1305" s="9" cm="1">
        <f t="array" ref="B1305">SUMPRODUCT((Tablo3[Personel Ad]=A1305)*(Tablo3[Ürün Kar Tutarı]))</f>
        <v>0</v>
      </c>
      <c r="D1305" s="14"/>
      <c r="F1305" s="9" cm="1">
        <f t="array" ref="F1305">SUMPRODUCT((Tablo3[Şehirler]=E1305)*(Tablo3[Ürün Kar Tutarı]))</f>
        <v>0</v>
      </c>
      <c r="H1305" s="14"/>
      <c r="J1305" s="9" cm="1">
        <f t="array" ref="J1305">SUMPRODUCT((Tablo3[Urun Ad]=I1305)*(Tablo3[Ürün Kar Tutarı]))</f>
        <v>0</v>
      </c>
      <c r="L1305" s="37"/>
    </row>
    <row r="1306" spans="1:12" x14ac:dyDescent="0.25">
      <c r="A1306" s="13"/>
      <c r="B1306" s="9" cm="1">
        <f t="array" ref="B1306">SUMPRODUCT((Tablo3[Personel Ad]=A1306)*(Tablo3[Ürün Kar Tutarı]))</f>
        <v>0</v>
      </c>
      <c r="D1306" s="14"/>
      <c r="F1306" s="9" cm="1">
        <f t="array" ref="F1306">SUMPRODUCT((Tablo3[Şehirler]=E1306)*(Tablo3[Ürün Kar Tutarı]))</f>
        <v>0</v>
      </c>
      <c r="H1306" s="14"/>
      <c r="J1306" s="9" cm="1">
        <f t="array" ref="J1306">SUMPRODUCT((Tablo3[Urun Ad]=I1306)*(Tablo3[Ürün Kar Tutarı]))</f>
        <v>0</v>
      </c>
      <c r="L1306" s="37"/>
    </row>
    <row r="1307" spans="1:12" x14ac:dyDescent="0.25">
      <c r="A1307" s="13"/>
      <c r="B1307" s="9" cm="1">
        <f t="array" ref="B1307">SUMPRODUCT((Tablo3[Personel Ad]=A1307)*(Tablo3[Ürün Kar Tutarı]))</f>
        <v>0</v>
      </c>
      <c r="D1307" s="14"/>
      <c r="F1307" s="9" cm="1">
        <f t="array" ref="F1307">SUMPRODUCT((Tablo3[Şehirler]=E1307)*(Tablo3[Ürün Kar Tutarı]))</f>
        <v>0</v>
      </c>
      <c r="H1307" s="14"/>
      <c r="J1307" s="9" cm="1">
        <f t="array" ref="J1307">SUMPRODUCT((Tablo3[Urun Ad]=I1307)*(Tablo3[Ürün Kar Tutarı]))</f>
        <v>0</v>
      </c>
      <c r="L1307" s="37"/>
    </row>
    <row r="1308" spans="1:12" x14ac:dyDescent="0.25">
      <c r="A1308" s="13"/>
      <c r="B1308" s="9" cm="1">
        <f t="array" ref="B1308">SUMPRODUCT((Tablo3[Personel Ad]=A1308)*(Tablo3[Ürün Kar Tutarı]))</f>
        <v>0</v>
      </c>
      <c r="D1308" s="14"/>
      <c r="F1308" s="9" cm="1">
        <f t="array" ref="F1308">SUMPRODUCT((Tablo3[Şehirler]=E1308)*(Tablo3[Ürün Kar Tutarı]))</f>
        <v>0</v>
      </c>
      <c r="H1308" s="14"/>
      <c r="J1308" s="9" cm="1">
        <f t="array" ref="J1308">SUMPRODUCT((Tablo3[Urun Ad]=I1308)*(Tablo3[Ürün Kar Tutarı]))</f>
        <v>0</v>
      </c>
      <c r="L1308" s="37"/>
    </row>
    <row r="1309" spans="1:12" x14ac:dyDescent="0.25">
      <c r="A1309" s="13"/>
      <c r="B1309" s="9" cm="1">
        <f t="array" ref="B1309">SUMPRODUCT((Tablo3[Personel Ad]=A1309)*(Tablo3[Ürün Kar Tutarı]))</f>
        <v>0</v>
      </c>
      <c r="D1309" s="14"/>
      <c r="F1309" s="9" cm="1">
        <f t="array" ref="F1309">SUMPRODUCT((Tablo3[Şehirler]=E1309)*(Tablo3[Ürün Kar Tutarı]))</f>
        <v>0</v>
      </c>
      <c r="H1309" s="14"/>
      <c r="J1309" s="9" cm="1">
        <f t="array" ref="J1309">SUMPRODUCT((Tablo3[Urun Ad]=I1309)*(Tablo3[Ürün Kar Tutarı]))</f>
        <v>0</v>
      </c>
      <c r="L1309" s="37"/>
    </row>
    <row r="1310" spans="1:12" x14ac:dyDescent="0.25">
      <c r="A1310" s="13"/>
      <c r="B1310" s="9" cm="1">
        <f t="array" ref="B1310">SUMPRODUCT((Tablo3[Personel Ad]=A1310)*(Tablo3[Ürün Kar Tutarı]))</f>
        <v>0</v>
      </c>
      <c r="D1310" s="14"/>
      <c r="F1310" s="9" cm="1">
        <f t="array" ref="F1310">SUMPRODUCT((Tablo3[Şehirler]=E1310)*(Tablo3[Ürün Kar Tutarı]))</f>
        <v>0</v>
      </c>
      <c r="H1310" s="14"/>
      <c r="J1310" s="9" cm="1">
        <f t="array" ref="J1310">SUMPRODUCT((Tablo3[Urun Ad]=I1310)*(Tablo3[Ürün Kar Tutarı]))</f>
        <v>0</v>
      </c>
      <c r="L1310" s="37"/>
    </row>
    <row r="1311" spans="1:12" x14ac:dyDescent="0.25">
      <c r="A1311" s="13"/>
      <c r="B1311" s="9" cm="1">
        <f t="array" ref="B1311">SUMPRODUCT((Tablo3[Personel Ad]=A1311)*(Tablo3[Ürün Kar Tutarı]))</f>
        <v>0</v>
      </c>
      <c r="D1311" s="14"/>
      <c r="F1311" s="9" cm="1">
        <f t="array" ref="F1311">SUMPRODUCT((Tablo3[Şehirler]=E1311)*(Tablo3[Ürün Kar Tutarı]))</f>
        <v>0</v>
      </c>
      <c r="H1311" s="14"/>
      <c r="J1311" s="9" cm="1">
        <f t="array" ref="J1311">SUMPRODUCT((Tablo3[Urun Ad]=I1311)*(Tablo3[Ürün Kar Tutarı]))</f>
        <v>0</v>
      </c>
      <c r="L1311" s="37"/>
    </row>
    <row r="1312" spans="1:12" x14ac:dyDescent="0.25">
      <c r="A1312" s="13"/>
      <c r="B1312" s="9" cm="1">
        <f t="array" ref="B1312">SUMPRODUCT((Tablo3[Personel Ad]=A1312)*(Tablo3[Ürün Kar Tutarı]))</f>
        <v>0</v>
      </c>
      <c r="D1312" s="14"/>
      <c r="F1312" s="9" cm="1">
        <f t="array" ref="F1312">SUMPRODUCT((Tablo3[Şehirler]=E1312)*(Tablo3[Ürün Kar Tutarı]))</f>
        <v>0</v>
      </c>
      <c r="H1312" s="14"/>
      <c r="J1312" s="9" cm="1">
        <f t="array" ref="J1312">SUMPRODUCT((Tablo3[Urun Ad]=I1312)*(Tablo3[Ürün Kar Tutarı]))</f>
        <v>0</v>
      </c>
      <c r="L1312" s="37"/>
    </row>
    <row r="1313" spans="1:12" x14ac:dyDescent="0.25">
      <c r="A1313" s="13"/>
      <c r="B1313" s="9" cm="1">
        <f t="array" ref="B1313">SUMPRODUCT((Tablo3[Personel Ad]=A1313)*(Tablo3[Ürün Kar Tutarı]))</f>
        <v>0</v>
      </c>
      <c r="D1313" s="14"/>
      <c r="F1313" s="9" cm="1">
        <f t="array" ref="F1313">SUMPRODUCT((Tablo3[Şehirler]=E1313)*(Tablo3[Ürün Kar Tutarı]))</f>
        <v>0</v>
      </c>
      <c r="H1313" s="14"/>
      <c r="J1313" s="9" cm="1">
        <f t="array" ref="J1313">SUMPRODUCT((Tablo3[Urun Ad]=I1313)*(Tablo3[Ürün Kar Tutarı]))</f>
        <v>0</v>
      </c>
      <c r="L1313" s="37"/>
    </row>
    <row r="1314" spans="1:12" x14ac:dyDescent="0.25">
      <c r="A1314" s="13"/>
      <c r="B1314" s="9" cm="1">
        <f t="array" ref="B1314">SUMPRODUCT((Tablo3[Personel Ad]=A1314)*(Tablo3[Ürün Kar Tutarı]))</f>
        <v>0</v>
      </c>
      <c r="D1314" s="14"/>
      <c r="F1314" s="9" cm="1">
        <f t="array" ref="F1314">SUMPRODUCT((Tablo3[Şehirler]=E1314)*(Tablo3[Ürün Kar Tutarı]))</f>
        <v>0</v>
      </c>
      <c r="H1314" s="14"/>
      <c r="J1314" s="9" cm="1">
        <f t="array" ref="J1314">SUMPRODUCT((Tablo3[Urun Ad]=I1314)*(Tablo3[Ürün Kar Tutarı]))</f>
        <v>0</v>
      </c>
      <c r="L1314" s="37"/>
    </row>
    <row r="1315" spans="1:12" x14ac:dyDescent="0.25">
      <c r="A1315" s="13"/>
      <c r="B1315" s="9" cm="1">
        <f t="array" ref="B1315">SUMPRODUCT((Tablo3[Personel Ad]=A1315)*(Tablo3[Ürün Kar Tutarı]))</f>
        <v>0</v>
      </c>
      <c r="D1315" s="14"/>
      <c r="F1315" s="9" cm="1">
        <f t="array" ref="F1315">SUMPRODUCT((Tablo3[Şehirler]=E1315)*(Tablo3[Ürün Kar Tutarı]))</f>
        <v>0</v>
      </c>
      <c r="H1315" s="14"/>
      <c r="J1315" s="9" cm="1">
        <f t="array" ref="J1315">SUMPRODUCT((Tablo3[Urun Ad]=I1315)*(Tablo3[Ürün Kar Tutarı]))</f>
        <v>0</v>
      </c>
      <c r="L1315" s="37"/>
    </row>
    <row r="1316" spans="1:12" x14ac:dyDescent="0.25">
      <c r="A1316" s="13"/>
      <c r="B1316" s="9" cm="1">
        <f t="array" ref="B1316">SUMPRODUCT((Tablo3[Personel Ad]=A1316)*(Tablo3[Ürün Kar Tutarı]))</f>
        <v>0</v>
      </c>
      <c r="D1316" s="14"/>
      <c r="F1316" s="9" cm="1">
        <f t="array" ref="F1316">SUMPRODUCT((Tablo3[Şehirler]=E1316)*(Tablo3[Ürün Kar Tutarı]))</f>
        <v>0</v>
      </c>
      <c r="H1316" s="14"/>
      <c r="J1316" s="9" cm="1">
        <f t="array" ref="J1316">SUMPRODUCT((Tablo3[Urun Ad]=I1316)*(Tablo3[Ürün Kar Tutarı]))</f>
        <v>0</v>
      </c>
      <c r="L1316" s="37"/>
    </row>
    <row r="1317" spans="1:12" x14ac:dyDescent="0.25">
      <c r="A1317" s="13"/>
      <c r="B1317" s="9" cm="1">
        <f t="array" ref="B1317">SUMPRODUCT((Tablo3[Personel Ad]=A1317)*(Tablo3[Ürün Kar Tutarı]))</f>
        <v>0</v>
      </c>
      <c r="D1317" s="14"/>
      <c r="F1317" s="9" cm="1">
        <f t="array" ref="F1317">SUMPRODUCT((Tablo3[Şehirler]=E1317)*(Tablo3[Ürün Kar Tutarı]))</f>
        <v>0</v>
      </c>
      <c r="H1317" s="14"/>
      <c r="J1317" s="9" cm="1">
        <f t="array" ref="J1317">SUMPRODUCT((Tablo3[Urun Ad]=I1317)*(Tablo3[Ürün Kar Tutarı]))</f>
        <v>0</v>
      </c>
      <c r="L1317" s="37"/>
    </row>
    <row r="1318" spans="1:12" x14ac:dyDescent="0.25">
      <c r="A1318" s="13"/>
      <c r="B1318" s="9" cm="1">
        <f t="array" ref="B1318">SUMPRODUCT((Tablo3[Personel Ad]=A1318)*(Tablo3[Ürün Kar Tutarı]))</f>
        <v>0</v>
      </c>
      <c r="D1318" s="14"/>
      <c r="F1318" s="9" cm="1">
        <f t="array" ref="F1318">SUMPRODUCT((Tablo3[Şehirler]=E1318)*(Tablo3[Ürün Kar Tutarı]))</f>
        <v>0</v>
      </c>
      <c r="H1318" s="14"/>
      <c r="J1318" s="9" cm="1">
        <f t="array" ref="J1318">SUMPRODUCT((Tablo3[Urun Ad]=I1318)*(Tablo3[Ürün Kar Tutarı]))</f>
        <v>0</v>
      </c>
      <c r="L1318" s="37"/>
    </row>
    <row r="1319" spans="1:12" x14ac:dyDescent="0.25">
      <c r="A1319" s="13"/>
      <c r="B1319" s="9" cm="1">
        <f t="array" ref="B1319">SUMPRODUCT((Tablo3[Personel Ad]=A1319)*(Tablo3[Ürün Kar Tutarı]))</f>
        <v>0</v>
      </c>
      <c r="D1319" s="14"/>
      <c r="F1319" s="9" cm="1">
        <f t="array" ref="F1319">SUMPRODUCT((Tablo3[Şehirler]=E1319)*(Tablo3[Ürün Kar Tutarı]))</f>
        <v>0</v>
      </c>
      <c r="H1319" s="14"/>
      <c r="J1319" s="9" cm="1">
        <f t="array" ref="J1319">SUMPRODUCT((Tablo3[Urun Ad]=I1319)*(Tablo3[Ürün Kar Tutarı]))</f>
        <v>0</v>
      </c>
      <c r="L1319" s="37"/>
    </row>
    <row r="1320" spans="1:12" x14ac:dyDescent="0.25">
      <c r="A1320" s="13"/>
      <c r="B1320" s="9" cm="1">
        <f t="array" ref="B1320">SUMPRODUCT((Tablo3[Personel Ad]=A1320)*(Tablo3[Ürün Kar Tutarı]))</f>
        <v>0</v>
      </c>
      <c r="D1320" s="14"/>
      <c r="F1320" s="9" cm="1">
        <f t="array" ref="F1320">SUMPRODUCT((Tablo3[Şehirler]=E1320)*(Tablo3[Ürün Kar Tutarı]))</f>
        <v>0</v>
      </c>
      <c r="H1320" s="14"/>
      <c r="J1320" s="9" cm="1">
        <f t="array" ref="J1320">SUMPRODUCT((Tablo3[Urun Ad]=I1320)*(Tablo3[Ürün Kar Tutarı]))</f>
        <v>0</v>
      </c>
      <c r="L1320" s="37"/>
    </row>
    <row r="1321" spans="1:12" x14ac:dyDescent="0.25">
      <c r="A1321" s="13"/>
      <c r="B1321" s="9" cm="1">
        <f t="array" ref="B1321">SUMPRODUCT((Tablo3[Personel Ad]=A1321)*(Tablo3[Ürün Kar Tutarı]))</f>
        <v>0</v>
      </c>
      <c r="D1321" s="14"/>
      <c r="F1321" s="9" cm="1">
        <f t="array" ref="F1321">SUMPRODUCT((Tablo3[Şehirler]=E1321)*(Tablo3[Ürün Kar Tutarı]))</f>
        <v>0</v>
      </c>
      <c r="H1321" s="14"/>
      <c r="J1321" s="9" cm="1">
        <f t="array" ref="J1321">SUMPRODUCT((Tablo3[Urun Ad]=I1321)*(Tablo3[Ürün Kar Tutarı]))</f>
        <v>0</v>
      </c>
      <c r="L1321" s="37"/>
    </row>
    <row r="1322" spans="1:12" x14ac:dyDescent="0.25">
      <c r="A1322" s="13"/>
      <c r="B1322" s="9" cm="1">
        <f t="array" ref="B1322">SUMPRODUCT((Tablo3[Personel Ad]=A1322)*(Tablo3[Ürün Kar Tutarı]))</f>
        <v>0</v>
      </c>
      <c r="D1322" s="14"/>
      <c r="F1322" s="9" cm="1">
        <f t="array" ref="F1322">SUMPRODUCT((Tablo3[Şehirler]=E1322)*(Tablo3[Ürün Kar Tutarı]))</f>
        <v>0</v>
      </c>
      <c r="H1322" s="14"/>
      <c r="J1322" s="9" cm="1">
        <f t="array" ref="J1322">SUMPRODUCT((Tablo3[Urun Ad]=I1322)*(Tablo3[Ürün Kar Tutarı]))</f>
        <v>0</v>
      </c>
      <c r="L1322" s="37"/>
    </row>
    <row r="1323" spans="1:12" x14ac:dyDescent="0.25">
      <c r="A1323" s="13"/>
      <c r="B1323" s="9" cm="1">
        <f t="array" ref="B1323">SUMPRODUCT((Tablo3[Personel Ad]=A1323)*(Tablo3[Ürün Kar Tutarı]))</f>
        <v>0</v>
      </c>
      <c r="D1323" s="14"/>
      <c r="F1323" s="9" cm="1">
        <f t="array" ref="F1323">SUMPRODUCT((Tablo3[Şehirler]=E1323)*(Tablo3[Ürün Kar Tutarı]))</f>
        <v>0</v>
      </c>
      <c r="H1323" s="14"/>
      <c r="J1323" s="9" cm="1">
        <f t="array" ref="J1323">SUMPRODUCT((Tablo3[Urun Ad]=I1323)*(Tablo3[Ürün Kar Tutarı]))</f>
        <v>0</v>
      </c>
      <c r="L1323" s="37"/>
    </row>
    <row r="1324" spans="1:12" x14ac:dyDescent="0.25">
      <c r="A1324" s="13"/>
      <c r="B1324" s="9" cm="1">
        <f t="array" ref="B1324">SUMPRODUCT((Tablo3[Personel Ad]=A1324)*(Tablo3[Ürün Kar Tutarı]))</f>
        <v>0</v>
      </c>
      <c r="D1324" s="14"/>
      <c r="F1324" s="9" cm="1">
        <f t="array" ref="F1324">SUMPRODUCT((Tablo3[Şehirler]=E1324)*(Tablo3[Ürün Kar Tutarı]))</f>
        <v>0</v>
      </c>
      <c r="H1324" s="14"/>
      <c r="J1324" s="9" cm="1">
        <f t="array" ref="J1324">SUMPRODUCT((Tablo3[Urun Ad]=I1324)*(Tablo3[Ürün Kar Tutarı]))</f>
        <v>0</v>
      </c>
      <c r="L1324" s="37"/>
    </row>
    <row r="1325" spans="1:12" x14ac:dyDescent="0.25">
      <c r="A1325" s="13"/>
      <c r="B1325" s="9" cm="1">
        <f t="array" ref="B1325">SUMPRODUCT((Tablo3[Personel Ad]=A1325)*(Tablo3[Ürün Kar Tutarı]))</f>
        <v>0</v>
      </c>
      <c r="D1325" s="14"/>
      <c r="F1325" s="9" cm="1">
        <f t="array" ref="F1325">SUMPRODUCT((Tablo3[Şehirler]=E1325)*(Tablo3[Ürün Kar Tutarı]))</f>
        <v>0</v>
      </c>
      <c r="H1325" s="14"/>
      <c r="J1325" s="9" cm="1">
        <f t="array" ref="J1325">SUMPRODUCT((Tablo3[Urun Ad]=I1325)*(Tablo3[Ürün Kar Tutarı]))</f>
        <v>0</v>
      </c>
      <c r="L1325" s="37"/>
    </row>
    <row r="1326" spans="1:12" x14ac:dyDescent="0.25">
      <c r="A1326" s="13"/>
      <c r="B1326" s="9" cm="1">
        <f t="array" ref="B1326">SUMPRODUCT((Tablo3[Personel Ad]=A1326)*(Tablo3[Ürün Kar Tutarı]))</f>
        <v>0</v>
      </c>
      <c r="D1326" s="14"/>
      <c r="F1326" s="9" cm="1">
        <f t="array" ref="F1326">SUMPRODUCT((Tablo3[Şehirler]=E1326)*(Tablo3[Ürün Kar Tutarı]))</f>
        <v>0</v>
      </c>
      <c r="H1326" s="14"/>
      <c r="J1326" s="9" cm="1">
        <f t="array" ref="J1326">SUMPRODUCT((Tablo3[Urun Ad]=I1326)*(Tablo3[Ürün Kar Tutarı]))</f>
        <v>0</v>
      </c>
      <c r="L1326" s="37"/>
    </row>
    <row r="1327" spans="1:12" x14ac:dyDescent="0.25">
      <c r="A1327" s="13"/>
      <c r="B1327" s="9" cm="1">
        <f t="array" ref="B1327">SUMPRODUCT((Tablo3[Personel Ad]=A1327)*(Tablo3[Ürün Kar Tutarı]))</f>
        <v>0</v>
      </c>
      <c r="D1327" s="14"/>
      <c r="F1327" s="9" cm="1">
        <f t="array" ref="F1327">SUMPRODUCT((Tablo3[Şehirler]=E1327)*(Tablo3[Ürün Kar Tutarı]))</f>
        <v>0</v>
      </c>
      <c r="H1327" s="14"/>
      <c r="J1327" s="9" cm="1">
        <f t="array" ref="J1327">SUMPRODUCT((Tablo3[Urun Ad]=I1327)*(Tablo3[Ürün Kar Tutarı]))</f>
        <v>0</v>
      </c>
      <c r="L1327" s="37"/>
    </row>
    <row r="1328" spans="1:12" x14ac:dyDescent="0.25">
      <c r="A1328" s="13"/>
      <c r="B1328" s="9" cm="1">
        <f t="array" ref="B1328">SUMPRODUCT((Tablo3[Personel Ad]=A1328)*(Tablo3[Ürün Kar Tutarı]))</f>
        <v>0</v>
      </c>
      <c r="D1328" s="14"/>
      <c r="F1328" s="9" cm="1">
        <f t="array" ref="F1328">SUMPRODUCT((Tablo3[Şehirler]=E1328)*(Tablo3[Ürün Kar Tutarı]))</f>
        <v>0</v>
      </c>
      <c r="H1328" s="14"/>
      <c r="J1328" s="9" cm="1">
        <f t="array" ref="J1328">SUMPRODUCT((Tablo3[Urun Ad]=I1328)*(Tablo3[Ürün Kar Tutarı]))</f>
        <v>0</v>
      </c>
      <c r="L1328" s="37"/>
    </row>
    <row r="1329" spans="1:12" x14ac:dyDescent="0.25">
      <c r="A1329" s="13"/>
      <c r="B1329" s="9" cm="1">
        <f t="array" ref="B1329">SUMPRODUCT((Tablo3[Personel Ad]=A1329)*(Tablo3[Ürün Kar Tutarı]))</f>
        <v>0</v>
      </c>
      <c r="D1329" s="14"/>
      <c r="F1329" s="9" cm="1">
        <f t="array" ref="F1329">SUMPRODUCT((Tablo3[Şehirler]=E1329)*(Tablo3[Ürün Kar Tutarı]))</f>
        <v>0</v>
      </c>
      <c r="H1329" s="14"/>
      <c r="J1329" s="9" cm="1">
        <f t="array" ref="J1329">SUMPRODUCT((Tablo3[Urun Ad]=I1329)*(Tablo3[Ürün Kar Tutarı]))</f>
        <v>0</v>
      </c>
      <c r="L1329" s="37"/>
    </row>
    <row r="1330" spans="1:12" x14ac:dyDescent="0.25">
      <c r="A1330" s="13"/>
      <c r="B1330" s="9" cm="1">
        <f t="array" ref="B1330">SUMPRODUCT((Tablo3[Personel Ad]=A1330)*(Tablo3[Ürün Kar Tutarı]))</f>
        <v>0</v>
      </c>
      <c r="D1330" s="14"/>
      <c r="F1330" s="9" cm="1">
        <f t="array" ref="F1330">SUMPRODUCT((Tablo3[Şehirler]=E1330)*(Tablo3[Ürün Kar Tutarı]))</f>
        <v>0</v>
      </c>
      <c r="H1330" s="14"/>
      <c r="J1330" s="9" cm="1">
        <f t="array" ref="J1330">SUMPRODUCT((Tablo3[Urun Ad]=I1330)*(Tablo3[Ürün Kar Tutarı]))</f>
        <v>0</v>
      </c>
      <c r="L1330" s="37"/>
    </row>
    <row r="1331" spans="1:12" x14ac:dyDescent="0.25">
      <c r="A1331" s="13"/>
      <c r="B1331" s="9" cm="1">
        <f t="array" ref="B1331">SUMPRODUCT((Tablo3[Personel Ad]=A1331)*(Tablo3[Ürün Kar Tutarı]))</f>
        <v>0</v>
      </c>
      <c r="D1331" s="14"/>
      <c r="F1331" s="9" cm="1">
        <f t="array" ref="F1331">SUMPRODUCT((Tablo3[Şehirler]=E1331)*(Tablo3[Ürün Kar Tutarı]))</f>
        <v>0</v>
      </c>
      <c r="H1331" s="14"/>
      <c r="J1331" s="9" cm="1">
        <f t="array" ref="J1331">SUMPRODUCT((Tablo3[Urun Ad]=I1331)*(Tablo3[Ürün Kar Tutarı]))</f>
        <v>0</v>
      </c>
      <c r="L1331" s="37"/>
    </row>
    <row r="1332" spans="1:12" x14ac:dyDescent="0.25">
      <c r="A1332" s="13"/>
      <c r="B1332" s="9" cm="1">
        <f t="array" ref="B1332">SUMPRODUCT((Tablo3[Personel Ad]=A1332)*(Tablo3[Ürün Kar Tutarı]))</f>
        <v>0</v>
      </c>
      <c r="D1332" s="14"/>
      <c r="F1332" s="9" cm="1">
        <f t="array" ref="F1332">SUMPRODUCT((Tablo3[Şehirler]=E1332)*(Tablo3[Ürün Kar Tutarı]))</f>
        <v>0</v>
      </c>
      <c r="H1332" s="14"/>
      <c r="J1332" s="9" cm="1">
        <f t="array" ref="J1332">SUMPRODUCT((Tablo3[Urun Ad]=I1332)*(Tablo3[Ürün Kar Tutarı]))</f>
        <v>0</v>
      </c>
      <c r="L1332" s="37"/>
    </row>
    <row r="1333" spans="1:12" x14ac:dyDescent="0.25">
      <c r="A1333" s="13"/>
      <c r="B1333" s="9" cm="1">
        <f t="array" ref="B1333">SUMPRODUCT((Tablo3[Personel Ad]=A1333)*(Tablo3[Ürün Kar Tutarı]))</f>
        <v>0</v>
      </c>
      <c r="D1333" s="14"/>
      <c r="F1333" s="9" cm="1">
        <f t="array" ref="F1333">SUMPRODUCT((Tablo3[Şehirler]=E1333)*(Tablo3[Ürün Kar Tutarı]))</f>
        <v>0</v>
      </c>
      <c r="H1333" s="14"/>
      <c r="J1333" s="9" cm="1">
        <f t="array" ref="J1333">SUMPRODUCT((Tablo3[Urun Ad]=I1333)*(Tablo3[Ürün Kar Tutarı]))</f>
        <v>0</v>
      </c>
      <c r="L1333" s="37"/>
    </row>
    <row r="1334" spans="1:12" x14ac:dyDescent="0.25">
      <c r="A1334" s="13"/>
      <c r="B1334" s="9" cm="1">
        <f t="array" ref="B1334">SUMPRODUCT((Tablo3[Personel Ad]=A1334)*(Tablo3[Ürün Kar Tutarı]))</f>
        <v>0</v>
      </c>
      <c r="D1334" s="14"/>
      <c r="F1334" s="9" cm="1">
        <f t="array" ref="F1334">SUMPRODUCT((Tablo3[Şehirler]=E1334)*(Tablo3[Ürün Kar Tutarı]))</f>
        <v>0</v>
      </c>
      <c r="H1334" s="14"/>
      <c r="J1334" s="9" cm="1">
        <f t="array" ref="J1334">SUMPRODUCT((Tablo3[Urun Ad]=I1334)*(Tablo3[Ürün Kar Tutarı]))</f>
        <v>0</v>
      </c>
      <c r="L1334" s="37"/>
    </row>
    <row r="1335" spans="1:12" x14ac:dyDescent="0.25">
      <c r="A1335" s="13"/>
      <c r="B1335" s="9" cm="1">
        <f t="array" ref="B1335">SUMPRODUCT((Tablo3[Personel Ad]=A1335)*(Tablo3[Ürün Kar Tutarı]))</f>
        <v>0</v>
      </c>
      <c r="D1335" s="14"/>
      <c r="F1335" s="9" cm="1">
        <f t="array" ref="F1335">SUMPRODUCT((Tablo3[Şehirler]=E1335)*(Tablo3[Ürün Kar Tutarı]))</f>
        <v>0</v>
      </c>
      <c r="H1335" s="14"/>
      <c r="J1335" s="9" cm="1">
        <f t="array" ref="J1335">SUMPRODUCT((Tablo3[Urun Ad]=I1335)*(Tablo3[Ürün Kar Tutarı]))</f>
        <v>0</v>
      </c>
      <c r="L1335" s="37"/>
    </row>
    <row r="1336" spans="1:12" x14ac:dyDescent="0.25">
      <c r="A1336" s="13"/>
      <c r="B1336" s="9" cm="1">
        <f t="array" ref="B1336">SUMPRODUCT((Tablo3[Personel Ad]=A1336)*(Tablo3[Ürün Kar Tutarı]))</f>
        <v>0</v>
      </c>
      <c r="D1336" s="14"/>
      <c r="F1336" s="9" cm="1">
        <f t="array" ref="F1336">SUMPRODUCT((Tablo3[Şehirler]=E1336)*(Tablo3[Ürün Kar Tutarı]))</f>
        <v>0</v>
      </c>
      <c r="H1336" s="14"/>
      <c r="J1336" s="9" cm="1">
        <f t="array" ref="J1336">SUMPRODUCT((Tablo3[Urun Ad]=I1336)*(Tablo3[Ürün Kar Tutarı]))</f>
        <v>0</v>
      </c>
      <c r="L1336" s="37"/>
    </row>
    <row r="1337" spans="1:12" x14ac:dyDescent="0.25">
      <c r="A1337" s="13"/>
      <c r="B1337" s="9" cm="1">
        <f t="array" ref="B1337">SUMPRODUCT((Tablo3[Personel Ad]=A1337)*(Tablo3[Ürün Kar Tutarı]))</f>
        <v>0</v>
      </c>
      <c r="D1337" s="14"/>
      <c r="F1337" s="9" cm="1">
        <f t="array" ref="F1337">SUMPRODUCT((Tablo3[Şehirler]=E1337)*(Tablo3[Ürün Kar Tutarı]))</f>
        <v>0</v>
      </c>
      <c r="H1337" s="14"/>
      <c r="J1337" s="9" cm="1">
        <f t="array" ref="J1337">SUMPRODUCT((Tablo3[Urun Ad]=I1337)*(Tablo3[Ürün Kar Tutarı]))</f>
        <v>0</v>
      </c>
      <c r="L1337" s="37"/>
    </row>
    <row r="1338" spans="1:12" x14ac:dyDescent="0.25">
      <c r="A1338" s="13"/>
      <c r="B1338" s="9" cm="1">
        <f t="array" ref="B1338">SUMPRODUCT((Tablo3[Personel Ad]=A1338)*(Tablo3[Ürün Kar Tutarı]))</f>
        <v>0</v>
      </c>
      <c r="D1338" s="14"/>
      <c r="F1338" s="9" cm="1">
        <f t="array" ref="F1338">SUMPRODUCT((Tablo3[Şehirler]=E1338)*(Tablo3[Ürün Kar Tutarı]))</f>
        <v>0</v>
      </c>
      <c r="H1338" s="14"/>
      <c r="J1338" s="9" cm="1">
        <f t="array" ref="J1338">SUMPRODUCT((Tablo3[Urun Ad]=I1338)*(Tablo3[Ürün Kar Tutarı]))</f>
        <v>0</v>
      </c>
      <c r="L1338" s="37"/>
    </row>
    <row r="1339" spans="1:12" x14ac:dyDescent="0.25">
      <c r="A1339" s="13"/>
      <c r="B1339" s="9" cm="1">
        <f t="array" ref="B1339">SUMPRODUCT((Tablo3[Personel Ad]=A1339)*(Tablo3[Ürün Kar Tutarı]))</f>
        <v>0</v>
      </c>
      <c r="D1339" s="14"/>
      <c r="F1339" s="9" cm="1">
        <f t="array" ref="F1339">SUMPRODUCT((Tablo3[Şehirler]=E1339)*(Tablo3[Ürün Kar Tutarı]))</f>
        <v>0</v>
      </c>
      <c r="H1339" s="14"/>
      <c r="J1339" s="9" cm="1">
        <f t="array" ref="J1339">SUMPRODUCT((Tablo3[Urun Ad]=I1339)*(Tablo3[Ürün Kar Tutarı]))</f>
        <v>0</v>
      </c>
      <c r="L1339" s="37"/>
    </row>
    <row r="1340" spans="1:12" x14ac:dyDescent="0.25">
      <c r="A1340" s="13"/>
      <c r="B1340" s="9" cm="1">
        <f t="array" ref="B1340">SUMPRODUCT((Tablo3[Personel Ad]=A1340)*(Tablo3[Ürün Kar Tutarı]))</f>
        <v>0</v>
      </c>
      <c r="D1340" s="14"/>
      <c r="F1340" s="9" cm="1">
        <f t="array" ref="F1340">SUMPRODUCT((Tablo3[Şehirler]=E1340)*(Tablo3[Ürün Kar Tutarı]))</f>
        <v>0</v>
      </c>
      <c r="H1340" s="14"/>
      <c r="J1340" s="9" cm="1">
        <f t="array" ref="J1340">SUMPRODUCT((Tablo3[Urun Ad]=I1340)*(Tablo3[Ürün Kar Tutarı]))</f>
        <v>0</v>
      </c>
      <c r="L1340" s="37"/>
    </row>
    <row r="1341" spans="1:12" x14ac:dyDescent="0.25">
      <c r="A1341" s="13"/>
      <c r="B1341" s="9" cm="1">
        <f t="array" ref="B1341">SUMPRODUCT((Tablo3[Personel Ad]=A1341)*(Tablo3[Ürün Kar Tutarı]))</f>
        <v>0</v>
      </c>
      <c r="D1341" s="14"/>
      <c r="F1341" s="9" cm="1">
        <f t="array" ref="F1341">SUMPRODUCT((Tablo3[Şehirler]=E1341)*(Tablo3[Ürün Kar Tutarı]))</f>
        <v>0</v>
      </c>
      <c r="H1341" s="14"/>
      <c r="J1341" s="9" cm="1">
        <f t="array" ref="J1341">SUMPRODUCT((Tablo3[Urun Ad]=I1341)*(Tablo3[Ürün Kar Tutarı]))</f>
        <v>0</v>
      </c>
      <c r="L1341" s="37"/>
    </row>
    <row r="1342" spans="1:12" x14ac:dyDescent="0.25">
      <c r="A1342" s="13"/>
      <c r="B1342" s="9" cm="1">
        <f t="array" ref="B1342">SUMPRODUCT((Tablo3[Personel Ad]=A1342)*(Tablo3[Ürün Kar Tutarı]))</f>
        <v>0</v>
      </c>
      <c r="D1342" s="14"/>
      <c r="F1342" s="9" cm="1">
        <f t="array" ref="F1342">SUMPRODUCT((Tablo3[Şehirler]=E1342)*(Tablo3[Ürün Kar Tutarı]))</f>
        <v>0</v>
      </c>
      <c r="H1342" s="14"/>
      <c r="J1342" s="9" cm="1">
        <f t="array" ref="J1342">SUMPRODUCT((Tablo3[Urun Ad]=I1342)*(Tablo3[Ürün Kar Tutarı]))</f>
        <v>0</v>
      </c>
      <c r="L1342" s="37"/>
    </row>
    <row r="1343" spans="1:12" x14ac:dyDescent="0.25">
      <c r="A1343" s="13"/>
      <c r="B1343" s="9" cm="1">
        <f t="array" ref="B1343">SUMPRODUCT((Tablo3[Personel Ad]=A1343)*(Tablo3[Ürün Kar Tutarı]))</f>
        <v>0</v>
      </c>
      <c r="D1343" s="14"/>
      <c r="F1343" s="9" cm="1">
        <f t="array" ref="F1343">SUMPRODUCT((Tablo3[Şehirler]=E1343)*(Tablo3[Ürün Kar Tutarı]))</f>
        <v>0</v>
      </c>
      <c r="H1343" s="14"/>
      <c r="J1343" s="9" cm="1">
        <f t="array" ref="J1343">SUMPRODUCT((Tablo3[Urun Ad]=I1343)*(Tablo3[Ürün Kar Tutarı]))</f>
        <v>0</v>
      </c>
      <c r="L1343" s="37"/>
    </row>
    <row r="1344" spans="1:12" x14ac:dyDescent="0.25">
      <c r="A1344" s="13"/>
      <c r="B1344" s="9" cm="1">
        <f t="array" ref="B1344">SUMPRODUCT((Tablo3[Personel Ad]=A1344)*(Tablo3[Ürün Kar Tutarı]))</f>
        <v>0</v>
      </c>
      <c r="D1344" s="14"/>
      <c r="F1344" s="9" cm="1">
        <f t="array" ref="F1344">SUMPRODUCT((Tablo3[Şehirler]=E1344)*(Tablo3[Ürün Kar Tutarı]))</f>
        <v>0</v>
      </c>
      <c r="H1344" s="14"/>
      <c r="J1344" s="9" cm="1">
        <f t="array" ref="J1344">SUMPRODUCT((Tablo3[Urun Ad]=I1344)*(Tablo3[Ürün Kar Tutarı]))</f>
        <v>0</v>
      </c>
      <c r="L1344" s="37"/>
    </row>
    <row r="1345" spans="1:12" x14ac:dyDescent="0.25">
      <c r="A1345" s="13"/>
      <c r="B1345" s="9" cm="1">
        <f t="array" ref="B1345">SUMPRODUCT((Tablo3[Personel Ad]=A1345)*(Tablo3[Ürün Kar Tutarı]))</f>
        <v>0</v>
      </c>
      <c r="D1345" s="14"/>
      <c r="F1345" s="9" cm="1">
        <f t="array" ref="F1345">SUMPRODUCT((Tablo3[Şehirler]=E1345)*(Tablo3[Ürün Kar Tutarı]))</f>
        <v>0</v>
      </c>
      <c r="H1345" s="14"/>
      <c r="J1345" s="9" cm="1">
        <f t="array" ref="J1345">SUMPRODUCT((Tablo3[Urun Ad]=I1345)*(Tablo3[Ürün Kar Tutarı]))</f>
        <v>0</v>
      </c>
      <c r="L1345" s="37"/>
    </row>
    <row r="1346" spans="1:12" x14ac:dyDescent="0.25">
      <c r="A1346" s="13"/>
      <c r="B1346" s="9" cm="1">
        <f t="array" ref="B1346">SUMPRODUCT((Tablo3[Personel Ad]=A1346)*(Tablo3[Ürün Kar Tutarı]))</f>
        <v>0</v>
      </c>
      <c r="D1346" s="14"/>
      <c r="F1346" s="9" cm="1">
        <f t="array" ref="F1346">SUMPRODUCT((Tablo3[Şehirler]=E1346)*(Tablo3[Ürün Kar Tutarı]))</f>
        <v>0</v>
      </c>
      <c r="H1346" s="14"/>
      <c r="J1346" s="9" cm="1">
        <f t="array" ref="J1346">SUMPRODUCT((Tablo3[Urun Ad]=I1346)*(Tablo3[Ürün Kar Tutarı]))</f>
        <v>0</v>
      </c>
      <c r="L1346" s="37"/>
    </row>
    <row r="1347" spans="1:12" x14ac:dyDescent="0.25">
      <c r="A1347" s="13"/>
      <c r="B1347" s="9" cm="1">
        <f t="array" ref="B1347">SUMPRODUCT((Tablo3[Personel Ad]=A1347)*(Tablo3[Ürün Kar Tutarı]))</f>
        <v>0</v>
      </c>
      <c r="D1347" s="14"/>
      <c r="F1347" s="9" cm="1">
        <f t="array" ref="F1347">SUMPRODUCT((Tablo3[Şehirler]=E1347)*(Tablo3[Ürün Kar Tutarı]))</f>
        <v>0</v>
      </c>
      <c r="H1347" s="14"/>
      <c r="J1347" s="9" cm="1">
        <f t="array" ref="J1347">SUMPRODUCT((Tablo3[Urun Ad]=I1347)*(Tablo3[Ürün Kar Tutarı]))</f>
        <v>0</v>
      </c>
      <c r="L1347" s="37"/>
    </row>
    <row r="1348" spans="1:12" x14ac:dyDescent="0.25">
      <c r="A1348" s="13"/>
      <c r="B1348" s="9" cm="1">
        <f t="array" ref="B1348">SUMPRODUCT((Tablo3[Personel Ad]=A1348)*(Tablo3[Ürün Kar Tutarı]))</f>
        <v>0</v>
      </c>
      <c r="D1348" s="14"/>
      <c r="F1348" s="9" cm="1">
        <f t="array" ref="F1348">SUMPRODUCT((Tablo3[Şehirler]=E1348)*(Tablo3[Ürün Kar Tutarı]))</f>
        <v>0</v>
      </c>
      <c r="H1348" s="14"/>
      <c r="J1348" s="9" cm="1">
        <f t="array" ref="J1348">SUMPRODUCT((Tablo3[Urun Ad]=I1348)*(Tablo3[Ürün Kar Tutarı]))</f>
        <v>0</v>
      </c>
      <c r="L1348" s="37"/>
    </row>
    <row r="1349" spans="1:12" x14ac:dyDescent="0.25">
      <c r="A1349" s="13"/>
      <c r="B1349" s="9" cm="1">
        <f t="array" ref="B1349">SUMPRODUCT((Tablo3[Personel Ad]=A1349)*(Tablo3[Ürün Kar Tutarı]))</f>
        <v>0</v>
      </c>
      <c r="D1349" s="14"/>
      <c r="F1349" s="9" cm="1">
        <f t="array" ref="F1349">SUMPRODUCT((Tablo3[Şehirler]=E1349)*(Tablo3[Ürün Kar Tutarı]))</f>
        <v>0</v>
      </c>
      <c r="H1349" s="14"/>
      <c r="J1349" s="9" cm="1">
        <f t="array" ref="J1349">SUMPRODUCT((Tablo3[Urun Ad]=I1349)*(Tablo3[Ürün Kar Tutarı]))</f>
        <v>0</v>
      </c>
      <c r="L1349" s="37"/>
    </row>
    <row r="1350" spans="1:12" x14ac:dyDescent="0.25">
      <c r="A1350" s="13"/>
      <c r="B1350" s="9" cm="1">
        <f t="array" ref="B1350">SUMPRODUCT((Tablo3[Personel Ad]=A1350)*(Tablo3[Ürün Kar Tutarı]))</f>
        <v>0</v>
      </c>
      <c r="D1350" s="14"/>
      <c r="F1350" s="9" cm="1">
        <f t="array" ref="F1350">SUMPRODUCT((Tablo3[Şehirler]=E1350)*(Tablo3[Ürün Kar Tutarı]))</f>
        <v>0</v>
      </c>
      <c r="H1350" s="14"/>
      <c r="J1350" s="9" cm="1">
        <f t="array" ref="J1350">SUMPRODUCT((Tablo3[Urun Ad]=I1350)*(Tablo3[Ürün Kar Tutarı]))</f>
        <v>0</v>
      </c>
      <c r="L1350" s="37"/>
    </row>
    <row r="1351" spans="1:12" x14ac:dyDescent="0.25">
      <c r="A1351" s="13"/>
      <c r="B1351" s="9" cm="1">
        <f t="array" ref="B1351">SUMPRODUCT((Tablo3[Personel Ad]=A1351)*(Tablo3[Ürün Kar Tutarı]))</f>
        <v>0</v>
      </c>
      <c r="D1351" s="14"/>
      <c r="F1351" s="9" cm="1">
        <f t="array" ref="F1351">SUMPRODUCT((Tablo3[Şehirler]=E1351)*(Tablo3[Ürün Kar Tutarı]))</f>
        <v>0</v>
      </c>
      <c r="H1351" s="14"/>
      <c r="J1351" s="9" cm="1">
        <f t="array" ref="J1351">SUMPRODUCT((Tablo3[Urun Ad]=I1351)*(Tablo3[Ürün Kar Tutarı]))</f>
        <v>0</v>
      </c>
      <c r="L1351" s="37"/>
    </row>
    <row r="1352" spans="1:12" x14ac:dyDescent="0.25">
      <c r="A1352" s="13"/>
      <c r="B1352" s="9" cm="1">
        <f t="array" ref="B1352">SUMPRODUCT((Tablo3[Personel Ad]=A1352)*(Tablo3[Ürün Kar Tutarı]))</f>
        <v>0</v>
      </c>
      <c r="D1352" s="14"/>
      <c r="F1352" s="9" cm="1">
        <f t="array" ref="F1352">SUMPRODUCT((Tablo3[Şehirler]=E1352)*(Tablo3[Ürün Kar Tutarı]))</f>
        <v>0</v>
      </c>
      <c r="H1352" s="14"/>
      <c r="J1352" s="9" cm="1">
        <f t="array" ref="J1352">SUMPRODUCT((Tablo3[Urun Ad]=I1352)*(Tablo3[Ürün Kar Tutarı]))</f>
        <v>0</v>
      </c>
      <c r="L1352" s="37"/>
    </row>
    <row r="1353" spans="1:12" x14ac:dyDescent="0.25">
      <c r="A1353" s="13"/>
      <c r="B1353" s="9" cm="1">
        <f t="array" ref="B1353">SUMPRODUCT((Tablo3[Personel Ad]=A1353)*(Tablo3[Ürün Kar Tutarı]))</f>
        <v>0</v>
      </c>
      <c r="D1353" s="14"/>
      <c r="F1353" s="9" cm="1">
        <f t="array" ref="F1353">SUMPRODUCT((Tablo3[Şehirler]=E1353)*(Tablo3[Ürün Kar Tutarı]))</f>
        <v>0</v>
      </c>
      <c r="H1353" s="14"/>
      <c r="J1353" s="9" cm="1">
        <f t="array" ref="J1353">SUMPRODUCT((Tablo3[Urun Ad]=I1353)*(Tablo3[Ürün Kar Tutarı]))</f>
        <v>0</v>
      </c>
      <c r="L1353" s="37"/>
    </row>
    <row r="1354" spans="1:12" x14ac:dyDescent="0.25">
      <c r="A1354" s="13"/>
      <c r="B1354" s="9" cm="1">
        <f t="array" ref="B1354">SUMPRODUCT((Tablo3[Personel Ad]=A1354)*(Tablo3[Ürün Kar Tutarı]))</f>
        <v>0</v>
      </c>
      <c r="D1354" s="14"/>
      <c r="F1354" s="9" cm="1">
        <f t="array" ref="F1354">SUMPRODUCT((Tablo3[Şehirler]=E1354)*(Tablo3[Ürün Kar Tutarı]))</f>
        <v>0</v>
      </c>
      <c r="H1354" s="14"/>
      <c r="J1354" s="9" cm="1">
        <f t="array" ref="J1354">SUMPRODUCT((Tablo3[Urun Ad]=I1354)*(Tablo3[Ürün Kar Tutarı]))</f>
        <v>0</v>
      </c>
      <c r="L1354" s="37"/>
    </row>
    <row r="1355" spans="1:12" x14ac:dyDescent="0.25">
      <c r="A1355" s="13"/>
      <c r="B1355" s="9" cm="1">
        <f t="array" ref="B1355">SUMPRODUCT((Tablo3[Personel Ad]=A1355)*(Tablo3[Ürün Kar Tutarı]))</f>
        <v>0</v>
      </c>
      <c r="D1355" s="14"/>
      <c r="F1355" s="9" cm="1">
        <f t="array" ref="F1355">SUMPRODUCT((Tablo3[Şehirler]=E1355)*(Tablo3[Ürün Kar Tutarı]))</f>
        <v>0</v>
      </c>
      <c r="H1355" s="14"/>
      <c r="J1355" s="9" cm="1">
        <f t="array" ref="J1355">SUMPRODUCT((Tablo3[Urun Ad]=I1355)*(Tablo3[Ürün Kar Tutarı]))</f>
        <v>0</v>
      </c>
      <c r="L1355" s="37"/>
    </row>
    <row r="1356" spans="1:12" x14ac:dyDescent="0.25">
      <c r="A1356" s="13"/>
      <c r="B1356" s="9" cm="1">
        <f t="array" ref="B1356">SUMPRODUCT((Tablo3[Personel Ad]=A1356)*(Tablo3[Ürün Kar Tutarı]))</f>
        <v>0</v>
      </c>
      <c r="D1356" s="14"/>
      <c r="F1356" s="9" cm="1">
        <f t="array" ref="F1356">SUMPRODUCT((Tablo3[Şehirler]=E1356)*(Tablo3[Ürün Kar Tutarı]))</f>
        <v>0</v>
      </c>
      <c r="H1356" s="14"/>
      <c r="J1356" s="9" cm="1">
        <f t="array" ref="J1356">SUMPRODUCT((Tablo3[Urun Ad]=I1356)*(Tablo3[Ürün Kar Tutarı]))</f>
        <v>0</v>
      </c>
      <c r="L1356" s="37"/>
    </row>
    <row r="1357" spans="1:12" x14ac:dyDescent="0.25">
      <c r="A1357" s="13"/>
      <c r="B1357" s="9" cm="1">
        <f t="array" ref="B1357">SUMPRODUCT((Tablo3[Personel Ad]=A1357)*(Tablo3[Ürün Kar Tutarı]))</f>
        <v>0</v>
      </c>
      <c r="D1357" s="14"/>
      <c r="F1357" s="9" cm="1">
        <f t="array" ref="F1357">SUMPRODUCT((Tablo3[Şehirler]=E1357)*(Tablo3[Ürün Kar Tutarı]))</f>
        <v>0</v>
      </c>
      <c r="H1357" s="14"/>
      <c r="J1357" s="9" cm="1">
        <f t="array" ref="J1357">SUMPRODUCT((Tablo3[Urun Ad]=I1357)*(Tablo3[Ürün Kar Tutarı]))</f>
        <v>0</v>
      </c>
      <c r="L1357" s="37"/>
    </row>
    <row r="1358" spans="1:12" x14ac:dyDescent="0.25">
      <c r="A1358" s="13"/>
      <c r="B1358" s="9" cm="1">
        <f t="array" ref="B1358">SUMPRODUCT((Tablo3[Personel Ad]=A1358)*(Tablo3[Ürün Kar Tutarı]))</f>
        <v>0</v>
      </c>
      <c r="D1358" s="14"/>
      <c r="F1358" s="9" cm="1">
        <f t="array" ref="F1358">SUMPRODUCT((Tablo3[Şehirler]=E1358)*(Tablo3[Ürün Kar Tutarı]))</f>
        <v>0</v>
      </c>
      <c r="H1358" s="14"/>
      <c r="J1358" s="9" cm="1">
        <f t="array" ref="J1358">SUMPRODUCT((Tablo3[Urun Ad]=I1358)*(Tablo3[Ürün Kar Tutarı]))</f>
        <v>0</v>
      </c>
      <c r="L1358" s="37"/>
    </row>
    <row r="1359" spans="1:12" x14ac:dyDescent="0.25">
      <c r="A1359" s="13"/>
      <c r="B1359" s="9" cm="1">
        <f t="array" ref="B1359">SUMPRODUCT((Tablo3[Personel Ad]=A1359)*(Tablo3[Ürün Kar Tutarı]))</f>
        <v>0</v>
      </c>
      <c r="D1359" s="14"/>
      <c r="F1359" s="9" cm="1">
        <f t="array" ref="F1359">SUMPRODUCT((Tablo3[Şehirler]=E1359)*(Tablo3[Ürün Kar Tutarı]))</f>
        <v>0</v>
      </c>
      <c r="H1359" s="14"/>
      <c r="J1359" s="9" cm="1">
        <f t="array" ref="J1359">SUMPRODUCT((Tablo3[Urun Ad]=I1359)*(Tablo3[Ürün Kar Tutarı]))</f>
        <v>0</v>
      </c>
      <c r="L1359" s="37"/>
    </row>
    <row r="1360" spans="1:12" x14ac:dyDescent="0.25">
      <c r="A1360" s="13"/>
      <c r="B1360" s="9" cm="1">
        <f t="array" ref="B1360">SUMPRODUCT((Tablo3[Personel Ad]=A1360)*(Tablo3[Ürün Kar Tutarı]))</f>
        <v>0</v>
      </c>
      <c r="D1360" s="14"/>
      <c r="F1360" s="9" cm="1">
        <f t="array" ref="F1360">SUMPRODUCT((Tablo3[Şehirler]=E1360)*(Tablo3[Ürün Kar Tutarı]))</f>
        <v>0</v>
      </c>
      <c r="H1360" s="14"/>
      <c r="J1360" s="9" cm="1">
        <f t="array" ref="J1360">SUMPRODUCT((Tablo3[Urun Ad]=I1360)*(Tablo3[Ürün Kar Tutarı]))</f>
        <v>0</v>
      </c>
      <c r="L1360" s="37"/>
    </row>
    <row r="1361" spans="1:12" x14ac:dyDescent="0.25">
      <c r="A1361" s="13"/>
      <c r="B1361" s="9" cm="1">
        <f t="array" ref="B1361">SUMPRODUCT((Tablo3[Personel Ad]=A1361)*(Tablo3[Ürün Kar Tutarı]))</f>
        <v>0</v>
      </c>
      <c r="D1361" s="14"/>
      <c r="F1361" s="9" cm="1">
        <f t="array" ref="F1361">SUMPRODUCT((Tablo3[Şehirler]=E1361)*(Tablo3[Ürün Kar Tutarı]))</f>
        <v>0</v>
      </c>
      <c r="H1361" s="14"/>
      <c r="J1361" s="9" cm="1">
        <f t="array" ref="J1361">SUMPRODUCT((Tablo3[Urun Ad]=I1361)*(Tablo3[Ürün Kar Tutarı]))</f>
        <v>0</v>
      </c>
      <c r="L1361" s="37"/>
    </row>
    <row r="1362" spans="1:12" x14ac:dyDescent="0.25">
      <c r="A1362" s="13"/>
      <c r="B1362" s="9" cm="1">
        <f t="array" ref="B1362">SUMPRODUCT((Tablo3[Personel Ad]=A1362)*(Tablo3[Ürün Kar Tutarı]))</f>
        <v>0</v>
      </c>
      <c r="D1362" s="14"/>
      <c r="F1362" s="9" cm="1">
        <f t="array" ref="F1362">SUMPRODUCT((Tablo3[Şehirler]=E1362)*(Tablo3[Ürün Kar Tutarı]))</f>
        <v>0</v>
      </c>
      <c r="H1362" s="14"/>
      <c r="J1362" s="9" cm="1">
        <f t="array" ref="J1362">SUMPRODUCT((Tablo3[Urun Ad]=I1362)*(Tablo3[Ürün Kar Tutarı]))</f>
        <v>0</v>
      </c>
      <c r="L1362" s="37"/>
    </row>
    <row r="1363" spans="1:12" x14ac:dyDescent="0.25">
      <c r="A1363" s="13"/>
      <c r="B1363" s="9" cm="1">
        <f t="array" ref="B1363">SUMPRODUCT((Tablo3[Personel Ad]=A1363)*(Tablo3[Ürün Kar Tutarı]))</f>
        <v>0</v>
      </c>
      <c r="D1363" s="14"/>
      <c r="F1363" s="9" cm="1">
        <f t="array" ref="F1363">SUMPRODUCT((Tablo3[Şehirler]=E1363)*(Tablo3[Ürün Kar Tutarı]))</f>
        <v>0</v>
      </c>
      <c r="H1363" s="14"/>
      <c r="J1363" s="9" cm="1">
        <f t="array" ref="J1363">SUMPRODUCT((Tablo3[Urun Ad]=I1363)*(Tablo3[Ürün Kar Tutarı]))</f>
        <v>0</v>
      </c>
      <c r="L1363" s="37"/>
    </row>
    <row r="1364" spans="1:12" x14ac:dyDescent="0.25">
      <c r="A1364" s="13"/>
      <c r="B1364" s="9" cm="1">
        <f t="array" ref="B1364">SUMPRODUCT((Tablo3[Personel Ad]=A1364)*(Tablo3[Ürün Kar Tutarı]))</f>
        <v>0</v>
      </c>
      <c r="D1364" s="14"/>
      <c r="F1364" s="9" cm="1">
        <f t="array" ref="F1364">SUMPRODUCT((Tablo3[Şehirler]=E1364)*(Tablo3[Ürün Kar Tutarı]))</f>
        <v>0</v>
      </c>
      <c r="H1364" s="14"/>
      <c r="J1364" s="9" cm="1">
        <f t="array" ref="J1364">SUMPRODUCT((Tablo3[Urun Ad]=I1364)*(Tablo3[Ürün Kar Tutarı]))</f>
        <v>0</v>
      </c>
      <c r="L1364" s="37"/>
    </row>
    <row r="1365" spans="1:12" x14ac:dyDescent="0.25">
      <c r="A1365" s="13"/>
      <c r="B1365" s="9" cm="1">
        <f t="array" ref="B1365">SUMPRODUCT((Tablo3[Personel Ad]=A1365)*(Tablo3[Ürün Kar Tutarı]))</f>
        <v>0</v>
      </c>
      <c r="D1365" s="14"/>
      <c r="F1365" s="9" cm="1">
        <f t="array" ref="F1365">SUMPRODUCT((Tablo3[Şehirler]=E1365)*(Tablo3[Ürün Kar Tutarı]))</f>
        <v>0</v>
      </c>
      <c r="H1365" s="14"/>
      <c r="J1365" s="9" cm="1">
        <f t="array" ref="J1365">SUMPRODUCT((Tablo3[Urun Ad]=I1365)*(Tablo3[Ürün Kar Tutarı]))</f>
        <v>0</v>
      </c>
      <c r="L1365" s="37"/>
    </row>
    <row r="1366" spans="1:12" x14ac:dyDescent="0.25">
      <c r="A1366" s="13"/>
      <c r="B1366" s="9" cm="1">
        <f t="array" ref="B1366">SUMPRODUCT((Tablo3[Personel Ad]=A1366)*(Tablo3[Ürün Kar Tutarı]))</f>
        <v>0</v>
      </c>
      <c r="D1366" s="14"/>
      <c r="F1366" s="9" cm="1">
        <f t="array" ref="F1366">SUMPRODUCT((Tablo3[Şehirler]=E1366)*(Tablo3[Ürün Kar Tutarı]))</f>
        <v>0</v>
      </c>
      <c r="H1366" s="14"/>
      <c r="J1366" s="9" cm="1">
        <f t="array" ref="J1366">SUMPRODUCT((Tablo3[Urun Ad]=I1366)*(Tablo3[Ürün Kar Tutarı]))</f>
        <v>0</v>
      </c>
      <c r="L1366" s="37"/>
    </row>
    <row r="1367" spans="1:12" x14ac:dyDescent="0.25">
      <c r="A1367" s="13"/>
      <c r="B1367" s="9" cm="1">
        <f t="array" ref="B1367">SUMPRODUCT((Tablo3[Personel Ad]=A1367)*(Tablo3[Ürün Kar Tutarı]))</f>
        <v>0</v>
      </c>
      <c r="D1367" s="14"/>
      <c r="F1367" s="9" cm="1">
        <f t="array" ref="F1367">SUMPRODUCT((Tablo3[Şehirler]=E1367)*(Tablo3[Ürün Kar Tutarı]))</f>
        <v>0</v>
      </c>
      <c r="H1367" s="14"/>
      <c r="J1367" s="9" cm="1">
        <f t="array" ref="J1367">SUMPRODUCT((Tablo3[Urun Ad]=I1367)*(Tablo3[Ürün Kar Tutarı]))</f>
        <v>0</v>
      </c>
      <c r="L1367" s="37"/>
    </row>
    <row r="1368" spans="1:12" x14ac:dyDescent="0.25">
      <c r="A1368" s="13"/>
      <c r="B1368" s="9" cm="1">
        <f t="array" ref="B1368">SUMPRODUCT((Tablo3[Personel Ad]=A1368)*(Tablo3[Ürün Kar Tutarı]))</f>
        <v>0</v>
      </c>
      <c r="D1368" s="14"/>
      <c r="F1368" s="9" cm="1">
        <f t="array" ref="F1368">SUMPRODUCT((Tablo3[Şehirler]=E1368)*(Tablo3[Ürün Kar Tutarı]))</f>
        <v>0</v>
      </c>
      <c r="H1368" s="14"/>
      <c r="J1368" s="9" cm="1">
        <f t="array" ref="J1368">SUMPRODUCT((Tablo3[Urun Ad]=I1368)*(Tablo3[Ürün Kar Tutarı]))</f>
        <v>0</v>
      </c>
      <c r="L1368" s="37"/>
    </row>
    <row r="1369" spans="1:12" x14ac:dyDescent="0.25">
      <c r="A1369" s="13"/>
      <c r="B1369" s="9" cm="1">
        <f t="array" ref="B1369">SUMPRODUCT((Tablo3[Personel Ad]=A1369)*(Tablo3[Ürün Kar Tutarı]))</f>
        <v>0</v>
      </c>
      <c r="D1369" s="14"/>
      <c r="F1369" s="9" cm="1">
        <f t="array" ref="F1369">SUMPRODUCT((Tablo3[Şehirler]=E1369)*(Tablo3[Ürün Kar Tutarı]))</f>
        <v>0</v>
      </c>
      <c r="H1369" s="14"/>
      <c r="J1369" s="9" cm="1">
        <f t="array" ref="J1369">SUMPRODUCT((Tablo3[Urun Ad]=I1369)*(Tablo3[Ürün Kar Tutarı]))</f>
        <v>0</v>
      </c>
      <c r="L1369" s="37"/>
    </row>
    <row r="1370" spans="1:12" x14ac:dyDescent="0.25">
      <c r="A1370" s="13"/>
      <c r="B1370" s="9" cm="1">
        <f t="array" ref="B1370">SUMPRODUCT((Tablo3[Personel Ad]=A1370)*(Tablo3[Ürün Kar Tutarı]))</f>
        <v>0</v>
      </c>
      <c r="D1370" s="14"/>
      <c r="F1370" s="9" cm="1">
        <f t="array" ref="F1370">SUMPRODUCT((Tablo3[Şehirler]=E1370)*(Tablo3[Ürün Kar Tutarı]))</f>
        <v>0</v>
      </c>
      <c r="H1370" s="14"/>
      <c r="J1370" s="9" cm="1">
        <f t="array" ref="J1370">SUMPRODUCT((Tablo3[Urun Ad]=I1370)*(Tablo3[Ürün Kar Tutarı]))</f>
        <v>0</v>
      </c>
      <c r="L1370" s="37"/>
    </row>
    <row r="1371" spans="1:12" x14ac:dyDescent="0.25">
      <c r="A1371" s="13"/>
      <c r="B1371" s="9" cm="1">
        <f t="array" ref="B1371">SUMPRODUCT((Tablo3[Personel Ad]=A1371)*(Tablo3[Ürün Kar Tutarı]))</f>
        <v>0</v>
      </c>
      <c r="D1371" s="14"/>
      <c r="F1371" s="9" cm="1">
        <f t="array" ref="F1371">SUMPRODUCT((Tablo3[Şehirler]=E1371)*(Tablo3[Ürün Kar Tutarı]))</f>
        <v>0</v>
      </c>
      <c r="H1371" s="14"/>
      <c r="J1371" s="9" cm="1">
        <f t="array" ref="J1371">SUMPRODUCT((Tablo3[Urun Ad]=I1371)*(Tablo3[Ürün Kar Tutarı]))</f>
        <v>0</v>
      </c>
      <c r="L1371" s="37"/>
    </row>
    <row r="1372" spans="1:12" x14ac:dyDescent="0.25">
      <c r="A1372" s="13"/>
      <c r="B1372" s="9" cm="1">
        <f t="array" ref="B1372">SUMPRODUCT((Tablo3[Personel Ad]=A1372)*(Tablo3[Ürün Kar Tutarı]))</f>
        <v>0</v>
      </c>
      <c r="D1372" s="14"/>
      <c r="F1372" s="9" cm="1">
        <f t="array" ref="F1372">SUMPRODUCT((Tablo3[Şehirler]=E1372)*(Tablo3[Ürün Kar Tutarı]))</f>
        <v>0</v>
      </c>
      <c r="H1372" s="14"/>
      <c r="J1372" s="9" cm="1">
        <f t="array" ref="J1372">SUMPRODUCT((Tablo3[Urun Ad]=I1372)*(Tablo3[Ürün Kar Tutarı]))</f>
        <v>0</v>
      </c>
      <c r="L1372" s="37"/>
    </row>
    <row r="1373" spans="1:12" x14ac:dyDescent="0.25">
      <c r="A1373" s="13"/>
      <c r="B1373" s="9" cm="1">
        <f t="array" ref="B1373">SUMPRODUCT((Tablo3[Personel Ad]=A1373)*(Tablo3[Ürün Kar Tutarı]))</f>
        <v>0</v>
      </c>
      <c r="D1373" s="14"/>
      <c r="F1373" s="9" cm="1">
        <f t="array" ref="F1373">SUMPRODUCT((Tablo3[Şehirler]=E1373)*(Tablo3[Ürün Kar Tutarı]))</f>
        <v>0</v>
      </c>
      <c r="H1373" s="14"/>
      <c r="J1373" s="9" cm="1">
        <f t="array" ref="J1373">SUMPRODUCT((Tablo3[Urun Ad]=I1373)*(Tablo3[Ürün Kar Tutarı]))</f>
        <v>0</v>
      </c>
      <c r="L1373" s="37"/>
    </row>
    <row r="1374" spans="1:12" x14ac:dyDescent="0.25">
      <c r="A1374" s="13"/>
      <c r="B1374" s="9" cm="1">
        <f t="array" ref="B1374">SUMPRODUCT((Tablo3[Personel Ad]=A1374)*(Tablo3[Ürün Kar Tutarı]))</f>
        <v>0</v>
      </c>
      <c r="D1374" s="14"/>
      <c r="F1374" s="9" cm="1">
        <f t="array" ref="F1374">SUMPRODUCT((Tablo3[Şehirler]=E1374)*(Tablo3[Ürün Kar Tutarı]))</f>
        <v>0</v>
      </c>
      <c r="H1374" s="14"/>
      <c r="J1374" s="9" cm="1">
        <f t="array" ref="J1374">SUMPRODUCT((Tablo3[Urun Ad]=I1374)*(Tablo3[Ürün Kar Tutarı]))</f>
        <v>0</v>
      </c>
      <c r="L1374" s="37"/>
    </row>
    <row r="1375" spans="1:12" x14ac:dyDescent="0.25">
      <c r="A1375" s="13"/>
      <c r="B1375" s="9" cm="1">
        <f t="array" ref="B1375">SUMPRODUCT((Tablo3[Personel Ad]=A1375)*(Tablo3[Ürün Kar Tutarı]))</f>
        <v>0</v>
      </c>
      <c r="D1375" s="14"/>
      <c r="F1375" s="9" cm="1">
        <f t="array" ref="F1375">SUMPRODUCT((Tablo3[Şehirler]=E1375)*(Tablo3[Ürün Kar Tutarı]))</f>
        <v>0</v>
      </c>
      <c r="H1375" s="14"/>
      <c r="J1375" s="9" cm="1">
        <f t="array" ref="J1375">SUMPRODUCT((Tablo3[Urun Ad]=I1375)*(Tablo3[Ürün Kar Tutarı]))</f>
        <v>0</v>
      </c>
      <c r="L1375" s="37"/>
    </row>
    <row r="1376" spans="1:12" x14ac:dyDescent="0.25">
      <c r="A1376" s="13"/>
      <c r="B1376" s="9" cm="1">
        <f t="array" ref="B1376">SUMPRODUCT((Tablo3[Personel Ad]=A1376)*(Tablo3[Ürün Kar Tutarı]))</f>
        <v>0</v>
      </c>
      <c r="D1376" s="14"/>
      <c r="F1376" s="9" cm="1">
        <f t="array" ref="F1376">SUMPRODUCT((Tablo3[Şehirler]=E1376)*(Tablo3[Ürün Kar Tutarı]))</f>
        <v>0</v>
      </c>
      <c r="H1376" s="14"/>
      <c r="J1376" s="9" cm="1">
        <f t="array" ref="J1376">SUMPRODUCT((Tablo3[Urun Ad]=I1376)*(Tablo3[Ürün Kar Tutarı]))</f>
        <v>0</v>
      </c>
      <c r="L1376" s="37"/>
    </row>
    <row r="1377" spans="1:12" x14ac:dyDescent="0.25">
      <c r="A1377" s="13"/>
      <c r="B1377" s="9" cm="1">
        <f t="array" ref="B1377">SUMPRODUCT((Tablo3[Personel Ad]=A1377)*(Tablo3[Ürün Kar Tutarı]))</f>
        <v>0</v>
      </c>
      <c r="D1377" s="14"/>
      <c r="F1377" s="9" cm="1">
        <f t="array" ref="F1377">SUMPRODUCT((Tablo3[Şehirler]=E1377)*(Tablo3[Ürün Kar Tutarı]))</f>
        <v>0</v>
      </c>
      <c r="H1377" s="14"/>
      <c r="J1377" s="9" cm="1">
        <f t="array" ref="J1377">SUMPRODUCT((Tablo3[Urun Ad]=I1377)*(Tablo3[Ürün Kar Tutarı]))</f>
        <v>0</v>
      </c>
      <c r="L1377" s="37"/>
    </row>
    <row r="1378" spans="1:12" x14ac:dyDescent="0.25">
      <c r="A1378" s="13"/>
      <c r="B1378" s="9" cm="1">
        <f t="array" ref="B1378">SUMPRODUCT((Tablo3[Personel Ad]=A1378)*(Tablo3[Ürün Kar Tutarı]))</f>
        <v>0</v>
      </c>
      <c r="D1378" s="14"/>
      <c r="F1378" s="9" cm="1">
        <f t="array" ref="F1378">SUMPRODUCT((Tablo3[Şehirler]=E1378)*(Tablo3[Ürün Kar Tutarı]))</f>
        <v>0</v>
      </c>
      <c r="H1378" s="14"/>
      <c r="J1378" s="9" cm="1">
        <f t="array" ref="J1378">SUMPRODUCT((Tablo3[Urun Ad]=I1378)*(Tablo3[Ürün Kar Tutarı]))</f>
        <v>0</v>
      </c>
      <c r="L1378" s="37"/>
    </row>
    <row r="1379" spans="1:12" x14ac:dyDescent="0.25">
      <c r="A1379" s="13"/>
      <c r="B1379" s="9" cm="1">
        <f t="array" ref="B1379">SUMPRODUCT((Tablo3[Personel Ad]=A1379)*(Tablo3[Ürün Kar Tutarı]))</f>
        <v>0</v>
      </c>
      <c r="D1379" s="14"/>
      <c r="F1379" s="9" cm="1">
        <f t="array" ref="F1379">SUMPRODUCT((Tablo3[Şehirler]=E1379)*(Tablo3[Ürün Kar Tutarı]))</f>
        <v>0</v>
      </c>
      <c r="H1379" s="14"/>
      <c r="J1379" s="9" cm="1">
        <f t="array" ref="J1379">SUMPRODUCT((Tablo3[Urun Ad]=I1379)*(Tablo3[Ürün Kar Tutarı]))</f>
        <v>0</v>
      </c>
      <c r="L1379" s="37"/>
    </row>
    <row r="1380" spans="1:12" x14ac:dyDescent="0.25">
      <c r="A1380" s="13"/>
      <c r="B1380" s="9" cm="1">
        <f t="array" ref="B1380">SUMPRODUCT((Tablo3[Personel Ad]=A1380)*(Tablo3[Ürün Kar Tutarı]))</f>
        <v>0</v>
      </c>
      <c r="D1380" s="14"/>
      <c r="F1380" s="9" cm="1">
        <f t="array" ref="F1380">SUMPRODUCT((Tablo3[Şehirler]=E1380)*(Tablo3[Ürün Kar Tutarı]))</f>
        <v>0</v>
      </c>
      <c r="H1380" s="14"/>
      <c r="J1380" s="9" cm="1">
        <f t="array" ref="J1380">SUMPRODUCT((Tablo3[Urun Ad]=I1380)*(Tablo3[Ürün Kar Tutarı]))</f>
        <v>0</v>
      </c>
      <c r="L1380" s="37"/>
    </row>
    <row r="1381" spans="1:12" x14ac:dyDescent="0.25">
      <c r="A1381" s="13"/>
      <c r="B1381" s="9" cm="1">
        <f t="array" ref="B1381">SUMPRODUCT((Tablo3[Personel Ad]=A1381)*(Tablo3[Ürün Kar Tutarı]))</f>
        <v>0</v>
      </c>
      <c r="D1381" s="14"/>
      <c r="F1381" s="9" cm="1">
        <f t="array" ref="F1381">SUMPRODUCT((Tablo3[Şehirler]=E1381)*(Tablo3[Ürün Kar Tutarı]))</f>
        <v>0</v>
      </c>
      <c r="H1381" s="14"/>
      <c r="J1381" s="9" cm="1">
        <f t="array" ref="J1381">SUMPRODUCT((Tablo3[Urun Ad]=I1381)*(Tablo3[Ürün Kar Tutarı]))</f>
        <v>0</v>
      </c>
      <c r="L1381" s="37"/>
    </row>
    <row r="1382" spans="1:12" x14ac:dyDescent="0.25">
      <c r="A1382" s="13"/>
      <c r="B1382" s="9" cm="1">
        <f t="array" ref="B1382">SUMPRODUCT((Tablo3[Personel Ad]=A1382)*(Tablo3[Ürün Kar Tutarı]))</f>
        <v>0</v>
      </c>
      <c r="D1382" s="14"/>
      <c r="F1382" s="9" cm="1">
        <f t="array" ref="F1382">SUMPRODUCT((Tablo3[Şehirler]=E1382)*(Tablo3[Ürün Kar Tutarı]))</f>
        <v>0</v>
      </c>
      <c r="H1382" s="14"/>
      <c r="J1382" s="9" cm="1">
        <f t="array" ref="J1382">SUMPRODUCT((Tablo3[Urun Ad]=I1382)*(Tablo3[Ürün Kar Tutarı]))</f>
        <v>0</v>
      </c>
      <c r="L1382" s="37"/>
    </row>
    <row r="1383" spans="1:12" x14ac:dyDescent="0.25">
      <c r="A1383" s="13"/>
      <c r="B1383" s="9" cm="1">
        <f t="array" ref="B1383">SUMPRODUCT((Tablo3[Personel Ad]=A1383)*(Tablo3[Ürün Kar Tutarı]))</f>
        <v>0</v>
      </c>
      <c r="D1383" s="14"/>
      <c r="F1383" s="9" cm="1">
        <f t="array" ref="F1383">SUMPRODUCT((Tablo3[Şehirler]=E1383)*(Tablo3[Ürün Kar Tutarı]))</f>
        <v>0</v>
      </c>
      <c r="H1383" s="14"/>
      <c r="J1383" s="9" cm="1">
        <f t="array" ref="J1383">SUMPRODUCT((Tablo3[Urun Ad]=I1383)*(Tablo3[Ürün Kar Tutarı]))</f>
        <v>0</v>
      </c>
      <c r="L1383" s="37"/>
    </row>
    <row r="1384" spans="1:12" x14ac:dyDescent="0.25">
      <c r="A1384" s="13"/>
      <c r="B1384" s="9" cm="1">
        <f t="array" ref="B1384">SUMPRODUCT((Tablo3[Personel Ad]=A1384)*(Tablo3[Ürün Kar Tutarı]))</f>
        <v>0</v>
      </c>
      <c r="D1384" s="14"/>
      <c r="F1384" s="9" cm="1">
        <f t="array" ref="F1384">SUMPRODUCT((Tablo3[Şehirler]=E1384)*(Tablo3[Ürün Kar Tutarı]))</f>
        <v>0</v>
      </c>
      <c r="H1384" s="14"/>
      <c r="J1384" s="9" cm="1">
        <f t="array" ref="J1384">SUMPRODUCT((Tablo3[Urun Ad]=I1384)*(Tablo3[Ürün Kar Tutarı]))</f>
        <v>0</v>
      </c>
      <c r="L1384" s="37"/>
    </row>
    <row r="1385" spans="1:12" x14ac:dyDescent="0.25">
      <c r="A1385" s="13"/>
      <c r="B1385" s="9" cm="1">
        <f t="array" ref="B1385">SUMPRODUCT((Tablo3[Personel Ad]=A1385)*(Tablo3[Ürün Kar Tutarı]))</f>
        <v>0</v>
      </c>
      <c r="D1385" s="14"/>
      <c r="F1385" s="9" cm="1">
        <f t="array" ref="F1385">SUMPRODUCT((Tablo3[Şehirler]=E1385)*(Tablo3[Ürün Kar Tutarı]))</f>
        <v>0</v>
      </c>
      <c r="H1385" s="14"/>
      <c r="J1385" s="9" cm="1">
        <f t="array" ref="J1385">SUMPRODUCT((Tablo3[Urun Ad]=I1385)*(Tablo3[Ürün Kar Tutarı]))</f>
        <v>0</v>
      </c>
      <c r="L1385" s="37"/>
    </row>
    <row r="1386" spans="1:12" x14ac:dyDescent="0.25">
      <c r="A1386" s="13"/>
      <c r="B1386" s="9" cm="1">
        <f t="array" ref="B1386">SUMPRODUCT((Tablo3[Personel Ad]=A1386)*(Tablo3[Ürün Kar Tutarı]))</f>
        <v>0</v>
      </c>
      <c r="D1386" s="14"/>
      <c r="F1386" s="9" cm="1">
        <f t="array" ref="F1386">SUMPRODUCT((Tablo3[Şehirler]=E1386)*(Tablo3[Ürün Kar Tutarı]))</f>
        <v>0</v>
      </c>
      <c r="H1386" s="14"/>
      <c r="J1386" s="9" cm="1">
        <f t="array" ref="J1386">SUMPRODUCT((Tablo3[Urun Ad]=I1386)*(Tablo3[Ürün Kar Tutarı]))</f>
        <v>0</v>
      </c>
      <c r="L1386" s="37"/>
    </row>
    <row r="1387" spans="1:12" x14ac:dyDescent="0.25">
      <c r="A1387" s="13"/>
      <c r="B1387" s="9" cm="1">
        <f t="array" ref="B1387">SUMPRODUCT((Tablo3[Personel Ad]=A1387)*(Tablo3[Ürün Kar Tutarı]))</f>
        <v>0</v>
      </c>
      <c r="D1387" s="14"/>
      <c r="F1387" s="9" cm="1">
        <f t="array" ref="F1387">SUMPRODUCT((Tablo3[Şehirler]=E1387)*(Tablo3[Ürün Kar Tutarı]))</f>
        <v>0</v>
      </c>
      <c r="H1387" s="14"/>
      <c r="J1387" s="9" cm="1">
        <f t="array" ref="J1387">SUMPRODUCT((Tablo3[Urun Ad]=I1387)*(Tablo3[Ürün Kar Tutarı]))</f>
        <v>0</v>
      </c>
      <c r="L1387" s="37"/>
    </row>
    <row r="1388" spans="1:12" x14ac:dyDescent="0.25">
      <c r="A1388" s="13"/>
      <c r="B1388" s="9" cm="1">
        <f t="array" ref="B1388">SUMPRODUCT((Tablo3[Personel Ad]=A1388)*(Tablo3[Ürün Kar Tutarı]))</f>
        <v>0</v>
      </c>
      <c r="D1388" s="14"/>
      <c r="F1388" s="9" cm="1">
        <f t="array" ref="F1388">SUMPRODUCT((Tablo3[Şehirler]=E1388)*(Tablo3[Ürün Kar Tutarı]))</f>
        <v>0</v>
      </c>
      <c r="H1388" s="14"/>
      <c r="J1388" s="9" cm="1">
        <f t="array" ref="J1388">SUMPRODUCT((Tablo3[Urun Ad]=I1388)*(Tablo3[Ürün Kar Tutarı]))</f>
        <v>0</v>
      </c>
      <c r="L1388" s="37"/>
    </row>
    <row r="1389" spans="1:12" x14ac:dyDescent="0.25">
      <c r="A1389" s="13"/>
      <c r="B1389" s="9" cm="1">
        <f t="array" ref="B1389">SUMPRODUCT((Tablo3[Personel Ad]=A1389)*(Tablo3[Ürün Kar Tutarı]))</f>
        <v>0</v>
      </c>
      <c r="D1389" s="14"/>
      <c r="F1389" s="9" cm="1">
        <f t="array" ref="F1389">SUMPRODUCT((Tablo3[Şehirler]=E1389)*(Tablo3[Ürün Kar Tutarı]))</f>
        <v>0</v>
      </c>
      <c r="H1389" s="14"/>
      <c r="J1389" s="9" cm="1">
        <f t="array" ref="J1389">SUMPRODUCT((Tablo3[Urun Ad]=I1389)*(Tablo3[Ürün Kar Tutarı]))</f>
        <v>0</v>
      </c>
      <c r="L1389" s="37"/>
    </row>
    <row r="1390" spans="1:12" x14ac:dyDescent="0.25">
      <c r="A1390" s="13"/>
      <c r="B1390" s="9" cm="1">
        <f t="array" ref="B1390">SUMPRODUCT((Tablo3[Personel Ad]=A1390)*(Tablo3[Ürün Kar Tutarı]))</f>
        <v>0</v>
      </c>
      <c r="D1390" s="14"/>
      <c r="F1390" s="9" cm="1">
        <f t="array" ref="F1390">SUMPRODUCT((Tablo3[Şehirler]=E1390)*(Tablo3[Ürün Kar Tutarı]))</f>
        <v>0</v>
      </c>
      <c r="H1390" s="14"/>
      <c r="J1390" s="9" cm="1">
        <f t="array" ref="J1390">SUMPRODUCT((Tablo3[Urun Ad]=I1390)*(Tablo3[Ürün Kar Tutarı]))</f>
        <v>0</v>
      </c>
      <c r="L1390" s="37"/>
    </row>
    <row r="1391" spans="1:12" x14ac:dyDescent="0.25">
      <c r="A1391" s="13"/>
      <c r="B1391" s="9" cm="1">
        <f t="array" ref="B1391">SUMPRODUCT((Tablo3[Personel Ad]=A1391)*(Tablo3[Ürün Kar Tutarı]))</f>
        <v>0</v>
      </c>
      <c r="D1391" s="14"/>
      <c r="F1391" s="9" cm="1">
        <f t="array" ref="F1391">SUMPRODUCT((Tablo3[Şehirler]=E1391)*(Tablo3[Ürün Kar Tutarı]))</f>
        <v>0</v>
      </c>
      <c r="H1391" s="14"/>
      <c r="J1391" s="9" cm="1">
        <f t="array" ref="J1391">SUMPRODUCT((Tablo3[Urun Ad]=I1391)*(Tablo3[Ürün Kar Tutarı]))</f>
        <v>0</v>
      </c>
      <c r="L1391" s="37"/>
    </row>
    <row r="1392" spans="1:12" x14ac:dyDescent="0.25">
      <c r="A1392" s="13"/>
      <c r="B1392" s="9" cm="1">
        <f t="array" ref="B1392">SUMPRODUCT((Tablo3[Personel Ad]=A1392)*(Tablo3[Ürün Kar Tutarı]))</f>
        <v>0</v>
      </c>
      <c r="D1392" s="14"/>
      <c r="F1392" s="9" cm="1">
        <f t="array" ref="F1392">SUMPRODUCT((Tablo3[Şehirler]=E1392)*(Tablo3[Ürün Kar Tutarı]))</f>
        <v>0</v>
      </c>
      <c r="H1392" s="14"/>
      <c r="J1392" s="9" cm="1">
        <f t="array" ref="J1392">SUMPRODUCT((Tablo3[Urun Ad]=I1392)*(Tablo3[Ürün Kar Tutarı]))</f>
        <v>0</v>
      </c>
      <c r="L1392" s="37"/>
    </row>
    <row r="1393" spans="1:12" x14ac:dyDescent="0.25">
      <c r="A1393" s="13"/>
      <c r="B1393" s="9" cm="1">
        <f t="array" ref="B1393">SUMPRODUCT((Tablo3[Personel Ad]=A1393)*(Tablo3[Ürün Kar Tutarı]))</f>
        <v>0</v>
      </c>
      <c r="D1393" s="14"/>
      <c r="F1393" s="9" cm="1">
        <f t="array" ref="F1393">SUMPRODUCT((Tablo3[Şehirler]=E1393)*(Tablo3[Ürün Kar Tutarı]))</f>
        <v>0</v>
      </c>
      <c r="H1393" s="14"/>
      <c r="J1393" s="9" cm="1">
        <f t="array" ref="J1393">SUMPRODUCT((Tablo3[Urun Ad]=I1393)*(Tablo3[Ürün Kar Tutarı]))</f>
        <v>0</v>
      </c>
      <c r="L1393" s="37"/>
    </row>
    <row r="1394" spans="1:12" x14ac:dyDescent="0.25">
      <c r="A1394" s="13"/>
      <c r="B1394" s="9" cm="1">
        <f t="array" ref="B1394">SUMPRODUCT((Tablo3[Personel Ad]=A1394)*(Tablo3[Ürün Kar Tutarı]))</f>
        <v>0</v>
      </c>
      <c r="D1394" s="14"/>
      <c r="F1394" s="9" cm="1">
        <f t="array" ref="F1394">SUMPRODUCT((Tablo3[Şehirler]=E1394)*(Tablo3[Ürün Kar Tutarı]))</f>
        <v>0</v>
      </c>
      <c r="H1394" s="14"/>
      <c r="J1394" s="9" cm="1">
        <f t="array" ref="J1394">SUMPRODUCT((Tablo3[Urun Ad]=I1394)*(Tablo3[Ürün Kar Tutarı]))</f>
        <v>0</v>
      </c>
      <c r="L1394" s="37"/>
    </row>
    <row r="1395" spans="1:12" x14ac:dyDescent="0.25">
      <c r="A1395" s="13"/>
      <c r="B1395" s="9" cm="1">
        <f t="array" ref="B1395">SUMPRODUCT((Tablo3[Personel Ad]=A1395)*(Tablo3[Ürün Kar Tutarı]))</f>
        <v>0</v>
      </c>
      <c r="D1395" s="14"/>
      <c r="F1395" s="9" cm="1">
        <f t="array" ref="F1395">SUMPRODUCT((Tablo3[Şehirler]=E1395)*(Tablo3[Ürün Kar Tutarı]))</f>
        <v>0</v>
      </c>
      <c r="H1395" s="14"/>
      <c r="J1395" s="9" cm="1">
        <f t="array" ref="J1395">SUMPRODUCT((Tablo3[Urun Ad]=I1395)*(Tablo3[Ürün Kar Tutarı]))</f>
        <v>0</v>
      </c>
      <c r="L1395" s="37"/>
    </row>
    <row r="1396" spans="1:12" x14ac:dyDescent="0.25">
      <c r="A1396" s="13"/>
      <c r="B1396" s="9" cm="1">
        <f t="array" ref="B1396">SUMPRODUCT((Tablo3[Personel Ad]=A1396)*(Tablo3[Ürün Kar Tutarı]))</f>
        <v>0</v>
      </c>
      <c r="D1396" s="14"/>
      <c r="F1396" s="9" cm="1">
        <f t="array" ref="F1396">SUMPRODUCT((Tablo3[Şehirler]=E1396)*(Tablo3[Ürün Kar Tutarı]))</f>
        <v>0</v>
      </c>
      <c r="H1396" s="14"/>
      <c r="J1396" s="9" cm="1">
        <f t="array" ref="J1396">SUMPRODUCT((Tablo3[Urun Ad]=I1396)*(Tablo3[Ürün Kar Tutarı]))</f>
        <v>0</v>
      </c>
      <c r="L1396" s="37"/>
    </row>
    <row r="1397" spans="1:12" x14ac:dyDescent="0.25">
      <c r="A1397" s="13"/>
      <c r="B1397" s="9" cm="1">
        <f t="array" ref="B1397">SUMPRODUCT((Tablo3[Personel Ad]=A1397)*(Tablo3[Ürün Kar Tutarı]))</f>
        <v>0</v>
      </c>
      <c r="D1397" s="14"/>
      <c r="F1397" s="9" cm="1">
        <f t="array" ref="F1397">SUMPRODUCT((Tablo3[Şehirler]=E1397)*(Tablo3[Ürün Kar Tutarı]))</f>
        <v>0</v>
      </c>
      <c r="H1397" s="14"/>
      <c r="J1397" s="9" cm="1">
        <f t="array" ref="J1397">SUMPRODUCT((Tablo3[Urun Ad]=I1397)*(Tablo3[Ürün Kar Tutarı]))</f>
        <v>0</v>
      </c>
      <c r="L1397" s="37"/>
    </row>
    <row r="1398" spans="1:12" x14ac:dyDescent="0.25">
      <c r="A1398" s="13"/>
      <c r="B1398" s="9" cm="1">
        <f t="array" ref="B1398">SUMPRODUCT((Tablo3[Personel Ad]=A1398)*(Tablo3[Ürün Kar Tutarı]))</f>
        <v>0</v>
      </c>
      <c r="D1398" s="14"/>
      <c r="F1398" s="9" cm="1">
        <f t="array" ref="F1398">SUMPRODUCT((Tablo3[Şehirler]=E1398)*(Tablo3[Ürün Kar Tutarı]))</f>
        <v>0</v>
      </c>
      <c r="H1398" s="14"/>
      <c r="J1398" s="9" cm="1">
        <f t="array" ref="J1398">SUMPRODUCT((Tablo3[Urun Ad]=I1398)*(Tablo3[Ürün Kar Tutarı]))</f>
        <v>0</v>
      </c>
      <c r="L1398" s="37"/>
    </row>
    <row r="1399" spans="1:12" x14ac:dyDescent="0.25">
      <c r="A1399" s="13"/>
      <c r="B1399" s="9" cm="1">
        <f t="array" ref="B1399">SUMPRODUCT((Tablo3[Personel Ad]=A1399)*(Tablo3[Ürün Kar Tutarı]))</f>
        <v>0</v>
      </c>
      <c r="D1399" s="14"/>
      <c r="F1399" s="9" cm="1">
        <f t="array" ref="F1399">SUMPRODUCT((Tablo3[Şehirler]=E1399)*(Tablo3[Ürün Kar Tutarı]))</f>
        <v>0</v>
      </c>
      <c r="H1399" s="14"/>
      <c r="J1399" s="9" cm="1">
        <f t="array" ref="J1399">SUMPRODUCT((Tablo3[Urun Ad]=I1399)*(Tablo3[Ürün Kar Tutarı]))</f>
        <v>0</v>
      </c>
      <c r="L1399" s="37"/>
    </row>
    <row r="1400" spans="1:12" x14ac:dyDescent="0.25">
      <c r="A1400" s="13"/>
      <c r="B1400" s="9" cm="1">
        <f t="array" ref="B1400">SUMPRODUCT((Tablo3[Personel Ad]=A1400)*(Tablo3[Ürün Kar Tutarı]))</f>
        <v>0</v>
      </c>
      <c r="D1400" s="14"/>
      <c r="F1400" s="9" cm="1">
        <f t="array" ref="F1400">SUMPRODUCT((Tablo3[Şehirler]=E1400)*(Tablo3[Ürün Kar Tutarı]))</f>
        <v>0</v>
      </c>
      <c r="H1400" s="14"/>
      <c r="J1400" s="9" cm="1">
        <f t="array" ref="J1400">SUMPRODUCT((Tablo3[Urun Ad]=I1400)*(Tablo3[Ürün Kar Tutarı]))</f>
        <v>0</v>
      </c>
      <c r="L1400" s="37"/>
    </row>
    <row r="1401" spans="1:12" x14ac:dyDescent="0.25">
      <c r="A1401" s="13"/>
      <c r="B1401" s="9" cm="1">
        <f t="array" ref="B1401">SUMPRODUCT((Tablo3[Personel Ad]=A1401)*(Tablo3[Ürün Kar Tutarı]))</f>
        <v>0</v>
      </c>
      <c r="D1401" s="14"/>
      <c r="F1401" s="9" cm="1">
        <f t="array" ref="F1401">SUMPRODUCT((Tablo3[Şehirler]=E1401)*(Tablo3[Ürün Kar Tutarı]))</f>
        <v>0</v>
      </c>
      <c r="H1401" s="14"/>
      <c r="J1401" s="9" cm="1">
        <f t="array" ref="J1401">SUMPRODUCT((Tablo3[Urun Ad]=I1401)*(Tablo3[Ürün Kar Tutarı]))</f>
        <v>0</v>
      </c>
      <c r="L1401" s="37"/>
    </row>
    <row r="1402" spans="1:12" x14ac:dyDescent="0.25">
      <c r="A1402" s="13"/>
      <c r="B1402" s="9" cm="1">
        <f t="array" ref="B1402">SUMPRODUCT((Tablo3[Personel Ad]=A1402)*(Tablo3[Ürün Kar Tutarı]))</f>
        <v>0</v>
      </c>
      <c r="D1402" s="14"/>
      <c r="F1402" s="9" cm="1">
        <f t="array" ref="F1402">SUMPRODUCT((Tablo3[Şehirler]=E1402)*(Tablo3[Ürün Kar Tutarı]))</f>
        <v>0</v>
      </c>
      <c r="H1402" s="14"/>
      <c r="J1402" s="9" cm="1">
        <f t="array" ref="J1402">SUMPRODUCT((Tablo3[Urun Ad]=I1402)*(Tablo3[Ürün Kar Tutarı]))</f>
        <v>0</v>
      </c>
      <c r="L1402" s="37"/>
    </row>
    <row r="1403" spans="1:12" x14ac:dyDescent="0.25">
      <c r="A1403" s="13"/>
      <c r="B1403" s="9" cm="1">
        <f t="array" ref="B1403">SUMPRODUCT((Tablo3[Personel Ad]=A1403)*(Tablo3[Ürün Kar Tutarı]))</f>
        <v>0</v>
      </c>
      <c r="D1403" s="14"/>
      <c r="F1403" s="9" cm="1">
        <f t="array" ref="F1403">SUMPRODUCT((Tablo3[Şehirler]=E1403)*(Tablo3[Ürün Kar Tutarı]))</f>
        <v>0</v>
      </c>
      <c r="H1403" s="14"/>
      <c r="J1403" s="9" cm="1">
        <f t="array" ref="J1403">SUMPRODUCT((Tablo3[Urun Ad]=I1403)*(Tablo3[Ürün Kar Tutarı]))</f>
        <v>0</v>
      </c>
      <c r="L1403" s="37"/>
    </row>
    <row r="1404" spans="1:12" x14ac:dyDescent="0.25">
      <c r="A1404" s="13"/>
      <c r="B1404" s="9" cm="1">
        <f t="array" ref="B1404">SUMPRODUCT((Tablo3[Personel Ad]=A1404)*(Tablo3[Ürün Kar Tutarı]))</f>
        <v>0</v>
      </c>
      <c r="D1404" s="14"/>
      <c r="F1404" s="9" cm="1">
        <f t="array" ref="F1404">SUMPRODUCT((Tablo3[Şehirler]=E1404)*(Tablo3[Ürün Kar Tutarı]))</f>
        <v>0</v>
      </c>
      <c r="H1404" s="14"/>
      <c r="J1404" s="9" cm="1">
        <f t="array" ref="J1404">SUMPRODUCT((Tablo3[Urun Ad]=I1404)*(Tablo3[Ürün Kar Tutarı]))</f>
        <v>0</v>
      </c>
      <c r="L1404" s="37"/>
    </row>
    <row r="1405" spans="1:12" x14ac:dyDescent="0.25">
      <c r="A1405" s="13"/>
      <c r="B1405" s="9" cm="1">
        <f t="array" ref="B1405">SUMPRODUCT((Tablo3[Personel Ad]=A1405)*(Tablo3[Ürün Kar Tutarı]))</f>
        <v>0</v>
      </c>
      <c r="D1405" s="14"/>
      <c r="F1405" s="9" cm="1">
        <f t="array" ref="F1405">SUMPRODUCT((Tablo3[Şehirler]=E1405)*(Tablo3[Ürün Kar Tutarı]))</f>
        <v>0</v>
      </c>
      <c r="H1405" s="14"/>
      <c r="J1405" s="9" cm="1">
        <f t="array" ref="J1405">SUMPRODUCT((Tablo3[Urun Ad]=I1405)*(Tablo3[Ürün Kar Tutarı]))</f>
        <v>0</v>
      </c>
      <c r="L1405" s="37"/>
    </row>
    <row r="1406" spans="1:12" x14ac:dyDescent="0.25">
      <c r="A1406" s="13"/>
      <c r="B1406" s="9" cm="1">
        <f t="array" ref="B1406">SUMPRODUCT((Tablo3[Personel Ad]=A1406)*(Tablo3[Ürün Kar Tutarı]))</f>
        <v>0</v>
      </c>
      <c r="D1406" s="14"/>
      <c r="F1406" s="9" cm="1">
        <f t="array" ref="F1406">SUMPRODUCT((Tablo3[Şehirler]=E1406)*(Tablo3[Ürün Kar Tutarı]))</f>
        <v>0</v>
      </c>
      <c r="H1406" s="14"/>
      <c r="J1406" s="9" cm="1">
        <f t="array" ref="J1406">SUMPRODUCT((Tablo3[Urun Ad]=I1406)*(Tablo3[Ürün Kar Tutarı]))</f>
        <v>0</v>
      </c>
      <c r="L1406" s="37"/>
    </row>
    <row r="1407" spans="1:12" x14ac:dyDescent="0.25">
      <c r="A1407" s="13"/>
      <c r="B1407" s="9" cm="1">
        <f t="array" ref="B1407">SUMPRODUCT((Tablo3[Personel Ad]=A1407)*(Tablo3[Ürün Kar Tutarı]))</f>
        <v>0</v>
      </c>
      <c r="D1407" s="14"/>
      <c r="F1407" s="9" cm="1">
        <f t="array" ref="F1407">SUMPRODUCT((Tablo3[Şehirler]=E1407)*(Tablo3[Ürün Kar Tutarı]))</f>
        <v>0</v>
      </c>
      <c r="H1407" s="14"/>
      <c r="J1407" s="9" cm="1">
        <f t="array" ref="J1407">SUMPRODUCT((Tablo3[Urun Ad]=I1407)*(Tablo3[Ürün Kar Tutarı]))</f>
        <v>0</v>
      </c>
      <c r="L1407" s="37"/>
    </row>
    <row r="1408" spans="1:12" x14ac:dyDescent="0.25">
      <c r="A1408" s="13"/>
      <c r="B1408" s="9" cm="1">
        <f t="array" ref="B1408">SUMPRODUCT((Tablo3[Personel Ad]=A1408)*(Tablo3[Ürün Kar Tutarı]))</f>
        <v>0</v>
      </c>
      <c r="D1408" s="14"/>
      <c r="F1408" s="9" cm="1">
        <f t="array" ref="F1408">SUMPRODUCT((Tablo3[Şehirler]=E1408)*(Tablo3[Ürün Kar Tutarı]))</f>
        <v>0</v>
      </c>
      <c r="H1408" s="14"/>
      <c r="J1408" s="9" cm="1">
        <f t="array" ref="J1408">SUMPRODUCT((Tablo3[Urun Ad]=I1408)*(Tablo3[Ürün Kar Tutarı]))</f>
        <v>0</v>
      </c>
      <c r="L1408" s="37"/>
    </row>
    <row r="1409" spans="1:12" x14ac:dyDescent="0.25">
      <c r="A1409" s="13"/>
      <c r="B1409" s="9" cm="1">
        <f t="array" ref="B1409">SUMPRODUCT((Tablo3[Personel Ad]=A1409)*(Tablo3[Ürün Kar Tutarı]))</f>
        <v>0</v>
      </c>
      <c r="D1409" s="14"/>
      <c r="F1409" s="9" cm="1">
        <f t="array" ref="F1409">SUMPRODUCT((Tablo3[Şehirler]=E1409)*(Tablo3[Ürün Kar Tutarı]))</f>
        <v>0</v>
      </c>
      <c r="H1409" s="14"/>
      <c r="J1409" s="9" cm="1">
        <f t="array" ref="J1409">SUMPRODUCT((Tablo3[Urun Ad]=I1409)*(Tablo3[Ürün Kar Tutarı]))</f>
        <v>0</v>
      </c>
      <c r="L1409" s="37"/>
    </row>
    <row r="1410" spans="1:12" x14ac:dyDescent="0.25">
      <c r="A1410" s="13"/>
      <c r="B1410" s="9" cm="1">
        <f t="array" ref="B1410">SUMPRODUCT((Tablo3[Personel Ad]=A1410)*(Tablo3[Ürün Kar Tutarı]))</f>
        <v>0</v>
      </c>
      <c r="D1410" s="14"/>
      <c r="F1410" s="9" cm="1">
        <f t="array" ref="F1410">SUMPRODUCT((Tablo3[Şehirler]=E1410)*(Tablo3[Ürün Kar Tutarı]))</f>
        <v>0</v>
      </c>
      <c r="H1410" s="14"/>
      <c r="J1410" s="9" cm="1">
        <f t="array" ref="J1410">SUMPRODUCT((Tablo3[Urun Ad]=I1410)*(Tablo3[Ürün Kar Tutarı]))</f>
        <v>0</v>
      </c>
      <c r="L1410" s="37"/>
    </row>
    <row r="1411" spans="1:12" x14ac:dyDescent="0.25">
      <c r="A1411" s="13"/>
      <c r="B1411" s="9" cm="1">
        <f t="array" ref="B1411">SUMPRODUCT((Tablo3[Personel Ad]=A1411)*(Tablo3[Ürün Kar Tutarı]))</f>
        <v>0</v>
      </c>
      <c r="D1411" s="14"/>
      <c r="F1411" s="9" cm="1">
        <f t="array" ref="F1411">SUMPRODUCT((Tablo3[Şehirler]=E1411)*(Tablo3[Ürün Kar Tutarı]))</f>
        <v>0</v>
      </c>
      <c r="H1411" s="14"/>
      <c r="J1411" s="9" cm="1">
        <f t="array" ref="J1411">SUMPRODUCT((Tablo3[Urun Ad]=I1411)*(Tablo3[Ürün Kar Tutarı]))</f>
        <v>0</v>
      </c>
      <c r="L1411" s="37"/>
    </row>
    <row r="1412" spans="1:12" x14ac:dyDescent="0.25">
      <c r="A1412" s="13"/>
      <c r="B1412" s="9" cm="1">
        <f t="array" ref="B1412">SUMPRODUCT((Tablo3[Personel Ad]=A1412)*(Tablo3[Ürün Kar Tutarı]))</f>
        <v>0</v>
      </c>
      <c r="D1412" s="14"/>
      <c r="F1412" s="9" cm="1">
        <f t="array" ref="F1412">SUMPRODUCT((Tablo3[Şehirler]=E1412)*(Tablo3[Ürün Kar Tutarı]))</f>
        <v>0</v>
      </c>
      <c r="H1412" s="14"/>
      <c r="J1412" s="9" cm="1">
        <f t="array" ref="J1412">SUMPRODUCT((Tablo3[Urun Ad]=I1412)*(Tablo3[Ürün Kar Tutarı]))</f>
        <v>0</v>
      </c>
      <c r="L1412" s="37"/>
    </row>
    <row r="1413" spans="1:12" x14ac:dyDescent="0.25">
      <c r="A1413" s="13"/>
      <c r="B1413" s="9" cm="1">
        <f t="array" ref="B1413">SUMPRODUCT((Tablo3[Personel Ad]=A1413)*(Tablo3[Ürün Kar Tutarı]))</f>
        <v>0</v>
      </c>
      <c r="D1413" s="14"/>
      <c r="F1413" s="9" cm="1">
        <f t="array" ref="F1413">SUMPRODUCT((Tablo3[Şehirler]=E1413)*(Tablo3[Ürün Kar Tutarı]))</f>
        <v>0</v>
      </c>
      <c r="H1413" s="14"/>
      <c r="J1413" s="9" cm="1">
        <f t="array" ref="J1413">SUMPRODUCT((Tablo3[Urun Ad]=I1413)*(Tablo3[Ürün Kar Tutarı]))</f>
        <v>0</v>
      </c>
      <c r="L1413" s="37"/>
    </row>
    <row r="1414" spans="1:12" x14ac:dyDescent="0.25">
      <c r="A1414" s="13"/>
      <c r="B1414" s="9" cm="1">
        <f t="array" ref="B1414">SUMPRODUCT((Tablo3[Personel Ad]=A1414)*(Tablo3[Ürün Kar Tutarı]))</f>
        <v>0</v>
      </c>
      <c r="D1414" s="14"/>
      <c r="F1414" s="9" cm="1">
        <f t="array" ref="F1414">SUMPRODUCT((Tablo3[Şehirler]=E1414)*(Tablo3[Ürün Kar Tutarı]))</f>
        <v>0</v>
      </c>
      <c r="H1414" s="14"/>
      <c r="J1414" s="9" cm="1">
        <f t="array" ref="J1414">SUMPRODUCT((Tablo3[Urun Ad]=I1414)*(Tablo3[Ürün Kar Tutarı]))</f>
        <v>0</v>
      </c>
      <c r="L1414" s="37"/>
    </row>
    <row r="1415" spans="1:12" x14ac:dyDescent="0.25">
      <c r="A1415" s="13"/>
      <c r="B1415" s="9" cm="1">
        <f t="array" ref="B1415">SUMPRODUCT((Tablo3[Personel Ad]=A1415)*(Tablo3[Ürün Kar Tutarı]))</f>
        <v>0</v>
      </c>
      <c r="D1415" s="14"/>
      <c r="F1415" s="9" cm="1">
        <f t="array" ref="F1415">SUMPRODUCT((Tablo3[Şehirler]=E1415)*(Tablo3[Ürün Kar Tutarı]))</f>
        <v>0</v>
      </c>
      <c r="H1415" s="14"/>
      <c r="J1415" s="9" cm="1">
        <f t="array" ref="J1415">SUMPRODUCT((Tablo3[Urun Ad]=I1415)*(Tablo3[Ürün Kar Tutarı]))</f>
        <v>0</v>
      </c>
      <c r="L1415" s="37"/>
    </row>
    <row r="1416" spans="1:12" x14ac:dyDescent="0.25">
      <c r="A1416" s="13"/>
      <c r="B1416" s="9" cm="1">
        <f t="array" ref="B1416">SUMPRODUCT((Tablo3[Personel Ad]=A1416)*(Tablo3[Ürün Kar Tutarı]))</f>
        <v>0</v>
      </c>
      <c r="D1416" s="14"/>
      <c r="F1416" s="9" cm="1">
        <f t="array" ref="F1416">SUMPRODUCT((Tablo3[Şehirler]=E1416)*(Tablo3[Ürün Kar Tutarı]))</f>
        <v>0</v>
      </c>
      <c r="H1416" s="14"/>
      <c r="J1416" s="9" cm="1">
        <f t="array" ref="J1416">SUMPRODUCT((Tablo3[Urun Ad]=I1416)*(Tablo3[Ürün Kar Tutarı]))</f>
        <v>0</v>
      </c>
      <c r="L1416" s="37"/>
    </row>
    <row r="1417" spans="1:12" x14ac:dyDescent="0.25">
      <c r="A1417" s="13"/>
      <c r="B1417" s="9" cm="1">
        <f t="array" ref="B1417">SUMPRODUCT((Tablo3[Personel Ad]=A1417)*(Tablo3[Ürün Kar Tutarı]))</f>
        <v>0</v>
      </c>
      <c r="D1417" s="14"/>
      <c r="F1417" s="9" cm="1">
        <f t="array" ref="F1417">SUMPRODUCT((Tablo3[Şehirler]=E1417)*(Tablo3[Ürün Kar Tutarı]))</f>
        <v>0</v>
      </c>
      <c r="H1417" s="14"/>
      <c r="J1417" s="9" cm="1">
        <f t="array" ref="J1417">SUMPRODUCT((Tablo3[Urun Ad]=I1417)*(Tablo3[Ürün Kar Tutarı]))</f>
        <v>0</v>
      </c>
      <c r="L1417" s="37"/>
    </row>
    <row r="1418" spans="1:12" x14ac:dyDescent="0.25">
      <c r="A1418" s="13"/>
      <c r="B1418" s="9" cm="1">
        <f t="array" ref="B1418">SUMPRODUCT((Tablo3[Personel Ad]=A1418)*(Tablo3[Ürün Kar Tutarı]))</f>
        <v>0</v>
      </c>
      <c r="D1418" s="14"/>
      <c r="F1418" s="9" cm="1">
        <f t="array" ref="F1418">SUMPRODUCT((Tablo3[Şehirler]=E1418)*(Tablo3[Ürün Kar Tutarı]))</f>
        <v>0</v>
      </c>
      <c r="H1418" s="14"/>
      <c r="J1418" s="9" cm="1">
        <f t="array" ref="J1418">SUMPRODUCT((Tablo3[Urun Ad]=I1418)*(Tablo3[Ürün Kar Tutarı]))</f>
        <v>0</v>
      </c>
      <c r="L1418" s="37"/>
    </row>
    <row r="1419" spans="1:12" x14ac:dyDescent="0.25">
      <c r="A1419" s="13"/>
      <c r="B1419" s="9" cm="1">
        <f t="array" ref="B1419">SUMPRODUCT((Tablo3[Personel Ad]=A1419)*(Tablo3[Ürün Kar Tutarı]))</f>
        <v>0</v>
      </c>
      <c r="D1419" s="14"/>
      <c r="F1419" s="9" cm="1">
        <f t="array" ref="F1419">SUMPRODUCT((Tablo3[Şehirler]=E1419)*(Tablo3[Ürün Kar Tutarı]))</f>
        <v>0</v>
      </c>
      <c r="H1419" s="14"/>
      <c r="J1419" s="9" cm="1">
        <f t="array" ref="J1419">SUMPRODUCT((Tablo3[Urun Ad]=I1419)*(Tablo3[Ürün Kar Tutarı]))</f>
        <v>0</v>
      </c>
      <c r="L1419" s="37"/>
    </row>
    <row r="1420" spans="1:12" x14ac:dyDescent="0.25">
      <c r="A1420" s="13"/>
      <c r="B1420" s="9" cm="1">
        <f t="array" ref="B1420">SUMPRODUCT((Tablo3[Personel Ad]=A1420)*(Tablo3[Ürün Kar Tutarı]))</f>
        <v>0</v>
      </c>
      <c r="D1420" s="14"/>
      <c r="F1420" s="9" cm="1">
        <f t="array" ref="F1420">SUMPRODUCT((Tablo3[Şehirler]=E1420)*(Tablo3[Ürün Kar Tutarı]))</f>
        <v>0</v>
      </c>
      <c r="H1420" s="14"/>
      <c r="J1420" s="9" cm="1">
        <f t="array" ref="J1420">SUMPRODUCT((Tablo3[Urun Ad]=I1420)*(Tablo3[Ürün Kar Tutarı]))</f>
        <v>0</v>
      </c>
      <c r="L1420" s="37"/>
    </row>
    <row r="1421" spans="1:12" x14ac:dyDescent="0.25">
      <c r="A1421" s="13"/>
      <c r="B1421" s="9" cm="1">
        <f t="array" ref="B1421">SUMPRODUCT((Tablo3[Personel Ad]=A1421)*(Tablo3[Ürün Kar Tutarı]))</f>
        <v>0</v>
      </c>
      <c r="D1421" s="14"/>
      <c r="F1421" s="9" cm="1">
        <f t="array" ref="F1421">SUMPRODUCT((Tablo3[Şehirler]=E1421)*(Tablo3[Ürün Kar Tutarı]))</f>
        <v>0</v>
      </c>
      <c r="H1421" s="14"/>
      <c r="J1421" s="9" cm="1">
        <f t="array" ref="J1421">SUMPRODUCT((Tablo3[Urun Ad]=I1421)*(Tablo3[Ürün Kar Tutarı]))</f>
        <v>0</v>
      </c>
      <c r="L1421" s="37"/>
    </row>
    <row r="1422" spans="1:12" x14ac:dyDescent="0.25">
      <c r="A1422" s="13"/>
      <c r="B1422" s="9" cm="1">
        <f t="array" ref="B1422">SUMPRODUCT((Tablo3[Personel Ad]=A1422)*(Tablo3[Ürün Kar Tutarı]))</f>
        <v>0</v>
      </c>
      <c r="D1422" s="14"/>
      <c r="F1422" s="9" cm="1">
        <f t="array" ref="F1422">SUMPRODUCT((Tablo3[Şehirler]=E1422)*(Tablo3[Ürün Kar Tutarı]))</f>
        <v>0</v>
      </c>
      <c r="H1422" s="14"/>
      <c r="J1422" s="9" cm="1">
        <f t="array" ref="J1422">SUMPRODUCT((Tablo3[Urun Ad]=I1422)*(Tablo3[Ürün Kar Tutarı]))</f>
        <v>0</v>
      </c>
      <c r="L1422" s="37"/>
    </row>
    <row r="1423" spans="1:12" x14ac:dyDescent="0.25">
      <c r="A1423" s="13"/>
      <c r="B1423" s="9" cm="1">
        <f t="array" ref="B1423">SUMPRODUCT((Tablo3[Personel Ad]=A1423)*(Tablo3[Ürün Kar Tutarı]))</f>
        <v>0</v>
      </c>
      <c r="D1423" s="14"/>
      <c r="F1423" s="9" cm="1">
        <f t="array" ref="F1423">SUMPRODUCT((Tablo3[Şehirler]=E1423)*(Tablo3[Ürün Kar Tutarı]))</f>
        <v>0</v>
      </c>
      <c r="H1423" s="14"/>
      <c r="J1423" s="9" cm="1">
        <f t="array" ref="J1423">SUMPRODUCT((Tablo3[Urun Ad]=I1423)*(Tablo3[Ürün Kar Tutarı]))</f>
        <v>0</v>
      </c>
      <c r="L1423" s="37"/>
    </row>
    <row r="1424" spans="1:12" x14ac:dyDescent="0.25">
      <c r="A1424" s="13"/>
      <c r="B1424" s="9" cm="1">
        <f t="array" ref="B1424">SUMPRODUCT((Tablo3[Personel Ad]=A1424)*(Tablo3[Ürün Kar Tutarı]))</f>
        <v>0</v>
      </c>
      <c r="D1424" s="14"/>
      <c r="F1424" s="9" cm="1">
        <f t="array" ref="F1424">SUMPRODUCT((Tablo3[Şehirler]=E1424)*(Tablo3[Ürün Kar Tutarı]))</f>
        <v>0</v>
      </c>
      <c r="H1424" s="14"/>
      <c r="J1424" s="9" cm="1">
        <f t="array" ref="J1424">SUMPRODUCT((Tablo3[Urun Ad]=I1424)*(Tablo3[Ürün Kar Tutarı]))</f>
        <v>0</v>
      </c>
      <c r="L1424" s="37"/>
    </row>
    <row r="1425" spans="1:12" x14ac:dyDescent="0.25">
      <c r="A1425" s="13"/>
      <c r="B1425" s="9" cm="1">
        <f t="array" ref="B1425">SUMPRODUCT((Tablo3[Personel Ad]=A1425)*(Tablo3[Ürün Kar Tutarı]))</f>
        <v>0</v>
      </c>
      <c r="D1425" s="14"/>
      <c r="F1425" s="9" cm="1">
        <f t="array" ref="F1425">SUMPRODUCT((Tablo3[Şehirler]=E1425)*(Tablo3[Ürün Kar Tutarı]))</f>
        <v>0</v>
      </c>
      <c r="H1425" s="14"/>
      <c r="J1425" s="9" cm="1">
        <f t="array" ref="J1425">SUMPRODUCT((Tablo3[Urun Ad]=I1425)*(Tablo3[Ürün Kar Tutarı]))</f>
        <v>0</v>
      </c>
      <c r="L1425" s="37"/>
    </row>
    <row r="1426" spans="1:12" x14ac:dyDescent="0.25">
      <c r="A1426" s="13"/>
      <c r="B1426" s="9" cm="1">
        <f t="array" ref="B1426">SUMPRODUCT((Tablo3[Personel Ad]=A1426)*(Tablo3[Ürün Kar Tutarı]))</f>
        <v>0</v>
      </c>
      <c r="D1426" s="14"/>
      <c r="F1426" s="9" cm="1">
        <f t="array" ref="F1426">SUMPRODUCT((Tablo3[Şehirler]=E1426)*(Tablo3[Ürün Kar Tutarı]))</f>
        <v>0</v>
      </c>
      <c r="H1426" s="14"/>
      <c r="J1426" s="9" cm="1">
        <f t="array" ref="J1426">SUMPRODUCT((Tablo3[Urun Ad]=I1426)*(Tablo3[Ürün Kar Tutarı]))</f>
        <v>0</v>
      </c>
      <c r="L1426" s="37"/>
    </row>
    <row r="1427" spans="1:12" x14ac:dyDescent="0.25">
      <c r="A1427" s="13"/>
      <c r="B1427" s="9" cm="1">
        <f t="array" ref="B1427">SUMPRODUCT((Tablo3[Personel Ad]=A1427)*(Tablo3[Ürün Kar Tutarı]))</f>
        <v>0</v>
      </c>
      <c r="D1427" s="14"/>
      <c r="F1427" s="9" cm="1">
        <f t="array" ref="F1427">SUMPRODUCT((Tablo3[Şehirler]=E1427)*(Tablo3[Ürün Kar Tutarı]))</f>
        <v>0</v>
      </c>
      <c r="H1427" s="14"/>
      <c r="J1427" s="9" cm="1">
        <f t="array" ref="J1427">SUMPRODUCT((Tablo3[Urun Ad]=I1427)*(Tablo3[Ürün Kar Tutarı]))</f>
        <v>0</v>
      </c>
      <c r="L1427" s="37"/>
    </row>
    <row r="1428" spans="1:12" x14ac:dyDescent="0.25">
      <c r="A1428" s="13"/>
      <c r="B1428" s="9" cm="1">
        <f t="array" ref="B1428">SUMPRODUCT((Tablo3[Personel Ad]=A1428)*(Tablo3[Ürün Kar Tutarı]))</f>
        <v>0</v>
      </c>
      <c r="D1428" s="14"/>
      <c r="F1428" s="9" cm="1">
        <f t="array" ref="F1428">SUMPRODUCT((Tablo3[Şehirler]=E1428)*(Tablo3[Ürün Kar Tutarı]))</f>
        <v>0</v>
      </c>
      <c r="H1428" s="14"/>
      <c r="J1428" s="9" cm="1">
        <f t="array" ref="J1428">SUMPRODUCT((Tablo3[Urun Ad]=I1428)*(Tablo3[Ürün Kar Tutarı]))</f>
        <v>0</v>
      </c>
      <c r="L1428" s="37"/>
    </row>
    <row r="1429" spans="1:12" x14ac:dyDescent="0.25">
      <c r="A1429" s="13"/>
      <c r="B1429" s="9" cm="1">
        <f t="array" ref="B1429">SUMPRODUCT((Tablo3[Personel Ad]=A1429)*(Tablo3[Ürün Kar Tutarı]))</f>
        <v>0</v>
      </c>
      <c r="D1429" s="14"/>
      <c r="F1429" s="9" cm="1">
        <f t="array" ref="F1429">SUMPRODUCT((Tablo3[Şehirler]=E1429)*(Tablo3[Ürün Kar Tutarı]))</f>
        <v>0</v>
      </c>
      <c r="H1429" s="14"/>
      <c r="J1429" s="9" cm="1">
        <f t="array" ref="J1429">SUMPRODUCT((Tablo3[Urun Ad]=I1429)*(Tablo3[Ürün Kar Tutarı]))</f>
        <v>0</v>
      </c>
      <c r="L1429" s="37"/>
    </row>
    <row r="1430" spans="1:12" x14ac:dyDescent="0.25">
      <c r="A1430" s="13"/>
      <c r="B1430" s="9" cm="1">
        <f t="array" ref="B1430">SUMPRODUCT((Tablo3[Personel Ad]=A1430)*(Tablo3[Ürün Kar Tutarı]))</f>
        <v>0</v>
      </c>
      <c r="D1430" s="14"/>
      <c r="F1430" s="9" cm="1">
        <f t="array" ref="F1430">SUMPRODUCT((Tablo3[Şehirler]=E1430)*(Tablo3[Ürün Kar Tutarı]))</f>
        <v>0</v>
      </c>
      <c r="H1430" s="14"/>
      <c r="J1430" s="9" cm="1">
        <f t="array" ref="J1430">SUMPRODUCT((Tablo3[Urun Ad]=I1430)*(Tablo3[Ürün Kar Tutarı]))</f>
        <v>0</v>
      </c>
      <c r="L1430" s="37"/>
    </row>
    <row r="1431" spans="1:12" x14ac:dyDescent="0.25">
      <c r="A1431" s="13"/>
      <c r="B1431" s="9" cm="1">
        <f t="array" ref="B1431">SUMPRODUCT((Tablo3[Personel Ad]=A1431)*(Tablo3[Ürün Kar Tutarı]))</f>
        <v>0</v>
      </c>
      <c r="D1431" s="14"/>
      <c r="F1431" s="9" cm="1">
        <f t="array" ref="F1431">SUMPRODUCT((Tablo3[Şehirler]=E1431)*(Tablo3[Ürün Kar Tutarı]))</f>
        <v>0</v>
      </c>
      <c r="H1431" s="14"/>
      <c r="J1431" s="9" cm="1">
        <f t="array" ref="J1431">SUMPRODUCT((Tablo3[Urun Ad]=I1431)*(Tablo3[Ürün Kar Tutarı]))</f>
        <v>0</v>
      </c>
      <c r="L1431" s="37"/>
    </row>
    <row r="1432" spans="1:12" x14ac:dyDescent="0.25">
      <c r="A1432" s="13"/>
      <c r="B1432" s="9" cm="1">
        <f t="array" ref="B1432">SUMPRODUCT((Tablo3[Personel Ad]=A1432)*(Tablo3[Ürün Kar Tutarı]))</f>
        <v>0</v>
      </c>
      <c r="D1432" s="14"/>
      <c r="F1432" s="9" cm="1">
        <f t="array" ref="F1432">SUMPRODUCT((Tablo3[Şehirler]=E1432)*(Tablo3[Ürün Kar Tutarı]))</f>
        <v>0</v>
      </c>
      <c r="H1432" s="14"/>
      <c r="J1432" s="9" cm="1">
        <f t="array" ref="J1432">SUMPRODUCT((Tablo3[Urun Ad]=I1432)*(Tablo3[Ürün Kar Tutarı]))</f>
        <v>0</v>
      </c>
      <c r="L1432" s="37"/>
    </row>
    <row r="1433" spans="1:12" x14ac:dyDescent="0.25">
      <c r="A1433" s="13"/>
      <c r="B1433" s="9" cm="1">
        <f t="array" ref="B1433">SUMPRODUCT((Tablo3[Personel Ad]=A1433)*(Tablo3[Ürün Kar Tutarı]))</f>
        <v>0</v>
      </c>
      <c r="D1433" s="14"/>
      <c r="F1433" s="9" cm="1">
        <f t="array" ref="F1433">SUMPRODUCT((Tablo3[Şehirler]=E1433)*(Tablo3[Ürün Kar Tutarı]))</f>
        <v>0</v>
      </c>
      <c r="H1433" s="14"/>
      <c r="J1433" s="9" cm="1">
        <f t="array" ref="J1433">SUMPRODUCT((Tablo3[Urun Ad]=I1433)*(Tablo3[Ürün Kar Tutarı]))</f>
        <v>0</v>
      </c>
      <c r="L1433" s="37"/>
    </row>
    <row r="1434" spans="1:12" x14ac:dyDescent="0.25">
      <c r="A1434" s="13"/>
      <c r="B1434" s="9" cm="1">
        <f t="array" ref="B1434">SUMPRODUCT((Tablo3[Personel Ad]=A1434)*(Tablo3[Ürün Kar Tutarı]))</f>
        <v>0</v>
      </c>
      <c r="D1434" s="14"/>
      <c r="F1434" s="9" cm="1">
        <f t="array" ref="F1434">SUMPRODUCT((Tablo3[Şehirler]=E1434)*(Tablo3[Ürün Kar Tutarı]))</f>
        <v>0</v>
      </c>
      <c r="H1434" s="14"/>
      <c r="J1434" s="9" cm="1">
        <f t="array" ref="J1434">SUMPRODUCT((Tablo3[Urun Ad]=I1434)*(Tablo3[Ürün Kar Tutarı]))</f>
        <v>0</v>
      </c>
      <c r="L1434" s="37"/>
    </row>
    <row r="1435" spans="1:12" x14ac:dyDescent="0.25">
      <c r="A1435" s="13"/>
      <c r="B1435" s="9" cm="1">
        <f t="array" ref="B1435">SUMPRODUCT((Tablo3[Personel Ad]=A1435)*(Tablo3[Ürün Kar Tutarı]))</f>
        <v>0</v>
      </c>
      <c r="D1435" s="14"/>
      <c r="F1435" s="9" cm="1">
        <f t="array" ref="F1435">SUMPRODUCT((Tablo3[Şehirler]=E1435)*(Tablo3[Ürün Kar Tutarı]))</f>
        <v>0</v>
      </c>
      <c r="H1435" s="14"/>
      <c r="J1435" s="9" cm="1">
        <f t="array" ref="J1435">SUMPRODUCT((Tablo3[Urun Ad]=I1435)*(Tablo3[Ürün Kar Tutarı]))</f>
        <v>0</v>
      </c>
      <c r="L1435" s="37"/>
    </row>
    <row r="1436" spans="1:12" x14ac:dyDescent="0.25">
      <c r="A1436" s="13"/>
      <c r="B1436" s="9" cm="1">
        <f t="array" ref="B1436">SUMPRODUCT((Tablo3[Personel Ad]=A1436)*(Tablo3[Ürün Kar Tutarı]))</f>
        <v>0</v>
      </c>
      <c r="D1436" s="14"/>
      <c r="F1436" s="9" cm="1">
        <f t="array" ref="F1436">SUMPRODUCT((Tablo3[Şehirler]=E1436)*(Tablo3[Ürün Kar Tutarı]))</f>
        <v>0</v>
      </c>
      <c r="H1436" s="14"/>
      <c r="J1436" s="9" cm="1">
        <f t="array" ref="J1436">SUMPRODUCT((Tablo3[Urun Ad]=I1436)*(Tablo3[Ürün Kar Tutarı]))</f>
        <v>0</v>
      </c>
      <c r="L1436" s="37"/>
    </row>
    <row r="1437" spans="1:12" x14ac:dyDescent="0.25">
      <c r="A1437" s="13"/>
      <c r="B1437" s="9" cm="1">
        <f t="array" ref="B1437">SUMPRODUCT((Tablo3[Personel Ad]=A1437)*(Tablo3[Ürün Kar Tutarı]))</f>
        <v>0</v>
      </c>
      <c r="D1437" s="14"/>
      <c r="F1437" s="9" cm="1">
        <f t="array" ref="F1437">SUMPRODUCT((Tablo3[Şehirler]=E1437)*(Tablo3[Ürün Kar Tutarı]))</f>
        <v>0</v>
      </c>
      <c r="H1437" s="14"/>
      <c r="J1437" s="9" cm="1">
        <f t="array" ref="J1437">SUMPRODUCT((Tablo3[Urun Ad]=I1437)*(Tablo3[Ürün Kar Tutarı]))</f>
        <v>0</v>
      </c>
      <c r="L1437" s="37"/>
    </row>
    <row r="1438" spans="1:12" x14ac:dyDescent="0.25">
      <c r="A1438" s="13"/>
      <c r="B1438" s="9" cm="1">
        <f t="array" ref="B1438">SUMPRODUCT((Tablo3[Personel Ad]=A1438)*(Tablo3[Ürün Kar Tutarı]))</f>
        <v>0</v>
      </c>
      <c r="D1438" s="14"/>
      <c r="F1438" s="9" cm="1">
        <f t="array" ref="F1438">SUMPRODUCT((Tablo3[Şehirler]=E1438)*(Tablo3[Ürün Kar Tutarı]))</f>
        <v>0</v>
      </c>
      <c r="H1438" s="14"/>
      <c r="J1438" s="9" cm="1">
        <f t="array" ref="J1438">SUMPRODUCT((Tablo3[Urun Ad]=I1438)*(Tablo3[Ürün Kar Tutarı]))</f>
        <v>0</v>
      </c>
      <c r="L1438" s="37"/>
    </row>
    <row r="1439" spans="1:12" x14ac:dyDescent="0.25">
      <c r="A1439" s="13"/>
      <c r="B1439" s="9" cm="1">
        <f t="array" ref="B1439">SUMPRODUCT((Tablo3[Personel Ad]=A1439)*(Tablo3[Ürün Kar Tutarı]))</f>
        <v>0</v>
      </c>
      <c r="D1439" s="14"/>
      <c r="F1439" s="9" cm="1">
        <f t="array" ref="F1439">SUMPRODUCT((Tablo3[Şehirler]=E1439)*(Tablo3[Ürün Kar Tutarı]))</f>
        <v>0</v>
      </c>
      <c r="H1439" s="14"/>
      <c r="J1439" s="9" cm="1">
        <f t="array" ref="J1439">SUMPRODUCT((Tablo3[Urun Ad]=I1439)*(Tablo3[Ürün Kar Tutarı]))</f>
        <v>0</v>
      </c>
      <c r="L1439" s="37"/>
    </row>
    <row r="1440" spans="1:12" x14ac:dyDescent="0.25">
      <c r="A1440" s="13"/>
      <c r="B1440" s="9" cm="1">
        <f t="array" ref="B1440">SUMPRODUCT((Tablo3[Personel Ad]=A1440)*(Tablo3[Ürün Kar Tutarı]))</f>
        <v>0</v>
      </c>
      <c r="D1440" s="14"/>
      <c r="F1440" s="9" cm="1">
        <f t="array" ref="F1440">SUMPRODUCT((Tablo3[Şehirler]=E1440)*(Tablo3[Ürün Kar Tutarı]))</f>
        <v>0</v>
      </c>
      <c r="H1440" s="14"/>
      <c r="J1440" s="9" cm="1">
        <f t="array" ref="J1440">SUMPRODUCT((Tablo3[Urun Ad]=I1440)*(Tablo3[Ürün Kar Tutarı]))</f>
        <v>0</v>
      </c>
      <c r="L1440" s="37"/>
    </row>
    <row r="1441" spans="1:12" x14ac:dyDescent="0.25">
      <c r="A1441" s="13"/>
      <c r="B1441" s="9" cm="1">
        <f t="array" ref="B1441">SUMPRODUCT((Tablo3[Personel Ad]=A1441)*(Tablo3[Ürün Kar Tutarı]))</f>
        <v>0</v>
      </c>
      <c r="D1441" s="14"/>
      <c r="F1441" s="9" cm="1">
        <f t="array" ref="F1441">SUMPRODUCT((Tablo3[Şehirler]=E1441)*(Tablo3[Ürün Kar Tutarı]))</f>
        <v>0</v>
      </c>
      <c r="H1441" s="14"/>
      <c r="J1441" s="9" cm="1">
        <f t="array" ref="J1441">SUMPRODUCT((Tablo3[Urun Ad]=I1441)*(Tablo3[Ürün Kar Tutarı]))</f>
        <v>0</v>
      </c>
      <c r="L1441" s="37"/>
    </row>
    <row r="1442" spans="1:12" x14ac:dyDescent="0.25">
      <c r="A1442" s="13"/>
      <c r="B1442" s="9" cm="1">
        <f t="array" ref="B1442">SUMPRODUCT((Tablo3[Personel Ad]=A1442)*(Tablo3[Ürün Kar Tutarı]))</f>
        <v>0</v>
      </c>
      <c r="D1442" s="14"/>
      <c r="F1442" s="9" cm="1">
        <f t="array" ref="F1442">SUMPRODUCT((Tablo3[Şehirler]=E1442)*(Tablo3[Ürün Kar Tutarı]))</f>
        <v>0</v>
      </c>
      <c r="H1442" s="14"/>
      <c r="J1442" s="9" cm="1">
        <f t="array" ref="J1442">SUMPRODUCT((Tablo3[Urun Ad]=I1442)*(Tablo3[Ürün Kar Tutarı]))</f>
        <v>0</v>
      </c>
      <c r="L1442" s="37"/>
    </row>
    <row r="1443" spans="1:12" x14ac:dyDescent="0.25">
      <c r="A1443" s="13"/>
      <c r="B1443" s="9" cm="1">
        <f t="array" ref="B1443">SUMPRODUCT((Tablo3[Personel Ad]=A1443)*(Tablo3[Ürün Kar Tutarı]))</f>
        <v>0</v>
      </c>
      <c r="D1443" s="14"/>
      <c r="F1443" s="9" cm="1">
        <f t="array" ref="F1443">SUMPRODUCT((Tablo3[Şehirler]=E1443)*(Tablo3[Ürün Kar Tutarı]))</f>
        <v>0</v>
      </c>
      <c r="H1443" s="14"/>
      <c r="J1443" s="9" cm="1">
        <f t="array" ref="J1443">SUMPRODUCT((Tablo3[Urun Ad]=I1443)*(Tablo3[Ürün Kar Tutarı]))</f>
        <v>0</v>
      </c>
      <c r="L1443" s="37"/>
    </row>
    <row r="1444" spans="1:12" x14ac:dyDescent="0.25">
      <c r="A1444" s="13"/>
      <c r="B1444" s="9" cm="1">
        <f t="array" ref="B1444">SUMPRODUCT((Tablo3[Personel Ad]=A1444)*(Tablo3[Ürün Kar Tutarı]))</f>
        <v>0</v>
      </c>
      <c r="D1444" s="14"/>
      <c r="F1444" s="9" cm="1">
        <f t="array" ref="F1444">SUMPRODUCT((Tablo3[Şehirler]=E1444)*(Tablo3[Ürün Kar Tutarı]))</f>
        <v>0</v>
      </c>
      <c r="H1444" s="14"/>
      <c r="J1444" s="9" cm="1">
        <f t="array" ref="J1444">SUMPRODUCT((Tablo3[Urun Ad]=I1444)*(Tablo3[Ürün Kar Tutarı]))</f>
        <v>0</v>
      </c>
      <c r="L1444" s="37"/>
    </row>
    <row r="1445" spans="1:12" x14ac:dyDescent="0.25">
      <c r="A1445" s="13"/>
      <c r="B1445" s="9" cm="1">
        <f t="array" ref="B1445">SUMPRODUCT((Tablo3[Personel Ad]=A1445)*(Tablo3[Ürün Kar Tutarı]))</f>
        <v>0</v>
      </c>
      <c r="D1445" s="14"/>
      <c r="F1445" s="9" cm="1">
        <f t="array" ref="F1445">SUMPRODUCT((Tablo3[Şehirler]=E1445)*(Tablo3[Ürün Kar Tutarı]))</f>
        <v>0</v>
      </c>
      <c r="H1445" s="14"/>
      <c r="J1445" s="9" cm="1">
        <f t="array" ref="J1445">SUMPRODUCT((Tablo3[Urun Ad]=I1445)*(Tablo3[Ürün Kar Tutarı]))</f>
        <v>0</v>
      </c>
      <c r="L1445" s="37"/>
    </row>
    <row r="1446" spans="1:12" x14ac:dyDescent="0.25">
      <c r="A1446" s="13"/>
      <c r="B1446" s="9" cm="1">
        <f t="array" ref="B1446">SUMPRODUCT((Tablo3[Personel Ad]=A1446)*(Tablo3[Ürün Kar Tutarı]))</f>
        <v>0</v>
      </c>
      <c r="D1446" s="14"/>
      <c r="F1446" s="9" cm="1">
        <f t="array" ref="F1446">SUMPRODUCT((Tablo3[Şehirler]=E1446)*(Tablo3[Ürün Kar Tutarı]))</f>
        <v>0</v>
      </c>
      <c r="H1446" s="14"/>
      <c r="J1446" s="9" cm="1">
        <f t="array" ref="J1446">SUMPRODUCT((Tablo3[Urun Ad]=I1446)*(Tablo3[Ürün Kar Tutarı]))</f>
        <v>0</v>
      </c>
      <c r="L1446" s="37"/>
    </row>
    <row r="1447" spans="1:12" x14ac:dyDescent="0.25">
      <c r="A1447" s="13"/>
      <c r="B1447" s="9" cm="1">
        <f t="array" ref="B1447">SUMPRODUCT((Tablo3[Personel Ad]=A1447)*(Tablo3[Ürün Kar Tutarı]))</f>
        <v>0</v>
      </c>
      <c r="D1447" s="14"/>
      <c r="F1447" s="9" cm="1">
        <f t="array" ref="F1447">SUMPRODUCT((Tablo3[Şehirler]=E1447)*(Tablo3[Ürün Kar Tutarı]))</f>
        <v>0</v>
      </c>
      <c r="H1447" s="14"/>
      <c r="J1447" s="9" cm="1">
        <f t="array" ref="J1447">SUMPRODUCT((Tablo3[Urun Ad]=I1447)*(Tablo3[Ürün Kar Tutarı]))</f>
        <v>0</v>
      </c>
      <c r="L1447" s="37"/>
    </row>
    <row r="1448" spans="1:12" x14ac:dyDescent="0.25">
      <c r="A1448" s="13"/>
      <c r="B1448" s="9" cm="1">
        <f t="array" ref="B1448">SUMPRODUCT((Tablo3[Personel Ad]=A1448)*(Tablo3[Ürün Kar Tutarı]))</f>
        <v>0</v>
      </c>
      <c r="D1448" s="14"/>
      <c r="F1448" s="9" cm="1">
        <f t="array" ref="F1448">SUMPRODUCT((Tablo3[Şehirler]=E1448)*(Tablo3[Ürün Kar Tutarı]))</f>
        <v>0</v>
      </c>
      <c r="H1448" s="14"/>
      <c r="J1448" s="9" cm="1">
        <f t="array" ref="J1448">SUMPRODUCT((Tablo3[Urun Ad]=I1448)*(Tablo3[Ürün Kar Tutarı]))</f>
        <v>0</v>
      </c>
      <c r="L1448" s="37"/>
    </row>
    <row r="1449" spans="1:12" x14ac:dyDescent="0.25">
      <c r="A1449" s="13"/>
      <c r="B1449" s="9" cm="1">
        <f t="array" ref="B1449">SUMPRODUCT((Tablo3[Personel Ad]=A1449)*(Tablo3[Ürün Kar Tutarı]))</f>
        <v>0</v>
      </c>
      <c r="D1449" s="14"/>
      <c r="F1449" s="9" cm="1">
        <f t="array" ref="F1449">SUMPRODUCT((Tablo3[Şehirler]=E1449)*(Tablo3[Ürün Kar Tutarı]))</f>
        <v>0</v>
      </c>
      <c r="H1449" s="14"/>
      <c r="J1449" s="9" cm="1">
        <f t="array" ref="J1449">SUMPRODUCT((Tablo3[Urun Ad]=I1449)*(Tablo3[Ürün Kar Tutarı]))</f>
        <v>0</v>
      </c>
      <c r="L1449" s="37"/>
    </row>
    <row r="1450" spans="1:12" x14ac:dyDescent="0.25">
      <c r="A1450" s="13"/>
      <c r="B1450" s="9" cm="1">
        <f t="array" ref="B1450">SUMPRODUCT((Tablo3[Personel Ad]=A1450)*(Tablo3[Ürün Kar Tutarı]))</f>
        <v>0</v>
      </c>
      <c r="D1450" s="14"/>
      <c r="F1450" s="9" cm="1">
        <f t="array" ref="F1450">SUMPRODUCT((Tablo3[Şehirler]=E1450)*(Tablo3[Ürün Kar Tutarı]))</f>
        <v>0</v>
      </c>
      <c r="H1450" s="14"/>
      <c r="J1450" s="9" cm="1">
        <f t="array" ref="J1450">SUMPRODUCT((Tablo3[Urun Ad]=I1450)*(Tablo3[Ürün Kar Tutarı]))</f>
        <v>0</v>
      </c>
      <c r="L1450" s="37"/>
    </row>
    <row r="1451" spans="1:12" x14ac:dyDescent="0.25">
      <c r="A1451" s="13"/>
      <c r="B1451" s="9" cm="1">
        <f t="array" ref="B1451">SUMPRODUCT((Tablo3[Personel Ad]=A1451)*(Tablo3[Ürün Kar Tutarı]))</f>
        <v>0</v>
      </c>
      <c r="D1451" s="14"/>
      <c r="F1451" s="9" cm="1">
        <f t="array" ref="F1451">SUMPRODUCT((Tablo3[Şehirler]=E1451)*(Tablo3[Ürün Kar Tutarı]))</f>
        <v>0</v>
      </c>
      <c r="H1451" s="14"/>
      <c r="J1451" s="9" cm="1">
        <f t="array" ref="J1451">SUMPRODUCT((Tablo3[Urun Ad]=I1451)*(Tablo3[Ürün Kar Tutarı]))</f>
        <v>0</v>
      </c>
      <c r="L1451" s="37"/>
    </row>
    <row r="1452" spans="1:12" x14ac:dyDescent="0.25">
      <c r="A1452" s="13"/>
      <c r="B1452" s="9" cm="1">
        <f t="array" ref="B1452">SUMPRODUCT((Tablo3[Personel Ad]=A1452)*(Tablo3[Ürün Kar Tutarı]))</f>
        <v>0</v>
      </c>
      <c r="D1452" s="14"/>
      <c r="F1452" s="9" cm="1">
        <f t="array" ref="F1452">SUMPRODUCT((Tablo3[Şehirler]=E1452)*(Tablo3[Ürün Kar Tutarı]))</f>
        <v>0</v>
      </c>
      <c r="H1452" s="14"/>
      <c r="J1452" s="9" cm="1">
        <f t="array" ref="J1452">SUMPRODUCT((Tablo3[Urun Ad]=I1452)*(Tablo3[Ürün Kar Tutarı]))</f>
        <v>0</v>
      </c>
      <c r="L1452" s="37"/>
    </row>
    <row r="1453" spans="1:12" x14ac:dyDescent="0.25">
      <c r="A1453" s="13"/>
      <c r="B1453" s="9" cm="1">
        <f t="array" ref="B1453">SUMPRODUCT((Tablo3[Personel Ad]=A1453)*(Tablo3[Ürün Kar Tutarı]))</f>
        <v>0</v>
      </c>
      <c r="D1453" s="14"/>
      <c r="F1453" s="9" cm="1">
        <f t="array" ref="F1453">SUMPRODUCT((Tablo3[Şehirler]=E1453)*(Tablo3[Ürün Kar Tutarı]))</f>
        <v>0</v>
      </c>
      <c r="H1453" s="14"/>
      <c r="J1453" s="9" cm="1">
        <f t="array" ref="J1453">SUMPRODUCT((Tablo3[Urun Ad]=I1453)*(Tablo3[Ürün Kar Tutarı]))</f>
        <v>0</v>
      </c>
      <c r="L1453" s="37"/>
    </row>
    <row r="1454" spans="1:12" x14ac:dyDescent="0.25">
      <c r="A1454" s="13"/>
      <c r="B1454" s="9" cm="1">
        <f t="array" ref="B1454">SUMPRODUCT((Tablo3[Personel Ad]=A1454)*(Tablo3[Ürün Kar Tutarı]))</f>
        <v>0</v>
      </c>
      <c r="D1454" s="14"/>
      <c r="F1454" s="9" cm="1">
        <f t="array" ref="F1454">SUMPRODUCT((Tablo3[Şehirler]=E1454)*(Tablo3[Ürün Kar Tutarı]))</f>
        <v>0</v>
      </c>
      <c r="H1454" s="14"/>
      <c r="J1454" s="9" cm="1">
        <f t="array" ref="J1454">SUMPRODUCT((Tablo3[Urun Ad]=I1454)*(Tablo3[Ürün Kar Tutarı]))</f>
        <v>0</v>
      </c>
      <c r="L1454" s="37"/>
    </row>
    <row r="1455" spans="1:12" x14ac:dyDescent="0.25">
      <c r="A1455" s="13"/>
      <c r="B1455" s="9" cm="1">
        <f t="array" ref="B1455">SUMPRODUCT((Tablo3[Personel Ad]=A1455)*(Tablo3[Ürün Kar Tutarı]))</f>
        <v>0</v>
      </c>
      <c r="D1455" s="14"/>
      <c r="F1455" s="9" cm="1">
        <f t="array" ref="F1455">SUMPRODUCT((Tablo3[Şehirler]=E1455)*(Tablo3[Ürün Kar Tutarı]))</f>
        <v>0</v>
      </c>
      <c r="H1455" s="14"/>
      <c r="J1455" s="9" cm="1">
        <f t="array" ref="J1455">SUMPRODUCT((Tablo3[Urun Ad]=I1455)*(Tablo3[Ürün Kar Tutarı]))</f>
        <v>0</v>
      </c>
      <c r="L1455" s="37"/>
    </row>
    <row r="1456" spans="1:12" x14ac:dyDescent="0.25">
      <c r="A1456" s="13"/>
      <c r="B1456" s="9" cm="1">
        <f t="array" ref="B1456">SUMPRODUCT((Tablo3[Personel Ad]=A1456)*(Tablo3[Ürün Kar Tutarı]))</f>
        <v>0</v>
      </c>
      <c r="D1456" s="14"/>
      <c r="F1456" s="9" cm="1">
        <f t="array" ref="F1456">SUMPRODUCT((Tablo3[Şehirler]=E1456)*(Tablo3[Ürün Kar Tutarı]))</f>
        <v>0</v>
      </c>
      <c r="H1456" s="14"/>
      <c r="J1456" s="9" cm="1">
        <f t="array" ref="J1456">SUMPRODUCT((Tablo3[Urun Ad]=I1456)*(Tablo3[Ürün Kar Tutarı]))</f>
        <v>0</v>
      </c>
      <c r="L1456" s="37"/>
    </row>
    <row r="1457" spans="1:12" x14ac:dyDescent="0.25">
      <c r="A1457" s="13"/>
      <c r="B1457" s="9" cm="1">
        <f t="array" ref="B1457">SUMPRODUCT((Tablo3[Personel Ad]=A1457)*(Tablo3[Ürün Kar Tutarı]))</f>
        <v>0</v>
      </c>
      <c r="D1457" s="14"/>
      <c r="F1457" s="9" cm="1">
        <f t="array" ref="F1457">SUMPRODUCT((Tablo3[Şehirler]=E1457)*(Tablo3[Ürün Kar Tutarı]))</f>
        <v>0</v>
      </c>
      <c r="H1457" s="14"/>
      <c r="J1457" s="9" cm="1">
        <f t="array" ref="J1457">SUMPRODUCT((Tablo3[Urun Ad]=I1457)*(Tablo3[Ürün Kar Tutarı]))</f>
        <v>0</v>
      </c>
      <c r="L1457" s="37"/>
    </row>
    <row r="1458" spans="1:12" x14ac:dyDescent="0.25">
      <c r="A1458" s="13"/>
      <c r="B1458" s="9" cm="1">
        <f t="array" ref="B1458">SUMPRODUCT((Tablo3[Personel Ad]=A1458)*(Tablo3[Ürün Kar Tutarı]))</f>
        <v>0</v>
      </c>
      <c r="D1458" s="14"/>
      <c r="F1458" s="9" cm="1">
        <f t="array" ref="F1458">SUMPRODUCT((Tablo3[Şehirler]=E1458)*(Tablo3[Ürün Kar Tutarı]))</f>
        <v>0</v>
      </c>
      <c r="H1458" s="14"/>
      <c r="J1458" s="9" cm="1">
        <f t="array" ref="J1458">SUMPRODUCT((Tablo3[Urun Ad]=I1458)*(Tablo3[Ürün Kar Tutarı]))</f>
        <v>0</v>
      </c>
      <c r="L1458" s="37"/>
    </row>
    <row r="1459" spans="1:12" x14ac:dyDescent="0.25">
      <c r="A1459" s="13"/>
      <c r="B1459" s="9" cm="1">
        <f t="array" ref="B1459">SUMPRODUCT((Tablo3[Personel Ad]=A1459)*(Tablo3[Ürün Kar Tutarı]))</f>
        <v>0</v>
      </c>
      <c r="D1459" s="14"/>
      <c r="F1459" s="9" cm="1">
        <f t="array" ref="F1459">SUMPRODUCT((Tablo3[Şehirler]=E1459)*(Tablo3[Ürün Kar Tutarı]))</f>
        <v>0</v>
      </c>
      <c r="H1459" s="14"/>
      <c r="J1459" s="9" cm="1">
        <f t="array" ref="J1459">SUMPRODUCT((Tablo3[Urun Ad]=I1459)*(Tablo3[Ürün Kar Tutarı]))</f>
        <v>0</v>
      </c>
      <c r="L1459" s="37"/>
    </row>
    <row r="1460" spans="1:12" x14ac:dyDescent="0.25">
      <c r="A1460" s="13"/>
      <c r="B1460" s="9" cm="1">
        <f t="array" ref="B1460">SUMPRODUCT((Tablo3[Personel Ad]=A1460)*(Tablo3[Ürün Kar Tutarı]))</f>
        <v>0</v>
      </c>
      <c r="D1460" s="14"/>
      <c r="F1460" s="9" cm="1">
        <f t="array" ref="F1460">SUMPRODUCT((Tablo3[Şehirler]=E1460)*(Tablo3[Ürün Kar Tutarı]))</f>
        <v>0</v>
      </c>
      <c r="H1460" s="14"/>
      <c r="J1460" s="9" cm="1">
        <f t="array" ref="J1460">SUMPRODUCT((Tablo3[Urun Ad]=I1460)*(Tablo3[Ürün Kar Tutarı]))</f>
        <v>0</v>
      </c>
      <c r="L1460" s="37"/>
    </row>
    <row r="1461" spans="1:12" x14ac:dyDescent="0.25">
      <c r="A1461" s="13"/>
      <c r="B1461" s="9" cm="1">
        <f t="array" ref="B1461">SUMPRODUCT((Tablo3[Personel Ad]=A1461)*(Tablo3[Ürün Kar Tutarı]))</f>
        <v>0</v>
      </c>
      <c r="D1461" s="14"/>
      <c r="F1461" s="9" cm="1">
        <f t="array" ref="F1461">SUMPRODUCT((Tablo3[Şehirler]=E1461)*(Tablo3[Ürün Kar Tutarı]))</f>
        <v>0</v>
      </c>
      <c r="H1461" s="14"/>
      <c r="J1461" s="9" cm="1">
        <f t="array" ref="J1461">SUMPRODUCT((Tablo3[Urun Ad]=I1461)*(Tablo3[Ürün Kar Tutarı]))</f>
        <v>0</v>
      </c>
      <c r="L1461" s="37"/>
    </row>
    <row r="1462" spans="1:12" x14ac:dyDescent="0.25">
      <c r="A1462" s="13"/>
      <c r="B1462" s="9" cm="1">
        <f t="array" ref="B1462">SUMPRODUCT((Tablo3[Personel Ad]=A1462)*(Tablo3[Ürün Kar Tutarı]))</f>
        <v>0</v>
      </c>
      <c r="D1462" s="14"/>
      <c r="F1462" s="9" cm="1">
        <f t="array" ref="F1462">SUMPRODUCT((Tablo3[Şehirler]=E1462)*(Tablo3[Ürün Kar Tutarı]))</f>
        <v>0</v>
      </c>
      <c r="H1462" s="14"/>
      <c r="J1462" s="9" cm="1">
        <f t="array" ref="J1462">SUMPRODUCT((Tablo3[Urun Ad]=I1462)*(Tablo3[Ürün Kar Tutarı]))</f>
        <v>0</v>
      </c>
      <c r="L1462" s="37"/>
    </row>
    <row r="1463" spans="1:12" x14ac:dyDescent="0.25">
      <c r="A1463" s="13"/>
      <c r="B1463" s="9" cm="1">
        <f t="array" ref="B1463">SUMPRODUCT((Tablo3[Personel Ad]=A1463)*(Tablo3[Ürün Kar Tutarı]))</f>
        <v>0</v>
      </c>
      <c r="D1463" s="14"/>
      <c r="F1463" s="9" cm="1">
        <f t="array" ref="F1463">SUMPRODUCT((Tablo3[Şehirler]=E1463)*(Tablo3[Ürün Kar Tutarı]))</f>
        <v>0</v>
      </c>
      <c r="H1463" s="14"/>
      <c r="J1463" s="9" cm="1">
        <f t="array" ref="J1463">SUMPRODUCT((Tablo3[Urun Ad]=I1463)*(Tablo3[Ürün Kar Tutarı]))</f>
        <v>0</v>
      </c>
      <c r="L1463" s="37"/>
    </row>
    <row r="1464" spans="1:12" x14ac:dyDescent="0.25">
      <c r="A1464" s="13"/>
      <c r="B1464" s="9" cm="1">
        <f t="array" ref="B1464">SUMPRODUCT((Tablo3[Personel Ad]=A1464)*(Tablo3[Ürün Kar Tutarı]))</f>
        <v>0</v>
      </c>
      <c r="D1464" s="14"/>
      <c r="F1464" s="9" cm="1">
        <f t="array" ref="F1464">SUMPRODUCT((Tablo3[Şehirler]=E1464)*(Tablo3[Ürün Kar Tutarı]))</f>
        <v>0</v>
      </c>
      <c r="H1464" s="14"/>
      <c r="J1464" s="9" cm="1">
        <f t="array" ref="J1464">SUMPRODUCT((Tablo3[Urun Ad]=I1464)*(Tablo3[Ürün Kar Tutarı]))</f>
        <v>0</v>
      </c>
      <c r="L1464" s="37"/>
    </row>
    <row r="1465" spans="1:12" x14ac:dyDescent="0.25">
      <c r="A1465" s="13"/>
      <c r="B1465" s="9" cm="1">
        <f t="array" ref="B1465">SUMPRODUCT((Tablo3[Personel Ad]=A1465)*(Tablo3[Ürün Kar Tutarı]))</f>
        <v>0</v>
      </c>
      <c r="D1465" s="14"/>
      <c r="F1465" s="9" cm="1">
        <f t="array" ref="F1465">SUMPRODUCT((Tablo3[Şehirler]=E1465)*(Tablo3[Ürün Kar Tutarı]))</f>
        <v>0</v>
      </c>
      <c r="H1465" s="14"/>
      <c r="J1465" s="9" cm="1">
        <f t="array" ref="J1465">SUMPRODUCT((Tablo3[Urun Ad]=I1465)*(Tablo3[Ürün Kar Tutarı]))</f>
        <v>0</v>
      </c>
      <c r="L1465" s="37"/>
    </row>
    <row r="1466" spans="1:12" x14ac:dyDescent="0.25">
      <c r="A1466" s="13"/>
      <c r="B1466" s="9" cm="1">
        <f t="array" ref="B1466">SUMPRODUCT((Tablo3[Personel Ad]=A1466)*(Tablo3[Ürün Kar Tutarı]))</f>
        <v>0</v>
      </c>
      <c r="D1466" s="14"/>
      <c r="F1466" s="9" cm="1">
        <f t="array" ref="F1466">SUMPRODUCT((Tablo3[Şehirler]=E1466)*(Tablo3[Ürün Kar Tutarı]))</f>
        <v>0</v>
      </c>
      <c r="H1466" s="14"/>
      <c r="J1466" s="9" cm="1">
        <f t="array" ref="J1466">SUMPRODUCT((Tablo3[Urun Ad]=I1466)*(Tablo3[Ürün Kar Tutarı]))</f>
        <v>0</v>
      </c>
      <c r="L1466" s="37"/>
    </row>
    <row r="1467" spans="1:12" x14ac:dyDescent="0.25">
      <c r="A1467" s="13"/>
      <c r="B1467" s="9" cm="1">
        <f t="array" ref="B1467">SUMPRODUCT((Tablo3[Personel Ad]=A1467)*(Tablo3[Ürün Kar Tutarı]))</f>
        <v>0</v>
      </c>
      <c r="D1467" s="14"/>
      <c r="F1467" s="9" cm="1">
        <f t="array" ref="F1467">SUMPRODUCT((Tablo3[Şehirler]=E1467)*(Tablo3[Ürün Kar Tutarı]))</f>
        <v>0</v>
      </c>
      <c r="H1467" s="14"/>
      <c r="J1467" s="9" cm="1">
        <f t="array" ref="J1467">SUMPRODUCT((Tablo3[Urun Ad]=I1467)*(Tablo3[Ürün Kar Tutarı]))</f>
        <v>0</v>
      </c>
      <c r="L1467" s="37"/>
    </row>
    <row r="1468" spans="1:12" x14ac:dyDescent="0.25">
      <c r="A1468" s="13"/>
      <c r="B1468" s="9" cm="1">
        <f t="array" ref="B1468">SUMPRODUCT((Tablo3[Personel Ad]=A1468)*(Tablo3[Ürün Kar Tutarı]))</f>
        <v>0</v>
      </c>
      <c r="D1468" s="14"/>
      <c r="F1468" s="9" cm="1">
        <f t="array" ref="F1468">SUMPRODUCT((Tablo3[Şehirler]=E1468)*(Tablo3[Ürün Kar Tutarı]))</f>
        <v>0</v>
      </c>
      <c r="H1468" s="14"/>
      <c r="J1468" s="9" cm="1">
        <f t="array" ref="J1468">SUMPRODUCT((Tablo3[Urun Ad]=I1468)*(Tablo3[Ürün Kar Tutarı]))</f>
        <v>0</v>
      </c>
      <c r="L1468" s="37"/>
    </row>
    <row r="1469" spans="1:12" x14ac:dyDescent="0.25">
      <c r="A1469" s="13"/>
      <c r="B1469" s="9" cm="1">
        <f t="array" ref="B1469">SUMPRODUCT((Tablo3[Personel Ad]=A1469)*(Tablo3[Ürün Kar Tutarı]))</f>
        <v>0</v>
      </c>
      <c r="D1469" s="14"/>
      <c r="F1469" s="9" cm="1">
        <f t="array" ref="F1469">SUMPRODUCT((Tablo3[Şehirler]=E1469)*(Tablo3[Ürün Kar Tutarı]))</f>
        <v>0</v>
      </c>
      <c r="H1469" s="14"/>
      <c r="J1469" s="9" cm="1">
        <f t="array" ref="J1469">SUMPRODUCT((Tablo3[Urun Ad]=I1469)*(Tablo3[Ürün Kar Tutarı]))</f>
        <v>0</v>
      </c>
      <c r="L1469" s="37"/>
    </row>
    <row r="1470" spans="1:12" x14ac:dyDescent="0.25">
      <c r="A1470" s="13"/>
      <c r="B1470" s="9" cm="1">
        <f t="array" ref="B1470">SUMPRODUCT((Tablo3[Personel Ad]=A1470)*(Tablo3[Ürün Kar Tutarı]))</f>
        <v>0</v>
      </c>
      <c r="D1470" s="14"/>
      <c r="F1470" s="9" cm="1">
        <f t="array" ref="F1470">SUMPRODUCT((Tablo3[Şehirler]=E1470)*(Tablo3[Ürün Kar Tutarı]))</f>
        <v>0</v>
      </c>
      <c r="H1470" s="14"/>
      <c r="J1470" s="9" cm="1">
        <f t="array" ref="J1470">SUMPRODUCT((Tablo3[Urun Ad]=I1470)*(Tablo3[Ürün Kar Tutarı]))</f>
        <v>0</v>
      </c>
      <c r="L1470" s="37"/>
    </row>
    <row r="1471" spans="1:12" x14ac:dyDescent="0.25">
      <c r="A1471" s="13"/>
      <c r="B1471" s="9" cm="1">
        <f t="array" ref="B1471">SUMPRODUCT((Tablo3[Personel Ad]=A1471)*(Tablo3[Ürün Kar Tutarı]))</f>
        <v>0</v>
      </c>
      <c r="D1471" s="14"/>
      <c r="F1471" s="9" cm="1">
        <f t="array" ref="F1471">SUMPRODUCT((Tablo3[Şehirler]=E1471)*(Tablo3[Ürün Kar Tutarı]))</f>
        <v>0</v>
      </c>
      <c r="H1471" s="14"/>
      <c r="J1471" s="9" cm="1">
        <f t="array" ref="J1471">SUMPRODUCT((Tablo3[Urun Ad]=I1471)*(Tablo3[Ürün Kar Tutarı]))</f>
        <v>0</v>
      </c>
      <c r="L1471" s="37"/>
    </row>
    <row r="1472" spans="1:12" x14ac:dyDescent="0.25">
      <c r="A1472" s="13"/>
      <c r="B1472" s="9" cm="1">
        <f t="array" ref="B1472">SUMPRODUCT((Tablo3[Personel Ad]=A1472)*(Tablo3[Ürün Kar Tutarı]))</f>
        <v>0</v>
      </c>
      <c r="D1472" s="14"/>
      <c r="F1472" s="9" cm="1">
        <f t="array" ref="F1472">SUMPRODUCT((Tablo3[Şehirler]=E1472)*(Tablo3[Ürün Kar Tutarı]))</f>
        <v>0</v>
      </c>
      <c r="H1472" s="14"/>
      <c r="J1472" s="9" cm="1">
        <f t="array" ref="J1472">SUMPRODUCT((Tablo3[Urun Ad]=I1472)*(Tablo3[Ürün Kar Tutarı]))</f>
        <v>0</v>
      </c>
      <c r="L1472" s="37"/>
    </row>
    <row r="1473" spans="1:12" x14ac:dyDescent="0.25">
      <c r="A1473" s="13"/>
      <c r="B1473" s="9" cm="1">
        <f t="array" ref="B1473">SUMPRODUCT((Tablo3[Personel Ad]=A1473)*(Tablo3[Ürün Kar Tutarı]))</f>
        <v>0</v>
      </c>
      <c r="D1473" s="14"/>
      <c r="F1473" s="9" cm="1">
        <f t="array" ref="F1473">SUMPRODUCT((Tablo3[Şehirler]=E1473)*(Tablo3[Ürün Kar Tutarı]))</f>
        <v>0</v>
      </c>
      <c r="H1473" s="14"/>
      <c r="J1473" s="9" cm="1">
        <f t="array" ref="J1473">SUMPRODUCT((Tablo3[Urun Ad]=I1473)*(Tablo3[Ürün Kar Tutarı]))</f>
        <v>0</v>
      </c>
      <c r="L1473" s="37"/>
    </row>
    <row r="1474" spans="1:12" x14ac:dyDescent="0.25">
      <c r="A1474" s="13"/>
      <c r="B1474" s="9" cm="1">
        <f t="array" ref="B1474">SUMPRODUCT((Tablo3[Personel Ad]=A1474)*(Tablo3[Ürün Kar Tutarı]))</f>
        <v>0</v>
      </c>
      <c r="D1474" s="14"/>
      <c r="F1474" s="9" cm="1">
        <f t="array" ref="F1474">SUMPRODUCT((Tablo3[Şehirler]=E1474)*(Tablo3[Ürün Kar Tutarı]))</f>
        <v>0</v>
      </c>
      <c r="H1474" s="14"/>
      <c r="J1474" s="9" cm="1">
        <f t="array" ref="J1474">SUMPRODUCT((Tablo3[Urun Ad]=I1474)*(Tablo3[Ürün Kar Tutarı]))</f>
        <v>0</v>
      </c>
      <c r="L1474" s="37"/>
    </row>
    <row r="1475" spans="1:12" x14ac:dyDescent="0.25">
      <c r="A1475" s="13"/>
      <c r="B1475" s="9" cm="1">
        <f t="array" ref="B1475">SUMPRODUCT((Tablo3[Personel Ad]=A1475)*(Tablo3[Ürün Kar Tutarı]))</f>
        <v>0</v>
      </c>
      <c r="D1475" s="14"/>
      <c r="F1475" s="9" cm="1">
        <f t="array" ref="F1475">SUMPRODUCT((Tablo3[Şehirler]=E1475)*(Tablo3[Ürün Kar Tutarı]))</f>
        <v>0</v>
      </c>
      <c r="H1475" s="14"/>
      <c r="J1475" s="9" cm="1">
        <f t="array" ref="J1475">SUMPRODUCT((Tablo3[Urun Ad]=I1475)*(Tablo3[Ürün Kar Tutarı]))</f>
        <v>0</v>
      </c>
      <c r="L1475" s="37"/>
    </row>
    <row r="1476" spans="1:12" x14ac:dyDescent="0.25">
      <c r="A1476" s="13"/>
      <c r="B1476" s="9" cm="1">
        <f t="array" ref="B1476">SUMPRODUCT((Tablo3[Personel Ad]=A1476)*(Tablo3[Ürün Kar Tutarı]))</f>
        <v>0</v>
      </c>
      <c r="D1476" s="14"/>
      <c r="F1476" s="9" cm="1">
        <f t="array" ref="F1476">SUMPRODUCT((Tablo3[Şehirler]=E1476)*(Tablo3[Ürün Kar Tutarı]))</f>
        <v>0</v>
      </c>
      <c r="H1476" s="14"/>
      <c r="J1476" s="9" cm="1">
        <f t="array" ref="J1476">SUMPRODUCT((Tablo3[Urun Ad]=I1476)*(Tablo3[Ürün Kar Tutarı]))</f>
        <v>0</v>
      </c>
      <c r="L1476" s="37"/>
    </row>
    <row r="1477" spans="1:12" x14ac:dyDescent="0.25">
      <c r="A1477" s="13"/>
      <c r="B1477" s="9" cm="1">
        <f t="array" ref="B1477">SUMPRODUCT((Tablo3[Personel Ad]=A1477)*(Tablo3[Ürün Kar Tutarı]))</f>
        <v>0</v>
      </c>
      <c r="D1477" s="14"/>
      <c r="F1477" s="9" cm="1">
        <f t="array" ref="F1477">SUMPRODUCT((Tablo3[Şehirler]=E1477)*(Tablo3[Ürün Kar Tutarı]))</f>
        <v>0</v>
      </c>
      <c r="H1477" s="14"/>
      <c r="J1477" s="9" cm="1">
        <f t="array" ref="J1477">SUMPRODUCT((Tablo3[Urun Ad]=I1477)*(Tablo3[Ürün Kar Tutarı]))</f>
        <v>0</v>
      </c>
      <c r="L1477" s="37"/>
    </row>
    <row r="1478" spans="1:12" x14ac:dyDescent="0.25">
      <c r="A1478" s="13"/>
      <c r="B1478" s="9" cm="1">
        <f t="array" ref="B1478">SUMPRODUCT((Tablo3[Personel Ad]=A1478)*(Tablo3[Ürün Kar Tutarı]))</f>
        <v>0</v>
      </c>
      <c r="D1478" s="14"/>
      <c r="F1478" s="9" cm="1">
        <f t="array" ref="F1478">SUMPRODUCT((Tablo3[Şehirler]=E1478)*(Tablo3[Ürün Kar Tutarı]))</f>
        <v>0</v>
      </c>
      <c r="H1478" s="14"/>
      <c r="J1478" s="9" cm="1">
        <f t="array" ref="J1478">SUMPRODUCT((Tablo3[Urun Ad]=I1478)*(Tablo3[Ürün Kar Tutarı]))</f>
        <v>0</v>
      </c>
      <c r="L1478" s="37"/>
    </row>
    <row r="1479" spans="1:12" x14ac:dyDescent="0.25">
      <c r="A1479" s="13"/>
      <c r="B1479" s="9" cm="1">
        <f t="array" ref="B1479">SUMPRODUCT((Tablo3[Personel Ad]=A1479)*(Tablo3[Ürün Kar Tutarı]))</f>
        <v>0</v>
      </c>
      <c r="D1479" s="14"/>
      <c r="F1479" s="9" cm="1">
        <f t="array" ref="F1479">SUMPRODUCT((Tablo3[Şehirler]=E1479)*(Tablo3[Ürün Kar Tutarı]))</f>
        <v>0</v>
      </c>
      <c r="H1479" s="14"/>
      <c r="J1479" s="9" cm="1">
        <f t="array" ref="J1479">SUMPRODUCT((Tablo3[Urun Ad]=I1479)*(Tablo3[Ürün Kar Tutarı]))</f>
        <v>0</v>
      </c>
      <c r="L1479" s="37"/>
    </row>
    <row r="1480" spans="1:12" x14ac:dyDescent="0.25">
      <c r="A1480" s="13"/>
      <c r="B1480" s="9" cm="1">
        <f t="array" ref="B1480">SUMPRODUCT((Tablo3[Personel Ad]=A1480)*(Tablo3[Ürün Kar Tutarı]))</f>
        <v>0</v>
      </c>
      <c r="D1480" s="14"/>
      <c r="F1480" s="9" cm="1">
        <f t="array" ref="F1480">SUMPRODUCT((Tablo3[Şehirler]=E1480)*(Tablo3[Ürün Kar Tutarı]))</f>
        <v>0</v>
      </c>
      <c r="H1480" s="14"/>
      <c r="J1480" s="9" cm="1">
        <f t="array" ref="J1480">SUMPRODUCT((Tablo3[Urun Ad]=I1480)*(Tablo3[Ürün Kar Tutarı]))</f>
        <v>0</v>
      </c>
      <c r="L1480" s="37"/>
    </row>
    <row r="1481" spans="1:12" x14ac:dyDescent="0.25">
      <c r="A1481" s="13"/>
      <c r="B1481" s="9" cm="1">
        <f t="array" ref="B1481">SUMPRODUCT((Tablo3[Personel Ad]=A1481)*(Tablo3[Ürün Kar Tutarı]))</f>
        <v>0</v>
      </c>
      <c r="D1481" s="14"/>
      <c r="F1481" s="9" cm="1">
        <f t="array" ref="F1481">SUMPRODUCT((Tablo3[Şehirler]=E1481)*(Tablo3[Ürün Kar Tutarı]))</f>
        <v>0</v>
      </c>
      <c r="H1481" s="14"/>
      <c r="J1481" s="9" cm="1">
        <f t="array" ref="J1481">SUMPRODUCT((Tablo3[Urun Ad]=I1481)*(Tablo3[Ürün Kar Tutarı]))</f>
        <v>0</v>
      </c>
      <c r="L1481" s="37"/>
    </row>
    <row r="1482" spans="1:12" x14ac:dyDescent="0.25">
      <c r="A1482" s="13"/>
      <c r="B1482" s="9" cm="1">
        <f t="array" ref="B1482">SUMPRODUCT((Tablo3[Personel Ad]=A1482)*(Tablo3[Ürün Kar Tutarı]))</f>
        <v>0</v>
      </c>
      <c r="D1482" s="14"/>
      <c r="F1482" s="9" cm="1">
        <f t="array" ref="F1482">SUMPRODUCT((Tablo3[Şehirler]=E1482)*(Tablo3[Ürün Kar Tutarı]))</f>
        <v>0</v>
      </c>
      <c r="H1482" s="14"/>
      <c r="J1482" s="9" cm="1">
        <f t="array" ref="J1482">SUMPRODUCT((Tablo3[Urun Ad]=I1482)*(Tablo3[Ürün Kar Tutarı]))</f>
        <v>0</v>
      </c>
      <c r="L1482" s="37"/>
    </row>
    <row r="1483" spans="1:12" x14ac:dyDescent="0.25">
      <c r="A1483" s="13"/>
      <c r="B1483" s="9" cm="1">
        <f t="array" ref="B1483">SUMPRODUCT((Tablo3[Personel Ad]=A1483)*(Tablo3[Ürün Kar Tutarı]))</f>
        <v>0</v>
      </c>
      <c r="D1483" s="14"/>
      <c r="F1483" s="9" cm="1">
        <f t="array" ref="F1483">SUMPRODUCT((Tablo3[Şehirler]=E1483)*(Tablo3[Ürün Kar Tutarı]))</f>
        <v>0</v>
      </c>
      <c r="H1483" s="14"/>
      <c r="J1483" s="9" cm="1">
        <f t="array" ref="J1483">SUMPRODUCT((Tablo3[Urun Ad]=I1483)*(Tablo3[Ürün Kar Tutarı]))</f>
        <v>0</v>
      </c>
      <c r="L1483" s="37"/>
    </row>
    <row r="1484" spans="1:12" x14ac:dyDescent="0.25">
      <c r="A1484" s="13"/>
      <c r="B1484" s="9" cm="1">
        <f t="array" ref="B1484">SUMPRODUCT((Tablo3[Personel Ad]=A1484)*(Tablo3[Ürün Kar Tutarı]))</f>
        <v>0</v>
      </c>
      <c r="D1484" s="14"/>
      <c r="F1484" s="9" cm="1">
        <f t="array" ref="F1484">SUMPRODUCT((Tablo3[Şehirler]=E1484)*(Tablo3[Ürün Kar Tutarı]))</f>
        <v>0</v>
      </c>
      <c r="H1484" s="14"/>
      <c r="J1484" s="9" cm="1">
        <f t="array" ref="J1484">SUMPRODUCT((Tablo3[Urun Ad]=I1484)*(Tablo3[Ürün Kar Tutarı]))</f>
        <v>0</v>
      </c>
      <c r="L1484" s="37"/>
    </row>
    <row r="1485" spans="1:12" x14ac:dyDescent="0.25">
      <c r="A1485" s="13"/>
      <c r="B1485" s="9" cm="1">
        <f t="array" ref="B1485">SUMPRODUCT((Tablo3[Personel Ad]=A1485)*(Tablo3[Ürün Kar Tutarı]))</f>
        <v>0</v>
      </c>
      <c r="D1485" s="14"/>
      <c r="F1485" s="9" cm="1">
        <f t="array" ref="F1485">SUMPRODUCT((Tablo3[Şehirler]=E1485)*(Tablo3[Ürün Kar Tutarı]))</f>
        <v>0</v>
      </c>
      <c r="H1485" s="14"/>
      <c r="J1485" s="9" cm="1">
        <f t="array" ref="J1485">SUMPRODUCT((Tablo3[Urun Ad]=I1485)*(Tablo3[Ürün Kar Tutarı]))</f>
        <v>0</v>
      </c>
      <c r="L1485" s="37"/>
    </row>
    <row r="1486" spans="1:12" x14ac:dyDescent="0.25">
      <c r="A1486" s="13"/>
      <c r="B1486" s="9" cm="1">
        <f t="array" ref="B1486">SUMPRODUCT((Tablo3[Personel Ad]=A1486)*(Tablo3[Ürün Kar Tutarı]))</f>
        <v>0</v>
      </c>
      <c r="D1486" s="14"/>
      <c r="F1486" s="9" cm="1">
        <f t="array" ref="F1486">SUMPRODUCT((Tablo3[Şehirler]=E1486)*(Tablo3[Ürün Kar Tutarı]))</f>
        <v>0</v>
      </c>
      <c r="H1486" s="14"/>
      <c r="J1486" s="9" cm="1">
        <f t="array" ref="J1486">SUMPRODUCT((Tablo3[Urun Ad]=I1486)*(Tablo3[Ürün Kar Tutarı]))</f>
        <v>0</v>
      </c>
      <c r="L1486" s="37"/>
    </row>
    <row r="1487" spans="1:12" x14ac:dyDescent="0.25">
      <c r="A1487" s="13"/>
      <c r="B1487" s="9" cm="1">
        <f t="array" ref="B1487">SUMPRODUCT((Tablo3[Personel Ad]=A1487)*(Tablo3[Ürün Kar Tutarı]))</f>
        <v>0</v>
      </c>
      <c r="D1487" s="14"/>
      <c r="F1487" s="9" cm="1">
        <f t="array" ref="F1487">SUMPRODUCT((Tablo3[Şehirler]=E1487)*(Tablo3[Ürün Kar Tutarı]))</f>
        <v>0</v>
      </c>
      <c r="H1487" s="14"/>
      <c r="J1487" s="9" cm="1">
        <f t="array" ref="J1487">SUMPRODUCT((Tablo3[Urun Ad]=I1487)*(Tablo3[Ürün Kar Tutarı]))</f>
        <v>0</v>
      </c>
      <c r="L1487" s="37"/>
    </row>
    <row r="1488" spans="1:12" x14ac:dyDescent="0.25">
      <c r="A1488" s="13"/>
      <c r="B1488" s="9" cm="1">
        <f t="array" ref="B1488">SUMPRODUCT((Tablo3[Personel Ad]=A1488)*(Tablo3[Ürün Kar Tutarı]))</f>
        <v>0</v>
      </c>
      <c r="D1488" s="14"/>
      <c r="F1488" s="9" cm="1">
        <f t="array" ref="F1488">SUMPRODUCT((Tablo3[Şehirler]=E1488)*(Tablo3[Ürün Kar Tutarı]))</f>
        <v>0</v>
      </c>
      <c r="H1488" s="14"/>
      <c r="J1488" s="9" cm="1">
        <f t="array" ref="J1488">SUMPRODUCT((Tablo3[Urun Ad]=I1488)*(Tablo3[Ürün Kar Tutarı]))</f>
        <v>0</v>
      </c>
      <c r="L1488" s="37"/>
    </row>
    <row r="1489" spans="1:12" x14ac:dyDescent="0.25">
      <c r="A1489" s="13"/>
      <c r="B1489" s="9" cm="1">
        <f t="array" ref="B1489">SUMPRODUCT((Tablo3[Personel Ad]=A1489)*(Tablo3[Ürün Kar Tutarı]))</f>
        <v>0</v>
      </c>
      <c r="D1489" s="14"/>
      <c r="F1489" s="9" cm="1">
        <f t="array" ref="F1489">SUMPRODUCT((Tablo3[Şehirler]=E1489)*(Tablo3[Ürün Kar Tutarı]))</f>
        <v>0</v>
      </c>
      <c r="H1489" s="14"/>
      <c r="J1489" s="9" cm="1">
        <f t="array" ref="J1489">SUMPRODUCT((Tablo3[Urun Ad]=I1489)*(Tablo3[Ürün Kar Tutarı]))</f>
        <v>0</v>
      </c>
      <c r="L1489" s="37"/>
    </row>
    <row r="1490" spans="1:12" x14ac:dyDescent="0.25">
      <c r="A1490" s="13"/>
      <c r="B1490" s="9" cm="1">
        <f t="array" ref="B1490">SUMPRODUCT((Tablo3[Personel Ad]=A1490)*(Tablo3[Ürün Kar Tutarı]))</f>
        <v>0</v>
      </c>
      <c r="D1490" s="14"/>
      <c r="F1490" s="9" cm="1">
        <f t="array" ref="F1490">SUMPRODUCT((Tablo3[Şehirler]=E1490)*(Tablo3[Ürün Kar Tutarı]))</f>
        <v>0</v>
      </c>
      <c r="H1490" s="14"/>
      <c r="J1490" s="9" cm="1">
        <f t="array" ref="J1490">SUMPRODUCT((Tablo3[Urun Ad]=I1490)*(Tablo3[Ürün Kar Tutarı]))</f>
        <v>0</v>
      </c>
      <c r="L1490" s="37"/>
    </row>
    <row r="1491" spans="1:12" x14ac:dyDescent="0.25">
      <c r="A1491" s="13"/>
      <c r="B1491" s="9" cm="1">
        <f t="array" ref="B1491">SUMPRODUCT((Tablo3[Personel Ad]=A1491)*(Tablo3[Ürün Kar Tutarı]))</f>
        <v>0</v>
      </c>
      <c r="D1491" s="14"/>
      <c r="F1491" s="9" cm="1">
        <f t="array" ref="F1491">SUMPRODUCT((Tablo3[Şehirler]=E1491)*(Tablo3[Ürün Kar Tutarı]))</f>
        <v>0</v>
      </c>
      <c r="H1491" s="14"/>
      <c r="J1491" s="9" cm="1">
        <f t="array" ref="J1491">SUMPRODUCT((Tablo3[Urun Ad]=I1491)*(Tablo3[Ürün Kar Tutarı]))</f>
        <v>0</v>
      </c>
      <c r="L1491" s="37"/>
    </row>
    <row r="1492" spans="1:12" x14ac:dyDescent="0.25">
      <c r="A1492" s="13"/>
      <c r="B1492" s="9" cm="1">
        <f t="array" ref="B1492">SUMPRODUCT((Tablo3[Personel Ad]=A1492)*(Tablo3[Ürün Kar Tutarı]))</f>
        <v>0</v>
      </c>
      <c r="D1492" s="14"/>
      <c r="F1492" s="9" cm="1">
        <f t="array" ref="F1492">SUMPRODUCT((Tablo3[Şehirler]=E1492)*(Tablo3[Ürün Kar Tutarı]))</f>
        <v>0</v>
      </c>
      <c r="H1492" s="14"/>
      <c r="J1492" s="9" cm="1">
        <f t="array" ref="J1492">SUMPRODUCT((Tablo3[Urun Ad]=I1492)*(Tablo3[Ürün Kar Tutarı]))</f>
        <v>0</v>
      </c>
      <c r="L1492" s="37"/>
    </row>
    <row r="1493" spans="1:12" x14ac:dyDescent="0.25">
      <c r="A1493" s="13"/>
      <c r="B1493" s="9" cm="1">
        <f t="array" ref="B1493">SUMPRODUCT((Tablo3[Personel Ad]=A1493)*(Tablo3[Ürün Kar Tutarı]))</f>
        <v>0</v>
      </c>
      <c r="D1493" s="14"/>
      <c r="F1493" s="9" cm="1">
        <f t="array" ref="F1493">SUMPRODUCT((Tablo3[Şehirler]=E1493)*(Tablo3[Ürün Kar Tutarı]))</f>
        <v>0</v>
      </c>
      <c r="H1493" s="14"/>
      <c r="J1493" s="9" cm="1">
        <f t="array" ref="J1493">SUMPRODUCT((Tablo3[Urun Ad]=I1493)*(Tablo3[Ürün Kar Tutarı]))</f>
        <v>0</v>
      </c>
      <c r="L1493" s="37"/>
    </row>
    <row r="1494" spans="1:12" x14ac:dyDescent="0.25">
      <c r="A1494" s="13"/>
      <c r="B1494" s="9" cm="1">
        <f t="array" ref="B1494">SUMPRODUCT((Tablo3[Personel Ad]=A1494)*(Tablo3[Ürün Kar Tutarı]))</f>
        <v>0</v>
      </c>
      <c r="D1494" s="14"/>
      <c r="F1494" s="9" cm="1">
        <f t="array" ref="F1494">SUMPRODUCT((Tablo3[Şehirler]=E1494)*(Tablo3[Ürün Kar Tutarı]))</f>
        <v>0</v>
      </c>
      <c r="H1494" s="14"/>
      <c r="J1494" s="9" cm="1">
        <f t="array" ref="J1494">SUMPRODUCT((Tablo3[Urun Ad]=I1494)*(Tablo3[Ürün Kar Tutarı]))</f>
        <v>0</v>
      </c>
      <c r="L1494" s="37"/>
    </row>
    <row r="1495" spans="1:12" x14ac:dyDescent="0.25">
      <c r="A1495" s="13"/>
      <c r="B1495" s="9" cm="1">
        <f t="array" ref="B1495">SUMPRODUCT((Tablo3[Personel Ad]=A1495)*(Tablo3[Ürün Kar Tutarı]))</f>
        <v>0</v>
      </c>
      <c r="D1495" s="14"/>
      <c r="F1495" s="9" cm="1">
        <f t="array" ref="F1495">SUMPRODUCT((Tablo3[Şehirler]=E1495)*(Tablo3[Ürün Kar Tutarı]))</f>
        <v>0</v>
      </c>
      <c r="H1495" s="14"/>
      <c r="J1495" s="9" cm="1">
        <f t="array" ref="J1495">SUMPRODUCT((Tablo3[Urun Ad]=I1495)*(Tablo3[Ürün Kar Tutarı]))</f>
        <v>0</v>
      </c>
      <c r="L1495" s="37"/>
    </row>
    <row r="1496" spans="1:12" x14ac:dyDescent="0.25">
      <c r="A1496" s="13"/>
      <c r="B1496" s="9" cm="1">
        <f t="array" ref="B1496">SUMPRODUCT((Tablo3[Personel Ad]=A1496)*(Tablo3[Ürün Kar Tutarı]))</f>
        <v>0</v>
      </c>
      <c r="D1496" s="14"/>
      <c r="F1496" s="9" cm="1">
        <f t="array" ref="F1496">SUMPRODUCT((Tablo3[Şehirler]=E1496)*(Tablo3[Ürün Kar Tutarı]))</f>
        <v>0</v>
      </c>
      <c r="H1496" s="14"/>
      <c r="J1496" s="9" cm="1">
        <f t="array" ref="J1496">SUMPRODUCT((Tablo3[Urun Ad]=I1496)*(Tablo3[Ürün Kar Tutarı]))</f>
        <v>0</v>
      </c>
      <c r="L1496" s="37"/>
    </row>
    <row r="1497" spans="1:12" x14ac:dyDescent="0.25">
      <c r="A1497" s="13"/>
      <c r="B1497" s="9" cm="1">
        <f t="array" ref="B1497">SUMPRODUCT((Tablo3[Personel Ad]=A1497)*(Tablo3[Ürün Kar Tutarı]))</f>
        <v>0</v>
      </c>
      <c r="D1497" s="14"/>
      <c r="F1497" s="9" cm="1">
        <f t="array" ref="F1497">SUMPRODUCT((Tablo3[Şehirler]=E1497)*(Tablo3[Ürün Kar Tutarı]))</f>
        <v>0</v>
      </c>
      <c r="H1497" s="14"/>
      <c r="J1497" s="9" cm="1">
        <f t="array" ref="J1497">SUMPRODUCT((Tablo3[Urun Ad]=I1497)*(Tablo3[Ürün Kar Tutarı]))</f>
        <v>0</v>
      </c>
      <c r="L1497" s="37"/>
    </row>
    <row r="1498" spans="1:12" x14ac:dyDescent="0.25">
      <c r="A1498" s="13"/>
      <c r="B1498" s="9" cm="1">
        <f t="array" ref="B1498">SUMPRODUCT((Tablo3[Personel Ad]=A1498)*(Tablo3[Ürün Kar Tutarı]))</f>
        <v>0</v>
      </c>
      <c r="D1498" s="14"/>
      <c r="F1498" s="9" cm="1">
        <f t="array" ref="F1498">SUMPRODUCT((Tablo3[Şehirler]=E1498)*(Tablo3[Ürün Kar Tutarı]))</f>
        <v>0</v>
      </c>
      <c r="H1498" s="14"/>
      <c r="J1498" s="9" cm="1">
        <f t="array" ref="J1498">SUMPRODUCT((Tablo3[Urun Ad]=I1498)*(Tablo3[Ürün Kar Tutarı]))</f>
        <v>0</v>
      </c>
      <c r="L1498" s="37"/>
    </row>
    <row r="1499" spans="1:12" x14ac:dyDescent="0.25">
      <c r="A1499" s="13"/>
      <c r="B1499" s="9" cm="1">
        <f t="array" ref="B1499">SUMPRODUCT((Tablo3[Personel Ad]=A1499)*(Tablo3[Ürün Kar Tutarı]))</f>
        <v>0</v>
      </c>
      <c r="D1499" s="14"/>
      <c r="F1499" s="9" cm="1">
        <f t="array" ref="F1499">SUMPRODUCT((Tablo3[Şehirler]=E1499)*(Tablo3[Ürün Kar Tutarı]))</f>
        <v>0</v>
      </c>
      <c r="H1499" s="14"/>
      <c r="J1499" s="9" cm="1">
        <f t="array" ref="J1499">SUMPRODUCT((Tablo3[Urun Ad]=I1499)*(Tablo3[Ürün Kar Tutarı]))</f>
        <v>0</v>
      </c>
      <c r="L1499" s="37"/>
    </row>
    <row r="1500" spans="1:12" x14ac:dyDescent="0.25">
      <c r="A1500" s="13"/>
      <c r="B1500" s="9" cm="1">
        <f t="array" ref="B1500">SUMPRODUCT((Tablo3[Personel Ad]=A1500)*(Tablo3[Ürün Kar Tutarı]))</f>
        <v>0</v>
      </c>
      <c r="D1500" s="14"/>
      <c r="F1500" s="9" cm="1">
        <f t="array" ref="F1500">SUMPRODUCT((Tablo3[Şehirler]=E1500)*(Tablo3[Ürün Kar Tutarı]))</f>
        <v>0</v>
      </c>
      <c r="H1500" s="14"/>
      <c r="J1500" s="9" cm="1">
        <f t="array" ref="J1500">SUMPRODUCT((Tablo3[Urun Ad]=I1500)*(Tablo3[Ürün Kar Tutarı]))</f>
        <v>0</v>
      </c>
      <c r="L1500" s="37"/>
    </row>
    <row r="1501" spans="1:12" x14ac:dyDescent="0.25">
      <c r="A1501" s="13"/>
      <c r="B1501" s="9" cm="1">
        <f t="array" ref="B1501">SUMPRODUCT((Tablo3[Personel Ad]=A1501)*(Tablo3[Ürün Kar Tutarı]))</f>
        <v>0</v>
      </c>
      <c r="D1501" s="14"/>
      <c r="F1501" s="9" cm="1">
        <f t="array" ref="F1501">SUMPRODUCT((Tablo3[Şehirler]=E1501)*(Tablo3[Ürün Kar Tutarı]))</f>
        <v>0</v>
      </c>
      <c r="H1501" s="14"/>
      <c r="J1501" s="9" cm="1">
        <f t="array" ref="J1501">SUMPRODUCT((Tablo3[Urun Ad]=I1501)*(Tablo3[Ürün Kar Tutarı]))</f>
        <v>0</v>
      </c>
      <c r="L1501" s="37"/>
    </row>
    <row r="1502" spans="1:12" x14ac:dyDescent="0.25">
      <c r="A1502" s="13"/>
      <c r="B1502" s="9" cm="1">
        <f t="array" ref="B1502">SUMPRODUCT((Tablo3[Personel Ad]=A1502)*(Tablo3[Ürün Kar Tutarı]))</f>
        <v>0</v>
      </c>
      <c r="D1502" s="14"/>
      <c r="F1502" s="9" cm="1">
        <f t="array" ref="F1502">SUMPRODUCT((Tablo3[Şehirler]=E1502)*(Tablo3[Ürün Kar Tutarı]))</f>
        <v>0</v>
      </c>
      <c r="H1502" s="14"/>
      <c r="J1502" s="9" cm="1">
        <f t="array" ref="J1502">SUMPRODUCT((Tablo3[Urun Ad]=I1502)*(Tablo3[Ürün Kar Tutarı]))</f>
        <v>0</v>
      </c>
      <c r="L1502" s="37"/>
    </row>
    <row r="1503" spans="1:12" x14ac:dyDescent="0.25">
      <c r="A1503" s="13"/>
      <c r="B1503" s="9" cm="1">
        <f t="array" ref="B1503">SUMPRODUCT((Tablo3[Personel Ad]=A1503)*(Tablo3[Ürün Kar Tutarı]))</f>
        <v>0</v>
      </c>
      <c r="D1503" s="14"/>
      <c r="F1503" s="9" cm="1">
        <f t="array" ref="F1503">SUMPRODUCT((Tablo3[Şehirler]=E1503)*(Tablo3[Ürün Kar Tutarı]))</f>
        <v>0</v>
      </c>
      <c r="H1503" s="14"/>
      <c r="J1503" s="9" cm="1">
        <f t="array" ref="J1503">SUMPRODUCT((Tablo3[Urun Ad]=I1503)*(Tablo3[Ürün Kar Tutarı]))</f>
        <v>0</v>
      </c>
      <c r="L1503" s="37"/>
    </row>
    <row r="1504" spans="1:12" x14ac:dyDescent="0.25">
      <c r="A1504" s="13"/>
      <c r="B1504" s="9" cm="1">
        <f t="array" ref="B1504">SUMPRODUCT((Tablo3[Personel Ad]=A1504)*(Tablo3[Ürün Kar Tutarı]))</f>
        <v>0</v>
      </c>
      <c r="D1504" s="14"/>
      <c r="F1504" s="9" cm="1">
        <f t="array" ref="F1504">SUMPRODUCT((Tablo3[Şehirler]=E1504)*(Tablo3[Ürün Kar Tutarı]))</f>
        <v>0</v>
      </c>
      <c r="H1504" s="14"/>
      <c r="J1504" s="9" cm="1">
        <f t="array" ref="J1504">SUMPRODUCT((Tablo3[Urun Ad]=I1504)*(Tablo3[Ürün Kar Tutarı]))</f>
        <v>0</v>
      </c>
      <c r="L1504" s="37"/>
    </row>
    <row r="1505" spans="1:12" x14ac:dyDescent="0.25">
      <c r="A1505" s="13"/>
      <c r="B1505" s="9" cm="1">
        <f t="array" ref="B1505">SUMPRODUCT((Tablo3[Personel Ad]=A1505)*(Tablo3[Ürün Kar Tutarı]))</f>
        <v>0</v>
      </c>
      <c r="D1505" s="14"/>
      <c r="F1505" s="9" cm="1">
        <f t="array" ref="F1505">SUMPRODUCT((Tablo3[Şehirler]=E1505)*(Tablo3[Ürün Kar Tutarı]))</f>
        <v>0</v>
      </c>
      <c r="H1505" s="14"/>
      <c r="J1505" s="9" cm="1">
        <f t="array" ref="J1505">SUMPRODUCT((Tablo3[Urun Ad]=I1505)*(Tablo3[Ürün Kar Tutarı]))</f>
        <v>0</v>
      </c>
      <c r="L1505" s="37"/>
    </row>
    <row r="1506" spans="1:12" x14ac:dyDescent="0.25">
      <c r="A1506" s="13"/>
      <c r="B1506" s="9" cm="1">
        <f t="array" ref="B1506">SUMPRODUCT((Tablo3[Personel Ad]=A1506)*(Tablo3[Ürün Kar Tutarı]))</f>
        <v>0</v>
      </c>
      <c r="D1506" s="14"/>
      <c r="F1506" s="9" cm="1">
        <f t="array" ref="F1506">SUMPRODUCT((Tablo3[Şehirler]=E1506)*(Tablo3[Ürün Kar Tutarı]))</f>
        <v>0</v>
      </c>
      <c r="H1506" s="14"/>
      <c r="J1506" s="9" cm="1">
        <f t="array" ref="J1506">SUMPRODUCT((Tablo3[Urun Ad]=I1506)*(Tablo3[Ürün Kar Tutarı]))</f>
        <v>0</v>
      </c>
      <c r="L1506" s="37"/>
    </row>
    <row r="1507" spans="1:12" x14ac:dyDescent="0.25">
      <c r="A1507" s="13"/>
      <c r="B1507" s="9" cm="1">
        <f t="array" ref="B1507">SUMPRODUCT((Tablo3[Personel Ad]=A1507)*(Tablo3[Ürün Kar Tutarı]))</f>
        <v>0</v>
      </c>
      <c r="D1507" s="14"/>
      <c r="F1507" s="9" cm="1">
        <f t="array" ref="F1507">SUMPRODUCT((Tablo3[Şehirler]=E1507)*(Tablo3[Ürün Kar Tutarı]))</f>
        <v>0</v>
      </c>
      <c r="H1507" s="14"/>
      <c r="J1507" s="9" cm="1">
        <f t="array" ref="J1507">SUMPRODUCT((Tablo3[Urun Ad]=I1507)*(Tablo3[Ürün Kar Tutarı]))</f>
        <v>0</v>
      </c>
      <c r="L1507" s="37"/>
    </row>
    <row r="1508" spans="1:12" x14ac:dyDescent="0.25">
      <c r="A1508" s="13"/>
      <c r="B1508" s="9" cm="1">
        <f t="array" ref="B1508">SUMPRODUCT((Tablo3[Personel Ad]=A1508)*(Tablo3[Ürün Kar Tutarı]))</f>
        <v>0</v>
      </c>
      <c r="D1508" s="14"/>
      <c r="F1508" s="9" cm="1">
        <f t="array" ref="F1508">SUMPRODUCT((Tablo3[Şehirler]=E1508)*(Tablo3[Ürün Kar Tutarı]))</f>
        <v>0</v>
      </c>
      <c r="H1508" s="14"/>
      <c r="J1508" s="9" cm="1">
        <f t="array" ref="J1508">SUMPRODUCT((Tablo3[Urun Ad]=I1508)*(Tablo3[Ürün Kar Tutarı]))</f>
        <v>0</v>
      </c>
      <c r="L1508" s="37"/>
    </row>
    <row r="1509" spans="1:12" x14ac:dyDescent="0.25">
      <c r="A1509" s="13"/>
      <c r="B1509" s="9" cm="1">
        <f t="array" ref="B1509">SUMPRODUCT((Tablo3[Personel Ad]=A1509)*(Tablo3[Ürün Kar Tutarı]))</f>
        <v>0</v>
      </c>
      <c r="D1509" s="14"/>
      <c r="F1509" s="9" cm="1">
        <f t="array" ref="F1509">SUMPRODUCT((Tablo3[Şehirler]=E1509)*(Tablo3[Ürün Kar Tutarı]))</f>
        <v>0</v>
      </c>
      <c r="H1509" s="14"/>
      <c r="J1509" s="9" cm="1">
        <f t="array" ref="J1509">SUMPRODUCT((Tablo3[Urun Ad]=I1509)*(Tablo3[Ürün Kar Tutarı]))</f>
        <v>0</v>
      </c>
      <c r="L1509" s="37"/>
    </row>
    <row r="1510" spans="1:12" x14ac:dyDescent="0.25">
      <c r="A1510" s="13"/>
      <c r="B1510" s="9" cm="1">
        <f t="array" ref="B1510">SUMPRODUCT((Tablo3[Personel Ad]=A1510)*(Tablo3[Ürün Kar Tutarı]))</f>
        <v>0</v>
      </c>
      <c r="D1510" s="14"/>
      <c r="F1510" s="9" cm="1">
        <f t="array" ref="F1510">SUMPRODUCT((Tablo3[Şehirler]=E1510)*(Tablo3[Ürün Kar Tutarı]))</f>
        <v>0</v>
      </c>
      <c r="H1510" s="14"/>
      <c r="J1510" s="9" cm="1">
        <f t="array" ref="J1510">SUMPRODUCT((Tablo3[Urun Ad]=I1510)*(Tablo3[Ürün Kar Tutarı]))</f>
        <v>0</v>
      </c>
      <c r="L1510" s="37"/>
    </row>
    <row r="1511" spans="1:12" x14ac:dyDescent="0.25">
      <c r="A1511" s="13"/>
      <c r="B1511" s="9" cm="1">
        <f t="array" ref="B1511">SUMPRODUCT((Tablo3[Personel Ad]=A1511)*(Tablo3[Ürün Kar Tutarı]))</f>
        <v>0</v>
      </c>
      <c r="D1511" s="14"/>
      <c r="F1511" s="9" cm="1">
        <f t="array" ref="F1511">SUMPRODUCT((Tablo3[Şehirler]=E1511)*(Tablo3[Ürün Kar Tutarı]))</f>
        <v>0</v>
      </c>
      <c r="H1511" s="14"/>
      <c r="J1511" s="9" cm="1">
        <f t="array" ref="J1511">SUMPRODUCT((Tablo3[Urun Ad]=I1511)*(Tablo3[Ürün Kar Tutarı]))</f>
        <v>0</v>
      </c>
      <c r="L1511" s="37"/>
    </row>
    <row r="1512" spans="1:12" x14ac:dyDescent="0.25">
      <c r="A1512" s="13"/>
      <c r="B1512" s="9" cm="1">
        <f t="array" ref="B1512">SUMPRODUCT((Tablo3[Personel Ad]=A1512)*(Tablo3[Ürün Kar Tutarı]))</f>
        <v>0</v>
      </c>
      <c r="D1512" s="14"/>
      <c r="F1512" s="9" cm="1">
        <f t="array" ref="F1512">SUMPRODUCT((Tablo3[Şehirler]=E1512)*(Tablo3[Ürün Kar Tutarı]))</f>
        <v>0</v>
      </c>
      <c r="H1512" s="14"/>
      <c r="J1512" s="9" cm="1">
        <f t="array" ref="J1512">SUMPRODUCT((Tablo3[Urun Ad]=I1512)*(Tablo3[Ürün Kar Tutarı]))</f>
        <v>0</v>
      </c>
      <c r="L1512" s="37"/>
    </row>
    <row r="1513" spans="1:12" x14ac:dyDescent="0.25">
      <c r="A1513" s="13"/>
      <c r="B1513" s="9" cm="1">
        <f t="array" ref="B1513">SUMPRODUCT((Tablo3[Personel Ad]=A1513)*(Tablo3[Ürün Kar Tutarı]))</f>
        <v>0</v>
      </c>
      <c r="D1513" s="14"/>
      <c r="F1513" s="9" cm="1">
        <f t="array" ref="F1513">SUMPRODUCT((Tablo3[Şehirler]=E1513)*(Tablo3[Ürün Kar Tutarı]))</f>
        <v>0</v>
      </c>
      <c r="H1513" s="14"/>
      <c r="J1513" s="9" cm="1">
        <f t="array" ref="J1513">SUMPRODUCT((Tablo3[Urun Ad]=I1513)*(Tablo3[Ürün Kar Tutarı]))</f>
        <v>0</v>
      </c>
      <c r="L1513" s="37"/>
    </row>
    <row r="1514" spans="1:12" x14ac:dyDescent="0.25">
      <c r="A1514" s="13"/>
      <c r="B1514" s="9" cm="1">
        <f t="array" ref="B1514">SUMPRODUCT((Tablo3[Personel Ad]=A1514)*(Tablo3[Ürün Kar Tutarı]))</f>
        <v>0</v>
      </c>
      <c r="D1514" s="14"/>
      <c r="F1514" s="9" cm="1">
        <f t="array" ref="F1514">SUMPRODUCT((Tablo3[Şehirler]=E1514)*(Tablo3[Ürün Kar Tutarı]))</f>
        <v>0</v>
      </c>
      <c r="H1514" s="14"/>
      <c r="J1514" s="9" cm="1">
        <f t="array" ref="J1514">SUMPRODUCT((Tablo3[Urun Ad]=I1514)*(Tablo3[Ürün Kar Tutarı]))</f>
        <v>0</v>
      </c>
      <c r="L1514" s="37"/>
    </row>
    <row r="1515" spans="1:12" x14ac:dyDescent="0.25">
      <c r="A1515" s="13"/>
      <c r="B1515" s="9" cm="1">
        <f t="array" ref="B1515">SUMPRODUCT((Tablo3[Personel Ad]=A1515)*(Tablo3[Ürün Kar Tutarı]))</f>
        <v>0</v>
      </c>
      <c r="D1515" s="14"/>
      <c r="F1515" s="9" cm="1">
        <f t="array" ref="F1515">SUMPRODUCT((Tablo3[Şehirler]=E1515)*(Tablo3[Ürün Kar Tutarı]))</f>
        <v>0</v>
      </c>
      <c r="H1515" s="14"/>
      <c r="J1515" s="9" cm="1">
        <f t="array" ref="J1515">SUMPRODUCT((Tablo3[Urun Ad]=I1515)*(Tablo3[Ürün Kar Tutarı]))</f>
        <v>0</v>
      </c>
      <c r="L1515" s="37"/>
    </row>
    <row r="1516" spans="1:12" x14ac:dyDescent="0.25">
      <c r="A1516" s="13"/>
      <c r="B1516" s="9" cm="1">
        <f t="array" ref="B1516">SUMPRODUCT((Tablo3[Personel Ad]=A1516)*(Tablo3[Ürün Kar Tutarı]))</f>
        <v>0</v>
      </c>
      <c r="D1516" s="14"/>
      <c r="F1516" s="9" cm="1">
        <f t="array" ref="F1516">SUMPRODUCT((Tablo3[Şehirler]=E1516)*(Tablo3[Ürün Kar Tutarı]))</f>
        <v>0</v>
      </c>
      <c r="H1516" s="14"/>
      <c r="J1516" s="9" cm="1">
        <f t="array" ref="J1516">SUMPRODUCT((Tablo3[Urun Ad]=I1516)*(Tablo3[Ürün Kar Tutarı]))</f>
        <v>0</v>
      </c>
      <c r="L1516" s="37"/>
    </row>
    <row r="1517" spans="1:12" x14ac:dyDescent="0.25">
      <c r="A1517" s="13"/>
      <c r="B1517" s="9" cm="1">
        <f t="array" ref="B1517">SUMPRODUCT((Tablo3[Personel Ad]=A1517)*(Tablo3[Ürün Kar Tutarı]))</f>
        <v>0</v>
      </c>
      <c r="D1517" s="14"/>
      <c r="F1517" s="9" cm="1">
        <f t="array" ref="F1517">SUMPRODUCT((Tablo3[Şehirler]=E1517)*(Tablo3[Ürün Kar Tutarı]))</f>
        <v>0</v>
      </c>
      <c r="H1517" s="14"/>
      <c r="J1517" s="9" cm="1">
        <f t="array" ref="J1517">SUMPRODUCT((Tablo3[Urun Ad]=I1517)*(Tablo3[Ürün Kar Tutarı]))</f>
        <v>0</v>
      </c>
      <c r="L1517" s="37"/>
    </row>
    <row r="1518" spans="1:12" x14ac:dyDescent="0.25">
      <c r="A1518" s="13"/>
      <c r="B1518" s="9" cm="1">
        <f t="array" ref="B1518">SUMPRODUCT((Tablo3[Personel Ad]=A1518)*(Tablo3[Ürün Kar Tutarı]))</f>
        <v>0</v>
      </c>
      <c r="D1518" s="14"/>
      <c r="F1518" s="9" cm="1">
        <f t="array" ref="F1518">SUMPRODUCT((Tablo3[Şehirler]=E1518)*(Tablo3[Ürün Kar Tutarı]))</f>
        <v>0</v>
      </c>
      <c r="H1518" s="14"/>
      <c r="J1518" s="9" cm="1">
        <f t="array" ref="J1518">SUMPRODUCT((Tablo3[Urun Ad]=I1518)*(Tablo3[Ürün Kar Tutarı]))</f>
        <v>0</v>
      </c>
      <c r="L1518" s="37"/>
    </row>
    <row r="1519" spans="1:12" x14ac:dyDescent="0.25">
      <c r="A1519" s="13"/>
      <c r="B1519" s="9" cm="1">
        <f t="array" ref="B1519">SUMPRODUCT((Tablo3[Personel Ad]=A1519)*(Tablo3[Ürün Kar Tutarı]))</f>
        <v>0</v>
      </c>
      <c r="D1519" s="14"/>
      <c r="F1519" s="9" cm="1">
        <f t="array" ref="F1519">SUMPRODUCT((Tablo3[Şehirler]=E1519)*(Tablo3[Ürün Kar Tutarı]))</f>
        <v>0</v>
      </c>
      <c r="H1519" s="14"/>
      <c r="J1519" s="9" cm="1">
        <f t="array" ref="J1519">SUMPRODUCT((Tablo3[Urun Ad]=I1519)*(Tablo3[Ürün Kar Tutarı]))</f>
        <v>0</v>
      </c>
      <c r="L1519" s="37"/>
    </row>
    <row r="1520" spans="1:12" x14ac:dyDescent="0.25">
      <c r="A1520" s="13"/>
      <c r="B1520" s="9" cm="1">
        <f t="array" ref="B1520">SUMPRODUCT((Tablo3[Personel Ad]=A1520)*(Tablo3[Ürün Kar Tutarı]))</f>
        <v>0</v>
      </c>
      <c r="D1520" s="14"/>
      <c r="F1520" s="9" cm="1">
        <f t="array" ref="F1520">SUMPRODUCT((Tablo3[Şehirler]=E1520)*(Tablo3[Ürün Kar Tutarı]))</f>
        <v>0</v>
      </c>
      <c r="H1520" s="14"/>
      <c r="J1520" s="9" cm="1">
        <f t="array" ref="J1520">SUMPRODUCT((Tablo3[Urun Ad]=I1520)*(Tablo3[Ürün Kar Tutarı]))</f>
        <v>0</v>
      </c>
      <c r="L1520" s="37"/>
    </row>
    <row r="1521" spans="1:12" x14ac:dyDescent="0.25">
      <c r="A1521" s="13"/>
      <c r="B1521" s="9" cm="1">
        <f t="array" ref="B1521">SUMPRODUCT((Tablo3[Personel Ad]=A1521)*(Tablo3[Ürün Kar Tutarı]))</f>
        <v>0</v>
      </c>
      <c r="D1521" s="14"/>
      <c r="F1521" s="9" cm="1">
        <f t="array" ref="F1521">SUMPRODUCT((Tablo3[Şehirler]=E1521)*(Tablo3[Ürün Kar Tutarı]))</f>
        <v>0</v>
      </c>
      <c r="H1521" s="14"/>
      <c r="J1521" s="9" cm="1">
        <f t="array" ref="J1521">SUMPRODUCT((Tablo3[Urun Ad]=I1521)*(Tablo3[Ürün Kar Tutarı]))</f>
        <v>0</v>
      </c>
      <c r="L1521" s="37"/>
    </row>
    <row r="1522" spans="1:12" x14ac:dyDescent="0.25">
      <c r="A1522" s="13"/>
      <c r="B1522" s="9" cm="1">
        <f t="array" ref="B1522">SUMPRODUCT((Tablo3[Personel Ad]=A1522)*(Tablo3[Ürün Kar Tutarı]))</f>
        <v>0</v>
      </c>
      <c r="D1522" s="14"/>
      <c r="F1522" s="9" cm="1">
        <f t="array" ref="F1522">SUMPRODUCT((Tablo3[Şehirler]=E1522)*(Tablo3[Ürün Kar Tutarı]))</f>
        <v>0</v>
      </c>
      <c r="H1522" s="14"/>
      <c r="J1522" s="9" cm="1">
        <f t="array" ref="J1522">SUMPRODUCT((Tablo3[Urun Ad]=I1522)*(Tablo3[Ürün Kar Tutarı]))</f>
        <v>0</v>
      </c>
      <c r="L1522" s="37"/>
    </row>
    <row r="1523" spans="1:12" x14ac:dyDescent="0.25">
      <c r="A1523" s="13"/>
      <c r="B1523" s="9" cm="1">
        <f t="array" ref="B1523">SUMPRODUCT((Tablo3[Personel Ad]=A1523)*(Tablo3[Ürün Kar Tutarı]))</f>
        <v>0</v>
      </c>
      <c r="D1523" s="14"/>
      <c r="F1523" s="9" cm="1">
        <f t="array" ref="F1523">SUMPRODUCT((Tablo3[Şehirler]=E1523)*(Tablo3[Ürün Kar Tutarı]))</f>
        <v>0</v>
      </c>
      <c r="H1523" s="14"/>
      <c r="J1523" s="9" cm="1">
        <f t="array" ref="J1523">SUMPRODUCT((Tablo3[Urun Ad]=I1523)*(Tablo3[Ürün Kar Tutarı]))</f>
        <v>0</v>
      </c>
      <c r="L1523" s="37"/>
    </row>
    <row r="1524" spans="1:12" x14ac:dyDescent="0.25">
      <c r="A1524" s="13"/>
      <c r="B1524" s="9" cm="1">
        <f t="array" ref="B1524">SUMPRODUCT((Tablo3[Personel Ad]=A1524)*(Tablo3[Ürün Kar Tutarı]))</f>
        <v>0</v>
      </c>
      <c r="D1524" s="14"/>
      <c r="F1524" s="9" cm="1">
        <f t="array" ref="F1524">SUMPRODUCT((Tablo3[Şehirler]=E1524)*(Tablo3[Ürün Kar Tutarı]))</f>
        <v>0</v>
      </c>
      <c r="H1524" s="14"/>
      <c r="J1524" s="9" cm="1">
        <f t="array" ref="J1524">SUMPRODUCT((Tablo3[Urun Ad]=I1524)*(Tablo3[Ürün Kar Tutarı]))</f>
        <v>0</v>
      </c>
      <c r="L1524" s="37"/>
    </row>
    <row r="1525" spans="1:12" x14ac:dyDescent="0.25">
      <c r="A1525" s="13"/>
      <c r="B1525" s="9" cm="1">
        <f t="array" ref="B1525">SUMPRODUCT((Tablo3[Personel Ad]=A1525)*(Tablo3[Ürün Kar Tutarı]))</f>
        <v>0</v>
      </c>
      <c r="D1525" s="14"/>
      <c r="F1525" s="9" cm="1">
        <f t="array" ref="F1525">SUMPRODUCT((Tablo3[Şehirler]=E1525)*(Tablo3[Ürün Kar Tutarı]))</f>
        <v>0</v>
      </c>
      <c r="H1525" s="14"/>
      <c r="J1525" s="9" cm="1">
        <f t="array" ref="J1525">SUMPRODUCT((Tablo3[Urun Ad]=I1525)*(Tablo3[Ürün Kar Tutarı]))</f>
        <v>0</v>
      </c>
      <c r="L1525" s="37"/>
    </row>
    <row r="1526" spans="1:12" x14ac:dyDescent="0.25">
      <c r="A1526" s="13"/>
      <c r="B1526" s="9" cm="1">
        <f t="array" ref="B1526">SUMPRODUCT((Tablo3[Personel Ad]=A1526)*(Tablo3[Ürün Kar Tutarı]))</f>
        <v>0</v>
      </c>
      <c r="D1526" s="14"/>
      <c r="F1526" s="9" cm="1">
        <f t="array" ref="F1526">SUMPRODUCT((Tablo3[Şehirler]=E1526)*(Tablo3[Ürün Kar Tutarı]))</f>
        <v>0</v>
      </c>
      <c r="H1526" s="14"/>
      <c r="J1526" s="9" cm="1">
        <f t="array" ref="J1526">SUMPRODUCT((Tablo3[Urun Ad]=I1526)*(Tablo3[Ürün Kar Tutarı]))</f>
        <v>0</v>
      </c>
      <c r="L1526" s="37"/>
    </row>
    <row r="1527" spans="1:12" x14ac:dyDescent="0.25">
      <c r="A1527" s="13"/>
      <c r="B1527" s="9" cm="1">
        <f t="array" ref="B1527">SUMPRODUCT((Tablo3[Personel Ad]=A1527)*(Tablo3[Ürün Kar Tutarı]))</f>
        <v>0</v>
      </c>
      <c r="D1527" s="14"/>
      <c r="F1527" s="9" cm="1">
        <f t="array" ref="F1527">SUMPRODUCT((Tablo3[Şehirler]=E1527)*(Tablo3[Ürün Kar Tutarı]))</f>
        <v>0</v>
      </c>
      <c r="H1527" s="14"/>
      <c r="J1527" s="9" cm="1">
        <f t="array" ref="J1527">SUMPRODUCT((Tablo3[Urun Ad]=I1527)*(Tablo3[Ürün Kar Tutarı]))</f>
        <v>0</v>
      </c>
      <c r="L1527" s="37"/>
    </row>
    <row r="1528" spans="1:12" x14ac:dyDescent="0.25">
      <c r="A1528" s="13"/>
      <c r="B1528" s="9" cm="1">
        <f t="array" ref="B1528">SUMPRODUCT((Tablo3[Personel Ad]=A1528)*(Tablo3[Ürün Kar Tutarı]))</f>
        <v>0</v>
      </c>
      <c r="D1528" s="14"/>
      <c r="F1528" s="9" cm="1">
        <f t="array" ref="F1528">SUMPRODUCT((Tablo3[Şehirler]=E1528)*(Tablo3[Ürün Kar Tutarı]))</f>
        <v>0</v>
      </c>
      <c r="H1528" s="14"/>
      <c r="J1528" s="9" cm="1">
        <f t="array" ref="J1528">SUMPRODUCT((Tablo3[Urun Ad]=I1528)*(Tablo3[Ürün Kar Tutarı]))</f>
        <v>0</v>
      </c>
      <c r="L1528" s="37"/>
    </row>
    <row r="1529" spans="1:12" x14ac:dyDescent="0.25">
      <c r="A1529" s="13"/>
      <c r="B1529" s="9" cm="1">
        <f t="array" ref="B1529">SUMPRODUCT((Tablo3[Personel Ad]=A1529)*(Tablo3[Ürün Kar Tutarı]))</f>
        <v>0</v>
      </c>
      <c r="D1529" s="14"/>
      <c r="F1529" s="9" cm="1">
        <f t="array" ref="F1529">SUMPRODUCT((Tablo3[Şehirler]=E1529)*(Tablo3[Ürün Kar Tutarı]))</f>
        <v>0</v>
      </c>
      <c r="H1529" s="14"/>
      <c r="J1529" s="9" cm="1">
        <f t="array" ref="J1529">SUMPRODUCT((Tablo3[Urun Ad]=I1529)*(Tablo3[Ürün Kar Tutarı]))</f>
        <v>0</v>
      </c>
      <c r="L1529" s="37"/>
    </row>
    <row r="1530" spans="1:12" x14ac:dyDescent="0.25">
      <c r="A1530" s="13"/>
      <c r="B1530" s="9" cm="1">
        <f t="array" ref="B1530">SUMPRODUCT((Tablo3[Personel Ad]=A1530)*(Tablo3[Ürün Kar Tutarı]))</f>
        <v>0</v>
      </c>
      <c r="D1530" s="14"/>
      <c r="F1530" s="9" cm="1">
        <f t="array" ref="F1530">SUMPRODUCT((Tablo3[Şehirler]=E1530)*(Tablo3[Ürün Kar Tutarı]))</f>
        <v>0</v>
      </c>
      <c r="H1530" s="14"/>
      <c r="J1530" s="9" cm="1">
        <f t="array" ref="J1530">SUMPRODUCT((Tablo3[Urun Ad]=I1530)*(Tablo3[Ürün Kar Tutarı]))</f>
        <v>0</v>
      </c>
      <c r="L1530" s="37"/>
    </row>
    <row r="1531" spans="1:12" x14ac:dyDescent="0.25">
      <c r="A1531" s="13"/>
      <c r="B1531" s="9" cm="1">
        <f t="array" ref="B1531">SUMPRODUCT((Tablo3[Personel Ad]=A1531)*(Tablo3[Ürün Kar Tutarı]))</f>
        <v>0</v>
      </c>
      <c r="D1531" s="14"/>
      <c r="F1531" s="9" cm="1">
        <f t="array" ref="F1531">SUMPRODUCT((Tablo3[Şehirler]=E1531)*(Tablo3[Ürün Kar Tutarı]))</f>
        <v>0</v>
      </c>
      <c r="H1531" s="14"/>
      <c r="J1531" s="9" cm="1">
        <f t="array" ref="J1531">SUMPRODUCT((Tablo3[Urun Ad]=I1531)*(Tablo3[Ürün Kar Tutarı]))</f>
        <v>0</v>
      </c>
      <c r="L1531" s="37"/>
    </row>
    <row r="1532" spans="1:12" x14ac:dyDescent="0.25">
      <c r="A1532" s="13"/>
      <c r="B1532" s="9" cm="1">
        <f t="array" ref="B1532">SUMPRODUCT((Tablo3[Personel Ad]=A1532)*(Tablo3[Ürün Kar Tutarı]))</f>
        <v>0</v>
      </c>
      <c r="D1532" s="14"/>
      <c r="F1532" s="9" cm="1">
        <f t="array" ref="F1532">SUMPRODUCT((Tablo3[Şehirler]=E1532)*(Tablo3[Ürün Kar Tutarı]))</f>
        <v>0</v>
      </c>
      <c r="H1532" s="14"/>
      <c r="J1532" s="9" cm="1">
        <f t="array" ref="J1532">SUMPRODUCT((Tablo3[Urun Ad]=I1532)*(Tablo3[Ürün Kar Tutarı]))</f>
        <v>0</v>
      </c>
      <c r="L1532" s="37"/>
    </row>
    <row r="1533" spans="1:12" x14ac:dyDescent="0.25">
      <c r="A1533" s="13"/>
      <c r="B1533" s="9" cm="1">
        <f t="array" ref="B1533">SUMPRODUCT((Tablo3[Personel Ad]=A1533)*(Tablo3[Ürün Kar Tutarı]))</f>
        <v>0</v>
      </c>
      <c r="D1533" s="14"/>
      <c r="F1533" s="9" cm="1">
        <f t="array" ref="F1533">SUMPRODUCT((Tablo3[Şehirler]=E1533)*(Tablo3[Ürün Kar Tutarı]))</f>
        <v>0</v>
      </c>
      <c r="H1533" s="14"/>
      <c r="J1533" s="9" cm="1">
        <f t="array" ref="J1533">SUMPRODUCT((Tablo3[Urun Ad]=I1533)*(Tablo3[Ürün Kar Tutarı]))</f>
        <v>0</v>
      </c>
      <c r="L1533" s="37"/>
    </row>
    <row r="1534" spans="1:12" x14ac:dyDescent="0.25">
      <c r="A1534" s="13"/>
      <c r="B1534" s="9" cm="1">
        <f t="array" ref="B1534">SUMPRODUCT((Tablo3[Personel Ad]=A1534)*(Tablo3[Ürün Kar Tutarı]))</f>
        <v>0</v>
      </c>
      <c r="D1534" s="14"/>
      <c r="F1534" s="9" cm="1">
        <f t="array" ref="F1534">SUMPRODUCT((Tablo3[Şehirler]=E1534)*(Tablo3[Ürün Kar Tutarı]))</f>
        <v>0</v>
      </c>
      <c r="H1534" s="14"/>
      <c r="J1534" s="9" cm="1">
        <f t="array" ref="J1534">SUMPRODUCT((Tablo3[Urun Ad]=I1534)*(Tablo3[Ürün Kar Tutarı]))</f>
        <v>0</v>
      </c>
      <c r="L1534" s="37"/>
    </row>
    <row r="1535" spans="1:12" x14ac:dyDescent="0.25">
      <c r="A1535" s="13"/>
      <c r="B1535" s="9" cm="1">
        <f t="array" ref="B1535">SUMPRODUCT((Tablo3[Personel Ad]=A1535)*(Tablo3[Ürün Kar Tutarı]))</f>
        <v>0</v>
      </c>
      <c r="D1535" s="14"/>
      <c r="F1535" s="9" cm="1">
        <f t="array" ref="F1535">SUMPRODUCT((Tablo3[Şehirler]=E1535)*(Tablo3[Ürün Kar Tutarı]))</f>
        <v>0</v>
      </c>
      <c r="H1535" s="14"/>
      <c r="J1535" s="9" cm="1">
        <f t="array" ref="J1535">SUMPRODUCT((Tablo3[Urun Ad]=I1535)*(Tablo3[Ürün Kar Tutarı]))</f>
        <v>0</v>
      </c>
      <c r="L1535" s="37"/>
    </row>
    <row r="1536" spans="1:12" x14ac:dyDescent="0.25">
      <c r="A1536" s="13"/>
      <c r="B1536" s="9" cm="1">
        <f t="array" ref="B1536">SUMPRODUCT((Tablo3[Personel Ad]=A1536)*(Tablo3[Ürün Kar Tutarı]))</f>
        <v>0</v>
      </c>
      <c r="D1536" s="14"/>
      <c r="F1536" s="9" cm="1">
        <f t="array" ref="F1536">SUMPRODUCT((Tablo3[Şehirler]=E1536)*(Tablo3[Ürün Kar Tutarı]))</f>
        <v>0</v>
      </c>
      <c r="H1536" s="14"/>
      <c r="J1536" s="9" cm="1">
        <f t="array" ref="J1536">SUMPRODUCT((Tablo3[Urun Ad]=I1536)*(Tablo3[Ürün Kar Tutarı]))</f>
        <v>0</v>
      </c>
      <c r="L1536" s="37"/>
    </row>
    <row r="1537" spans="1:12" x14ac:dyDescent="0.25">
      <c r="A1537" s="13"/>
      <c r="B1537" s="9" cm="1">
        <f t="array" ref="B1537">SUMPRODUCT((Tablo3[Personel Ad]=A1537)*(Tablo3[Ürün Kar Tutarı]))</f>
        <v>0</v>
      </c>
      <c r="D1537" s="14"/>
      <c r="F1537" s="9" cm="1">
        <f t="array" ref="F1537">SUMPRODUCT((Tablo3[Şehirler]=E1537)*(Tablo3[Ürün Kar Tutarı]))</f>
        <v>0</v>
      </c>
      <c r="H1537" s="14"/>
      <c r="J1537" s="9" cm="1">
        <f t="array" ref="J1537">SUMPRODUCT((Tablo3[Urun Ad]=I1537)*(Tablo3[Ürün Kar Tutarı]))</f>
        <v>0</v>
      </c>
      <c r="L1537" s="37"/>
    </row>
    <row r="1538" spans="1:12" x14ac:dyDescent="0.25">
      <c r="A1538" s="13"/>
      <c r="B1538" s="9" cm="1">
        <f t="array" ref="B1538">SUMPRODUCT((Tablo3[Personel Ad]=A1538)*(Tablo3[Ürün Kar Tutarı]))</f>
        <v>0</v>
      </c>
      <c r="D1538" s="14"/>
      <c r="F1538" s="9" cm="1">
        <f t="array" ref="F1538">SUMPRODUCT((Tablo3[Şehirler]=E1538)*(Tablo3[Ürün Kar Tutarı]))</f>
        <v>0</v>
      </c>
      <c r="H1538" s="14"/>
      <c r="J1538" s="9" cm="1">
        <f t="array" ref="J1538">SUMPRODUCT((Tablo3[Urun Ad]=I1538)*(Tablo3[Ürün Kar Tutarı]))</f>
        <v>0</v>
      </c>
      <c r="L1538" s="37"/>
    </row>
    <row r="1539" spans="1:12" x14ac:dyDescent="0.25">
      <c r="A1539" s="13"/>
      <c r="B1539" s="9" cm="1">
        <f t="array" ref="B1539">SUMPRODUCT((Tablo3[Personel Ad]=A1539)*(Tablo3[Ürün Kar Tutarı]))</f>
        <v>0</v>
      </c>
      <c r="D1539" s="14"/>
      <c r="F1539" s="9" cm="1">
        <f t="array" ref="F1539">SUMPRODUCT((Tablo3[Şehirler]=E1539)*(Tablo3[Ürün Kar Tutarı]))</f>
        <v>0</v>
      </c>
      <c r="H1539" s="14"/>
      <c r="J1539" s="9" cm="1">
        <f t="array" ref="J1539">SUMPRODUCT((Tablo3[Urun Ad]=I1539)*(Tablo3[Ürün Kar Tutarı]))</f>
        <v>0</v>
      </c>
      <c r="L1539" s="37"/>
    </row>
    <row r="1540" spans="1:12" x14ac:dyDescent="0.25">
      <c r="A1540" s="13"/>
      <c r="B1540" s="9" cm="1">
        <f t="array" ref="B1540">SUMPRODUCT((Tablo3[Personel Ad]=A1540)*(Tablo3[Ürün Kar Tutarı]))</f>
        <v>0</v>
      </c>
      <c r="D1540" s="14"/>
      <c r="F1540" s="9" cm="1">
        <f t="array" ref="F1540">SUMPRODUCT((Tablo3[Şehirler]=E1540)*(Tablo3[Ürün Kar Tutarı]))</f>
        <v>0</v>
      </c>
      <c r="H1540" s="14"/>
      <c r="J1540" s="9" cm="1">
        <f t="array" ref="J1540">SUMPRODUCT((Tablo3[Urun Ad]=I1540)*(Tablo3[Ürün Kar Tutarı]))</f>
        <v>0</v>
      </c>
      <c r="L1540" s="37"/>
    </row>
    <row r="1541" spans="1:12" x14ac:dyDescent="0.25">
      <c r="A1541" s="13"/>
      <c r="B1541" s="9" cm="1">
        <f t="array" ref="B1541">SUMPRODUCT((Tablo3[Personel Ad]=A1541)*(Tablo3[Ürün Kar Tutarı]))</f>
        <v>0</v>
      </c>
      <c r="D1541" s="14"/>
      <c r="F1541" s="9" cm="1">
        <f t="array" ref="F1541">SUMPRODUCT((Tablo3[Şehirler]=E1541)*(Tablo3[Ürün Kar Tutarı]))</f>
        <v>0</v>
      </c>
      <c r="H1541" s="14"/>
      <c r="J1541" s="9" cm="1">
        <f t="array" ref="J1541">SUMPRODUCT((Tablo3[Urun Ad]=I1541)*(Tablo3[Ürün Kar Tutarı]))</f>
        <v>0</v>
      </c>
      <c r="L1541" s="37"/>
    </row>
    <row r="1542" spans="1:12" x14ac:dyDescent="0.25">
      <c r="A1542" s="13"/>
      <c r="B1542" s="9" cm="1">
        <f t="array" ref="B1542">SUMPRODUCT((Tablo3[Personel Ad]=A1542)*(Tablo3[Ürün Kar Tutarı]))</f>
        <v>0</v>
      </c>
      <c r="D1542" s="14"/>
      <c r="F1542" s="9" cm="1">
        <f t="array" ref="F1542">SUMPRODUCT((Tablo3[Şehirler]=E1542)*(Tablo3[Ürün Kar Tutarı]))</f>
        <v>0</v>
      </c>
      <c r="H1542" s="14"/>
      <c r="J1542" s="9" cm="1">
        <f t="array" ref="J1542">SUMPRODUCT((Tablo3[Urun Ad]=I1542)*(Tablo3[Ürün Kar Tutarı]))</f>
        <v>0</v>
      </c>
      <c r="L1542" s="37"/>
    </row>
    <row r="1543" spans="1:12" x14ac:dyDescent="0.25">
      <c r="A1543" s="13"/>
      <c r="B1543" s="9" cm="1">
        <f t="array" ref="B1543">SUMPRODUCT((Tablo3[Personel Ad]=A1543)*(Tablo3[Ürün Kar Tutarı]))</f>
        <v>0</v>
      </c>
      <c r="D1543" s="14"/>
      <c r="F1543" s="9" cm="1">
        <f t="array" ref="F1543">SUMPRODUCT((Tablo3[Şehirler]=E1543)*(Tablo3[Ürün Kar Tutarı]))</f>
        <v>0</v>
      </c>
      <c r="H1543" s="14"/>
      <c r="J1543" s="9" cm="1">
        <f t="array" ref="J1543">SUMPRODUCT((Tablo3[Urun Ad]=I1543)*(Tablo3[Ürün Kar Tutarı]))</f>
        <v>0</v>
      </c>
      <c r="L1543" s="37"/>
    </row>
    <row r="1544" spans="1:12" x14ac:dyDescent="0.25">
      <c r="A1544" s="13"/>
      <c r="B1544" s="9" cm="1">
        <f t="array" ref="B1544">SUMPRODUCT((Tablo3[Personel Ad]=A1544)*(Tablo3[Ürün Kar Tutarı]))</f>
        <v>0</v>
      </c>
      <c r="D1544" s="14"/>
      <c r="F1544" s="9" cm="1">
        <f t="array" ref="F1544">SUMPRODUCT((Tablo3[Şehirler]=E1544)*(Tablo3[Ürün Kar Tutarı]))</f>
        <v>0</v>
      </c>
      <c r="H1544" s="14"/>
      <c r="J1544" s="9" cm="1">
        <f t="array" ref="J1544">SUMPRODUCT((Tablo3[Urun Ad]=I1544)*(Tablo3[Ürün Kar Tutarı]))</f>
        <v>0</v>
      </c>
      <c r="L1544" s="37"/>
    </row>
    <row r="1545" spans="1:12" x14ac:dyDescent="0.25">
      <c r="A1545" s="13"/>
      <c r="B1545" s="9" cm="1">
        <f t="array" ref="B1545">SUMPRODUCT((Tablo3[Personel Ad]=A1545)*(Tablo3[Ürün Kar Tutarı]))</f>
        <v>0</v>
      </c>
      <c r="D1545" s="14"/>
      <c r="F1545" s="9" cm="1">
        <f t="array" ref="F1545">SUMPRODUCT((Tablo3[Şehirler]=E1545)*(Tablo3[Ürün Kar Tutarı]))</f>
        <v>0</v>
      </c>
      <c r="H1545" s="14"/>
      <c r="J1545" s="9" cm="1">
        <f t="array" ref="J1545">SUMPRODUCT((Tablo3[Urun Ad]=I1545)*(Tablo3[Ürün Kar Tutarı]))</f>
        <v>0</v>
      </c>
      <c r="L1545" s="37"/>
    </row>
    <row r="1546" spans="1:12" x14ac:dyDescent="0.25">
      <c r="A1546" s="13"/>
      <c r="B1546" s="9" cm="1">
        <f t="array" ref="B1546">SUMPRODUCT((Tablo3[Personel Ad]=A1546)*(Tablo3[Ürün Kar Tutarı]))</f>
        <v>0</v>
      </c>
      <c r="D1546" s="14"/>
      <c r="F1546" s="9" cm="1">
        <f t="array" ref="F1546">SUMPRODUCT((Tablo3[Şehirler]=E1546)*(Tablo3[Ürün Kar Tutarı]))</f>
        <v>0</v>
      </c>
      <c r="H1546" s="14"/>
      <c r="J1546" s="9" cm="1">
        <f t="array" ref="J1546">SUMPRODUCT((Tablo3[Urun Ad]=I1546)*(Tablo3[Ürün Kar Tutarı]))</f>
        <v>0</v>
      </c>
      <c r="L1546" s="37"/>
    </row>
    <row r="1547" spans="1:12" x14ac:dyDescent="0.25">
      <c r="A1547" s="13"/>
      <c r="B1547" s="9" cm="1">
        <f t="array" ref="B1547">SUMPRODUCT((Tablo3[Personel Ad]=A1547)*(Tablo3[Ürün Kar Tutarı]))</f>
        <v>0</v>
      </c>
      <c r="D1547" s="14"/>
      <c r="F1547" s="9" cm="1">
        <f t="array" ref="F1547">SUMPRODUCT((Tablo3[Şehirler]=E1547)*(Tablo3[Ürün Kar Tutarı]))</f>
        <v>0</v>
      </c>
      <c r="H1547" s="14"/>
      <c r="J1547" s="9" cm="1">
        <f t="array" ref="J1547">SUMPRODUCT((Tablo3[Urun Ad]=I1547)*(Tablo3[Ürün Kar Tutarı]))</f>
        <v>0</v>
      </c>
      <c r="L1547" s="37"/>
    </row>
    <row r="1548" spans="1:12" x14ac:dyDescent="0.25">
      <c r="A1548" s="13"/>
      <c r="B1548" s="9" cm="1">
        <f t="array" ref="B1548">SUMPRODUCT((Tablo3[Personel Ad]=A1548)*(Tablo3[Ürün Kar Tutarı]))</f>
        <v>0</v>
      </c>
      <c r="D1548" s="14"/>
      <c r="F1548" s="9" cm="1">
        <f t="array" ref="F1548">SUMPRODUCT((Tablo3[Şehirler]=E1548)*(Tablo3[Ürün Kar Tutarı]))</f>
        <v>0</v>
      </c>
      <c r="H1548" s="14"/>
      <c r="J1548" s="9" cm="1">
        <f t="array" ref="J1548">SUMPRODUCT((Tablo3[Urun Ad]=I1548)*(Tablo3[Ürün Kar Tutarı]))</f>
        <v>0</v>
      </c>
      <c r="L1548" s="37"/>
    </row>
    <row r="1549" spans="1:12" x14ac:dyDescent="0.25">
      <c r="A1549" s="13"/>
      <c r="B1549" s="9" cm="1">
        <f t="array" ref="B1549">SUMPRODUCT((Tablo3[Personel Ad]=A1549)*(Tablo3[Ürün Kar Tutarı]))</f>
        <v>0</v>
      </c>
      <c r="D1549" s="14"/>
      <c r="F1549" s="9" cm="1">
        <f t="array" ref="F1549">SUMPRODUCT((Tablo3[Şehirler]=E1549)*(Tablo3[Ürün Kar Tutarı]))</f>
        <v>0</v>
      </c>
      <c r="H1549" s="14"/>
      <c r="J1549" s="9" cm="1">
        <f t="array" ref="J1549">SUMPRODUCT((Tablo3[Urun Ad]=I1549)*(Tablo3[Ürün Kar Tutarı]))</f>
        <v>0</v>
      </c>
      <c r="L1549" s="37"/>
    </row>
    <row r="1550" spans="1:12" x14ac:dyDescent="0.25">
      <c r="A1550" s="13"/>
      <c r="B1550" s="9" cm="1">
        <f t="array" ref="B1550">SUMPRODUCT((Tablo3[Personel Ad]=A1550)*(Tablo3[Ürün Kar Tutarı]))</f>
        <v>0</v>
      </c>
      <c r="D1550" s="14"/>
      <c r="F1550" s="9" cm="1">
        <f t="array" ref="F1550">SUMPRODUCT((Tablo3[Şehirler]=E1550)*(Tablo3[Ürün Kar Tutarı]))</f>
        <v>0</v>
      </c>
      <c r="H1550" s="14"/>
      <c r="J1550" s="9" cm="1">
        <f t="array" ref="J1550">SUMPRODUCT((Tablo3[Urun Ad]=I1550)*(Tablo3[Ürün Kar Tutarı]))</f>
        <v>0</v>
      </c>
      <c r="L1550" s="37"/>
    </row>
    <row r="1551" spans="1:12" x14ac:dyDescent="0.25">
      <c r="A1551" s="13"/>
      <c r="B1551" s="9" cm="1">
        <f t="array" ref="B1551">SUMPRODUCT((Tablo3[Personel Ad]=A1551)*(Tablo3[Ürün Kar Tutarı]))</f>
        <v>0</v>
      </c>
      <c r="D1551" s="14"/>
      <c r="F1551" s="9" cm="1">
        <f t="array" ref="F1551">SUMPRODUCT((Tablo3[Şehirler]=E1551)*(Tablo3[Ürün Kar Tutarı]))</f>
        <v>0</v>
      </c>
      <c r="H1551" s="14"/>
      <c r="J1551" s="9" cm="1">
        <f t="array" ref="J1551">SUMPRODUCT((Tablo3[Urun Ad]=I1551)*(Tablo3[Ürün Kar Tutarı]))</f>
        <v>0</v>
      </c>
      <c r="L1551" s="37"/>
    </row>
    <row r="1552" spans="1:12" x14ac:dyDescent="0.25">
      <c r="A1552" s="13"/>
      <c r="B1552" s="9" cm="1">
        <f t="array" ref="B1552">SUMPRODUCT((Tablo3[Personel Ad]=A1552)*(Tablo3[Ürün Kar Tutarı]))</f>
        <v>0</v>
      </c>
      <c r="D1552" s="14"/>
      <c r="F1552" s="9" cm="1">
        <f t="array" ref="F1552">SUMPRODUCT((Tablo3[Şehirler]=E1552)*(Tablo3[Ürün Kar Tutarı]))</f>
        <v>0</v>
      </c>
      <c r="H1552" s="14"/>
      <c r="J1552" s="9" cm="1">
        <f t="array" ref="J1552">SUMPRODUCT((Tablo3[Urun Ad]=I1552)*(Tablo3[Ürün Kar Tutarı]))</f>
        <v>0</v>
      </c>
      <c r="L1552" s="37"/>
    </row>
    <row r="1553" spans="1:12" x14ac:dyDescent="0.25">
      <c r="A1553" s="13"/>
      <c r="B1553" s="9" cm="1">
        <f t="array" ref="B1553">SUMPRODUCT((Tablo3[Personel Ad]=A1553)*(Tablo3[Ürün Kar Tutarı]))</f>
        <v>0</v>
      </c>
      <c r="D1553" s="14"/>
      <c r="F1553" s="9" cm="1">
        <f t="array" ref="F1553">SUMPRODUCT((Tablo3[Şehirler]=E1553)*(Tablo3[Ürün Kar Tutarı]))</f>
        <v>0</v>
      </c>
      <c r="H1553" s="14"/>
      <c r="J1553" s="9" cm="1">
        <f t="array" ref="J1553">SUMPRODUCT((Tablo3[Urun Ad]=I1553)*(Tablo3[Ürün Kar Tutarı]))</f>
        <v>0</v>
      </c>
      <c r="L1553" s="37"/>
    </row>
    <row r="1554" spans="1:12" x14ac:dyDescent="0.25">
      <c r="A1554" s="13"/>
      <c r="B1554" s="9" cm="1">
        <f t="array" ref="B1554">SUMPRODUCT((Tablo3[Personel Ad]=A1554)*(Tablo3[Ürün Kar Tutarı]))</f>
        <v>0</v>
      </c>
      <c r="D1554" s="14"/>
      <c r="F1554" s="9" cm="1">
        <f t="array" ref="F1554">SUMPRODUCT((Tablo3[Şehirler]=E1554)*(Tablo3[Ürün Kar Tutarı]))</f>
        <v>0</v>
      </c>
      <c r="H1554" s="14"/>
      <c r="J1554" s="9" cm="1">
        <f t="array" ref="J1554">SUMPRODUCT((Tablo3[Urun Ad]=I1554)*(Tablo3[Ürün Kar Tutarı]))</f>
        <v>0</v>
      </c>
      <c r="L1554" s="37"/>
    </row>
    <row r="1555" spans="1:12" x14ac:dyDescent="0.25">
      <c r="A1555" s="13"/>
      <c r="B1555" s="9" cm="1">
        <f t="array" ref="B1555">SUMPRODUCT((Tablo3[Personel Ad]=A1555)*(Tablo3[Ürün Kar Tutarı]))</f>
        <v>0</v>
      </c>
      <c r="D1555" s="14"/>
      <c r="F1555" s="9" cm="1">
        <f t="array" ref="F1555">SUMPRODUCT((Tablo3[Şehirler]=E1555)*(Tablo3[Ürün Kar Tutarı]))</f>
        <v>0</v>
      </c>
      <c r="H1555" s="14"/>
      <c r="J1555" s="9" cm="1">
        <f t="array" ref="J1555">SUMPRODUCT((Tablo3[Urun Ad]=I1555)*(Tablo3[Ürün Kar Tutarı]))</f>
        <v>0</v>
      </c>
      <c r="L1555" s="37"/>
    </row>
    <row r="1556" spans="1:12" x14ac:dyDescent="0.25">
      <c r="A1556" s="13"/>
      <c r="B1556" s="9" cm="1">
        <f t="array" ref="B1556">SUMPRODUCT((Tablo3[Personel Ad]=A1556)*(Tablo3[Ürün Kar Tutarı]))</f>
        <v>0</v>
      </c>
      <c r="D1556" s="14"/>
      <c r="F1556" s="9" cm="1">
        <f t="array" ref="F1556">SUMPRODUCT((Tablo3[Şehirler]=E1556)*(Tablo3[Ürün Kar Tutarı]))</f>
        <v>0</v>
      </c>
      <c r="H1556" s="14"/>
      <c r="J1556" s="9" cm="1">
        <f t="array" ref="J1556">SUMPRODUCT((Tablo3[Urun Ad]=I1556)*(Tablo3[Ürün Kar Tutarı]))</f>
        <v>0</v>
      </c>
      <c r="L1556" s="37"/>
    </row>
    <row r="1557" spans="1:12" x14ac:dyDescent="0.25">
      <c r="A1557" s="13"/>
      <c r="B1557" s="9" cm="1">
        <f t="array" ref="B1557">SUMPRODUCT((Tablo3[Personel Ad]=A1557)*(Tablo3[Ürün Kar Tutarı]))</f>
        <v>0</v>
      </c>
      <c r="D1557" s="14"/>
      <c r="F1557" s="9" cm="1">
        <f t="array" ref="F1557">SUMPRODUCT((Tablo3[Şehirler]=E1557)*(Tablo3[Ürün Kar Tutarı]))</f>
        <v>0</v>
      </c>
      <c r="H1557" s="14"/>
      <c r="J1557" s="9" cm="1">
        <f t="array" ref="J1557">SUMPRODUCT((Tablo3[Urun Ad]=I1557)*(Tablo3[Ürün Kar Tutarı]))</f>
        <v>0</v>
      </c>
      <c r="L1557" s="37"/>
    </row>
    <row r="1558" spans="1:12" x14ac:dyDescent="0.25">
      <c r="A1558" s="13"/>
      <c r="B1558" s="9" cm="1">
        <f t="array" ref="B1558">SUMPRODUCT((Tablo3[Personel Ad]=A1558)*(Tablo3[Ürün Kar Tutarı]))</f>
        <v>0</v>
      </c>
      <c r="D1558" s="14"/>
      <c r="F1558" s="9" cm="1">
        <f t="array" ref="F1558">SUMPRODUCT((Tablo3[Şehirler]=E1558)*(Tablo3[Ürün Kar Tutarı]))</f>
        <v>0</v>
      </c>
      <c r="H1558" s="14"/>
      <c r="J1558" s="9" cm="1">
        <f t="array" ref="J1558">SUMPRODUCT((Tablo3[Urun Ad]=I1558)*(Tablo3[Ürün Kar Tutarı]))</f>
        <v>0</v>
      </c>
      <c r="L1558" s="37"/>
    </row>
    <row r="1559" spans="1:12" x14ac:dyDescent="0.25">
      <c r="A1559" s="13"/>
      <c r="B1559" s="9" cm="1">
        <f t="array" ref="B1559">SUMPRODUCT((Tablo3[Personel Ad]=A1559)*(Tablo3[Ürün Kar Tutarı]))</f>
        <v>0</v>
      </c>
      <c r="D1559" s="14"/>
      <c r="F1559" s="9" cm="1">
        <f t="array" ref="F1559">SUMPRODUCT((Tablo3[Şehirler]=E1559)*(Tablo3[Ürün Kar Tutarı]))</f>
        <v>0</v>
      </c>
      <c r="H1559" s="14"/>
      <c r="J1559" s="9" cm="1">
        <f t="array" ref="J1559">SUMPRODUCT((Tablo3[Urun Ad]=I1559)*(Tablo3[Ürün Kar Tutarı]))</f>
        <v>0</v>
      </c>
      <c r="L1559" s="37"/>
    </row>
    <row r="1560" spans="1:12" x14ac:dyDescent="0.25">
      <c r="A1560" s="13"/>
      <c r="B1560" s="9" cm="1">
        <f t="array" ref="B1560">SUMPRODUCT((Tablo3[Personel Ad]=A1560)*(Tablo3[Ürün Kar Tutarı]))</f>
        <v>0</v>
      </c>
      <c r="D1560" s="14"/>
      <c r="F1560" s="9" cm="1">
        <f t="array" ref="F1560">SUMPRODUCT((Tablo3[Şehirler]=E1560)*(Tablo3[Ürün Kar Tutarı]))</f>
        <v>0</v>
      </c>
      <c r="H1560" s="14"/>
      <c r="J1560" s="9" cm="1">
        <f t="array" ref="J1560">SUMPRODUCT((Tablo3[Urun Ad]=I1560)*(Tablo3[Ürün Kar Tutarı]))</f>
        <v>0</v>
      </c>
      <c r="L1560" s="37"/>
    </row>
    <row r="1561" spans="1:12" x14ac:dyDescent="0.25">
      <c r="A1561" s="13"/>
      <c r="B1561" s="9" cm="1">
        <f t="array" ref="B1561">SUMPRODUCT((Tablo3[Personel Ad]=A1561)*(Tablo3[Ürün Kar Tutarı]))</f>
        <v>0</v>
      </c>
      <c r="D1561" s="14"/>
      <c r="F1561" s="9" cm="1">
        <f t="array" ref="F1561">SUMPRODUCT((Tablo3[Şehirler]=E1561)*(Tablo3[Ürün Kar Tutarı]))</f>
        <v>0</v>
      </c>
      <c r="H1561" s="14"/>
      <c r="J1561" s="9" cm="1">
        <f t="array" ref="J1561">SUMPRODUCT((Tablo3[Urun Ad]=I1561)*(Tablo3[Ürün Kar Tutarı]))</f>
        <v>0</v>
      </c>
      <c r="L1561" s="37"/>
    </row>
    <row r="1562" spans="1:12" x14ac:dyDescent="0.25">
      <c r="A1562" s="13"/>
      <c r="B1562" s="9" cm="1">
        <f t="array" ref="B1562">SUMPRODUCT((Tablo3[Personel Ad]=A1562)*(Tablo3[Ürün Kar Tutarı]))</f>
        <v>0</v>
      </c>
      <c r="D1562" s="14"/>
      <c r="F1562" s="9" cm="1">
        <f t="array" ref="F1562">SUMPRODUCT((Tablo3[Şehirler]=E1562)*(Tablo3[Ürün Kar Tutarı]))</f>
        <v>0</v>
      </c>
      <c r="H1562" s="14"/>
      <c r="J1562" s="9" cm="1">
        <f t="array" ref="J1562">SUMPRODUCT((Tablo3[Urun Ad]=I1562)*(Tablo3[Ürün Kar Tutarı]))</f>
        <v>0</v>
      </c>
      <c r="L1562" s="37"/>
    </row>
    <row r="1563" spans="1:12" x14ac:dyDescent="0.25">
      <c r="A1563" s="13"/>
      <c r="B1563" s="9" cm="1">
        <f t="array" ref="B1563">SUMPRODUCT((Tablo3[Personel Ad]=A1563)*(Tablo3[Ürün Kar Tutarı]))</f>
        <v>0</v>
      </c>
      <c r="D1563" s="14"/>
      <c r="F1563" s="9" cm="1">
        <f t="array" ref="F1563">SUMPRODUCT((Tablo3[Şehirler]=E1563)*(Tablo3[Ürün Kar Tutarı]))</f>
        <v>0</v>
      </c>
      <c r="H1563" s="14"/>
      <c r="J1563" s="9" cm="1">
        <f t="array" ref="J1563">SUMPRODUCT((Tablo3[Urun Ad]=I1563)*(Tablo3[Ürün Kar Tutarı]))</f>
        <v>0</v>
      </c>
      <c r="L1563" s="37"/>
    </row>
    <row r="1564" spans="1:12" x14ac:dyDescent="0.25">
      <c r="A1564" s="13"/>
      <c r="B1564" s="9" cm="1">
        <f t="array" ref="B1564">SUMPRODUCT((Tablo3[Personel Ad]=A1564)*(Tablo3[Ürün Kar Tutarı]))</f>
        <v>0</v>
      </c>
      <c r="D1564" s="14"/>
      <c r="F1564" s="9" cm="1">
        <f t="array" ref="F1564">SUMPRODUCT((Tablo3[Şehirler]=E1564)*(Tablo3[Ürün Kar Tutarı]))</f>
        <v>0</v>
      </c>
      <c r="H1564" s="14"/>
      <c r="J1564" s="9" cm="1">
        <f t="array" ref="J1564">SUMPRODUCT((Tablo3[Urun Ad]=I1564)*(Tablo3[Ürün Kar Tutarı]))</f>
        <v>0</v>
      </c>
      <c r="L1564" s="37"/>
    </row>
    <row r="1565" spans="1:12" x14ac:dyDescent="0.25">
      <c r="A1565" s="13"/>
      <c r="B1565" s="9" cm="1">
        <f t="array" ref="B1565">SUMPRODUCT((Tablo3[Personel Ad]=A1565)*(Tablo3[Ürün Kar Tutarı]))</f>
        <v>0</v>
      </c>
      <c r="D1565" s="14"/>
      <c r="F1565" s="9" cm="1">
        <f t="array" ref="F1565">SUMPRODUCT((Tablo3[Şehirler]=E1565)*(Tablo3[Ürün Kar Tutarı]))</f>
        <v>0</v>
      </c>
      <c r="H1565" s="14"/>
      <c r="J1565" s="9" cm="1">
        <f t="array" ref="J1565">SUMPRODUCT((Tablo3[Urun Ad]=I1565)*(Tablo3[Ürün Kar Tutarı]))</f>
        <v>0</v>
      </c>
      <c r="L1565" s="37"/>
    </row>
    <row r="1566" spans="1:12" x14ac:dyDescent="0.25">
      <c r="A1566" s="13"/>
      <c r="B1566" s="9" cm="1">
        <f t="array" ref="B1566">SUMPRODUCT((Tablo3[Personel Ad]=A1566)*(Tablo3[Ürün Kar Tutarı]))</f>
        <v>0</v>
      </c>
      <c r="D1566" s="14"/>
      <c r="F1566" s="9" cm="1">
        <f t="array" ref="F1566">SUMPRODUCT((Tablo3[Şehirler]=E1566)*(Tablo3[Ürün Kar Tutarı]))</f>
        <v>0</v>
      </c>
      <c r="H1566" s="14"/>
      <c r="J1566" s="9" cm="1">
        <f t="array" ref="J1566">SUMPRODUCT((Tablo3[Urun Ad]=I1566)*(Tablo3[Ürün Kar Tutarı]))</f>
        <v>0</v>
      </c>
      <c r="L1566" s="37"/>
    </row>
    <row r="1567" spans="1:12" x14ac:dyDescent="0.25">
      <c r="A1567" s="13"/>
      <c r="B1567" s="9" cm="1">
        <f t="array" ref="B1567">SUMPRODUCT((Tablo3[Personel Ad]=A1567)*(Tablo3[Ürün Kar Tutarı]))</f>
        <v>0</v>
      </c>
      <c r="D1567" s="14"/>
      <c r="F1567" s="9" cm="1">
        <f t="array" ref="F1567">SUMPRODUCT((Tablo3[Şehirler]=E1567)*(Tablo3[Ürün Kar Tutarı]))</f>
        <v>0</v>
      </c>
      <c r="H1567" s="14"/>
      <c r="J1567" s="9" cm="1">
        <f t="array" ref="J1567">SUMPRODUCT((Tablo3[Urun Ad]=I1567)*(Tablo3[Ürün Kar Tutarı]))</f>
        <v>0</v>
      </c>
      <c r="L1567" s="37"/>
    </row>
    <row r="1568" spans="1:12" x14ac:dyDescent="0.25">
      <c r="A1568" s="13"/>
      <c r="B1568" s="9" cm="1">
        <f t="array" ref="B1568">SUMPRODUCT((Tablo3[Personel Ad]=A1568)*(Tablo3[Ürün Kar Tutarı]))</f>
        <v>0</v>
      </c>
      <c r="D1568" s="14"/>
      <c r="F1568" s="9" cm="1">
        <f t="array" ref="F1568">SUMPRODUCT((Tablo3[Şehirler]=E1568)*(Tablo3[Ürün Kar Tutarı]))</f>
        <v>0</v>
      </c>
      <c r="H1568" s="14"/>
      <c r="J1568" s="9" cm="1">
        <f t="array" ref="J1568">SUMPRODUCT((Tablo3[Urun Ad]=I1568)*(Tablo3[Ürün Kar Tutarı]))</f>
        <v>0</v>
      </c>
      <c r="L1568" s="37"/>
    </row>
    <row r="1569" spans="1:12" x14ac:dyDescent="0.25">
      <c r="A1569" s="13"/>
      <c r="B1569" s="9" cm="1">
        <f t="array" ref="B1569">SUMPRODUCT((Tablo3[Personel Ad]=A1569)*(Tablo3[Ürün Kar Tutarı]))</f>
        <v>0</v>
      </c>
      <c r="D1569" s="14"/>
      <c r="F1569" s="9" cm="1">
        <f t="array" ref="F1569">SUMPRODUCT((Tablo3[Şehirler]=E1569)*(Tablo3[Ürün Kar Tutarı]))</f>
        <v>0</v>
      </c>
      <c r="H1569" s="14"/>
      <c r="J1569" s="9" cm="1">
        <f t="array" ref="J1569">SUMPRODUCT((Tablo3[Urun Ad]=I1569)*(Tablo3[Ürün Kar Tutarı]))</f>
        <v>0</v>
      </c>
      <c r="L1569" s="37"/>
    </row>
    <row r="1570" spans="1:12" x14ac:dyDescent="0.25">
      <c r="A1570" s="13"/>
      <c r="B1570" s="9" cm="1">
        <f t="array" ref="B1570">SUMPRODUCT((Tablo3[Personel Ad]=A1570)*(Tablo3[Ürün Kar Tutarı]))</f>
        <v>0</v>
      </c>
      <c r="D1570" s="14"/>
      <c r="F1570" s="9" cm="1">
        <f t="array" ref="F1570">SUMPRODUCT((Tablo3[Şehirler]=E1570)*(Tablo3[Ürün Kar Tutarı]))</f>
        <v>0</v>
      </c>
      <c r="H1570" s="14"/>
      <c r="J1570" s="9" cm="1">
        <f t="array" ref="J1570">SUMPRODUCT((Tablo3[Urun Ad]=I1570)*(Tablo3[Ürün Kar Tutarı]))</f>
        <v>0</v>
      </c>
      <c r="L1570" s="37"/>
    </row>
    <row r="1571" spans="1:12" x14ac:dyDescent="0.25">
      <c r="A1571" s="13"/>
      <c r="B1571" s="9" cm="1">
        <f t="array" ref="B1571">SUMPRODUCT((Tablo3[Personel Ad]=A1571)*(Tablo3[Ürün Kar Tutarı]))</f>
        <v>0</v>
      </c>
      <c r="D1571" s="14"/>
      <c r="F1571" s="9" cm="1">
        <f t="array" ref="F1571">SUMPRODUCT((Tablo3[Şehirler]=E1571)*(Tablo3[Ürün Kar Tutarı]))</f>
        <v>0</v>
      </c>
      <c r="H1571" s="14"/>
      <c r="J1571" s="9" cm="1">
        <f t="array" ref="J1571">SUMPRODUCT((Tablo3[Urun Ad]=I1571)*(Tablo3[Ürün Kar Tutarı]))</f>
        <v>0</v>
      </c>
      <c r="L1571" s="37"/>
    </row>
    <row r="1572" spans="1:12" x14ac:dyDescent="0.25">
      <c r="A1572" s="13"/>
      <c r="B1572" s="9" cm="1">
        <f t="array" ref="B1572">SUMPRODUCT((Tablo3[Personel Ad]=A1572)*(Tablo3[Ürün Kar Tutarı]))</f>
        <v>0</v>
      </c>
      <c r="D1572" s="14"/>
      <c r="F1572" s="9" cm="1">
        <f t="array" ref="F1572">SUMPRODUCT((Tablo3[Şehirler]=E1572)*(Tablo3[Ürün Kar Tutarı]))</f>
        <v>0</v>
      </c>
      <c r="H1572" s="14"/>
      <c r="J1572" s="9" cm="1">
        <f t="array" ref="J1572">SUMPRODUCT((Tablo3[Urun Ad]=I1572)*(Tablo3[Ürün Kar Tutarı]))</f>
        <v>0</v>
      </c>
      <c r="L1572" s="37"/>
    </row>
    <row r="1573" spans="1:12" x14ac:dyDescent="0.25">
      <c r="A1573" s="13"/>
      <c r="B1573" s="9" cm="1">
        <f t="array" ref="B1573">SUMPRODUCT((Tablo3[Personel Ad]=A1573)*(Tablo3[Ürün Kar Tutarı]))</f>
        <v>0</v>
      </c>
      <c r="D1573" s="14"/>
      <c r="F1573" s="9" cm="1">
        <f t="array" ref="F1573">SUMPRODUCT((Tablo3[Şehirler]=E1573)*(Tablo3[Ürün Kar Tutarı]))</f>
        <v>0</v>
      </c>
      <c r="H1573" s="14"/>
      <c r="J1573" s="9" cm="1">
        <f t="array" ref="J1573">SUMPRODUCT((Tablo3[Urun Ad]=I1573)*(Tablo3[Ürün Kar Tutarı]))</f>
        <v>0</v>
      </c>
      <c r="L1573" s="37"/>
    </row>
    <row r="1574" spans="1:12" x14ac:dyDescent="0.25">
      <c r="A1574" s="13"/>
      <c r="B1574" s="9" cm="1">
        <f t="array" ref="B1574">SUMPRODUCT((Tablo3[Personel Ad]=A1574)*(Tablo3[Ürün Kar Tutarı]))</f>
        <v>0</v>
      </c>
      <c r="D1574" s="14"/>
      <c r="F1574" s="9" cm="1">
        <f t="array" ref="F1574">SUMPRODUCT((Tablo3[Şehirler]=E1574)*(Tablo3[Ürün Kar Tutarı]))</f>
        <v>0</v>
      </c>
      <c r="H1574" s="14"/>
      <c r="J1574" s="9" cm="1">
        <f t="array" ref="J1574">SUMPRODUCT((Tablo3[Urun Ad]=I1574)*(Tablo3[Ürün Kar Tutarı]))</f>
        <v>0</v>
      </c>
      <c r="L1574" s="37"/>
    </row>
    <row r="1575" spans="1:12" x14ac:dyDescent="0.25">
      <c r="A1575" s="13"/>
      <c r="B1575" s="9" cm="1">
        <f t="array" ref="B1575">SUMPRODUCT((Tablo3[Personel Ad]=A1575)*(Tablo3[Ürün Kar Tutarı]))</f>
        <v>0</v>
      </c>
      <c r="D1575" s="14"/>
      <c r="F1575" s="9" cm="1">
        <f t="array" ref="F1575">SUMPRODUCT((Tablo3[Şehirler]=E1575)*(Tablo3[Ürün Kar Tutarı]))</f>
        <v>0</v>
      </c>
      <c r="H1575" s="14"/>
      <c r="J1575" s="9" cm="1">
        <f t="array" ref="J1575">SUMPRODUCT((Tablo3[Urun Ad]=I1575)*(Tablo3[Ürün Kar Tutarı]))</f>
        <v>0</v>
      </c>
      <c r="L1575" s="37"/>
    </row>
    <row r="1576" spans="1:12" x14ac:dyDescent="0.25">
      <c r="A1576" s="13"/>
      <c r="B1576" s="9" cm="1">
        <f t="array" ref="B1576">SUMPRODUCT((Tablo3[Personel Ad]=A1576)*(Tablo3[Ürün Kar Tutarı]))</f>
        <v>0</v>
      </c>
      <c r="D1576" s="14"/>
      <c r="F1576" s="9" cm="1">
        <f t="array" ref="F1576">SUMPRODUCT((Tablo3[Şehirler]=E1576)*(Tablo3[Ürün Kar Tutarı]))</f>
        <v>0</v>
      </c>
      <c r="H1576" s="14"/>
      <c r="J1576" s="9" cm="1">
        <f t="array" ref="J1576">SUMPRODUCT((Tablo3[Urun Ad]=I1576)*(Tablo3[Ürün Kar Tutarı]))</f>
        <v>0</v>
      </c>
      <c r="L1576" s="37"/>
    </row>
    <row r="1577" spans="1:12" x14ac:dyDescent="0.25">
      <c r="A1577" s="13"/>
      <c r="B1577" s="9" cm="1">
        <f t="array" ref="B1577">SUMPRODUCT((Tablo3[Personel Ad]=A1577)*(Tablo3[Ürün Kar Tutarı]))</f>
        <v>0</v>
      </c>
      <c r="D1577" s="14"/>
      <c r="F1577" s="9" cm="1">
        <f t="array" ref="F1577">SUMPRODUCT((Tablo3[Şehirler]=E1577)*(Tablo3[Ürün Kar Tutarı]))</f>
        <v>0</v>
      </c>
      <c r="H1577" s="14"/>
      <c r="J1577" s="9" cm="1">
        <f t="array" ref="J1577">SUMPRODUCT((Tablo3[Urun Ad]=I1577)*(Tablo3[Ürün Kar Tutarı]))</f>
        <v>0</v>
      </c>
      <c r="L1577" s="37"/>
    </row>
    <row r="1578" spans="1:12" x14ac:dyDescent="0.25">
      <c r="A1578" s="13"/>
      <c r="B1578" s="9" cm="1">
        <f t="array" ref="B1578">SUMPRODUCT((Tablo3[Personel Ad]=A1578)*(Tablo3[Ürün Kar Tutarı]))</f>
        <v>0</v>
      </c>
      <c r="D1578" s="14"/>
      <c r="F1578" s="9" cm="1">
        <f t="array" ref="F1578">SUMPRODUCT((Tablo3[Şehirler]=E1578)*(Tablo3[Ürün Kar Tutarı]))</f>
        <v>0</v>
      </c>
      <c r="H1578" s="14"/>
      <c r="J1578" s="9" cm="1">
        <f t="array" ref="J1578">SUMPRODUCT((Tablo3[Urun Ad]=I1578)*(Tablo3[Ürün Kar Tutarı]))</f>
        <v>0</v>
      </c>
      <c r="L1578" s="37"/>
    </row>
    <row r="1579" spans="1:12" x14ac:dyDescent="0.25">
      <c r="A1579" s="13"/>
      <c r="B1579" s="9" cm="1">
        <f t="array" ref="B1579">SUMPRODUCT((Tablo3[Personel Ad]=A1579)*(Tablo3[Ürün Kar Tutarı]))</f>
        <v>0</v>
      </c>
      <c r="D1579" s="14"/>
      <c r="F1579" s="9" cm="1">
        <f t="array" ref="F1579">SUMPRODUCT((Tablo3[Şehirler]=E1579)*(Tablo3[Ürün Kar Tutarı]))</f>
        <v>0</v>
      </c>
      <c r="H1579" s="14"/>
      <c r="J1579" s="9" cm="1">
        <f t="array" ref="J1579">SUMPRODUCT((Tablo3[Urun Ad]=I1579)*(Tablo3[Ürün Kar Tutarı]))</f>
        <v>0</v>
      </c>
      <c r="L1579" s="37"/>
    </row>
    <row r="1580" spans="1:12" x14ac:dyDescent="0.25">
      <c r="A1580" s="13"/>
      <c r="B1580" s="9" cm="1">
        <f t="array" ref="B1580">SUMPRODUCT((Tablo3[Personel Ad]=A1580)*(Tablo3[Ürün Kar Tutarı]))</f>
        <v>0</v>
      </c>
      <c r="D1580" s="14"/>
      <c r="F1580" s="9" cm="1">
        <f t="array" ref="F1580">SUMPRODUCT((Tablo3[Şehirler]=E1580)*(Tablo3[Ürün Kar Tutarı]))</f>
        <v>0</v>
      </c>
      <c r="H1580" s="14"/>
      <c r="J1580" s="9" cm="1">
        <f t="array" ref="J1580">SUMPRODUCT((Tablo3[Urun Ad]=I1580)*(Tablo3[Ürün Kar Tutarı]))</f>
        <v>0</v>
      </c>
      <c r="L1580" s="37"/>
    </row>
    <row r="1581" spans="1:12" x14ac:dyDescent="0.25">
      <c r="A1581" s="13"/>
      <c r="B1581" s="9" cm="1">
        <f t="array" ref="B1581">SUMPRODUCT((Tablo3[Personel Ad]=A1581)*(Tablo3[Ürün Kar Tutarı]))</f>
        <v>0</v>
      </c>
      <c r="D1581" s="14"/>
      <c r="F1581" s="9" cm="1">
        <f t="array" ref="F1581">SUMPRODUCT((Tablo3[Şehirler]=E1581)*(Tablo3[Ürün Kar Tutarı]))</f>
        <v>0</v>
      </c>
      <c r="H1581" s="14"/>
      <c r="J1581" s="9" cm="1">
        <f t="array" ref="J1581">SUMPRODUCT((Tablo3[Urun Ad]=I1581)*(Tablo3[Ürün Kar Tutarı]))</f>
        <v>0</v>
      </c>
      <c r="L1581" s="37"/>
    </row>
    <row r="1582" spans="1:12" x14ac:dyDescent="0.25">
      <c r="A1582" s="13"/>
      <c r="B1582" s="9" cm="1">
        <f t="array" ref="B1582">SUMPRODUCT((Tablo3[Personel Ad]=A1582)*(Tablo3[Ürün Kar Tutarı]))</f>
        <v>0</v>
      </c>
      <c r="D1582" s="14"/>
      <c r="F1582" s="9" cm="1">
        <f t="array" ref="F1582">SUMPRODUCT((Tablo3[Şehirler]=E1582)*(Tablo3[Ürün Kar Tutarı]))</f>
        <v>0</v>
      </c>
      <c r="H1582" s="14"/>
      <c r="J1582" s="9" cm="1">
        <f t="array" ref="J1582">SUMPRODUCT((Tablo3[Urun Ad]=I1582)*(Tablo3[Ürün Kar Tutarı]))</f>
        <v>0</v>
      </c>
      <c r="L1582" s="37"/>
    </row>
    <row r="1583" spans="1:12" x14ac:dyDescent="0.25">
      <c r="A1583" s="13"/>
      <c r="B1583" s="9" cm="1">
        <f t="array" ref="B1583">SUMPRODUCT((Tablo3[Personel Ad]=A1583)*(Tablo3[Ürün Kar Tutarı]))</f>
        <v>0</v>
      </c>
      <c r="D1583" s="14"/>
      <c r="F1583" s="9" cm="1">
        <f t="array" ref="F1583">SUMPRODUCT((Tablo3[Şehirler]=E1583)*(Tablo3[Ürün Kar Tutarı]))</f>
        <v>0</v>
      </c>
      <c r="H1583" s="14"/>
      <c r="J1583" s="9" cm="1">
        <f t="array" ref="J1583">SUMPRODUCT((Tablo3[Urun Ad]=I1583)*(Tablo3[Ürün Kar Tutarı]))</f>
        <v>0</v>
      </c>
      <c r="L1583" s="37"/>
    </row>
    <row r="1584" spans="1:12" x14ac:dyDescent="0.25">
      <c r="A1584" s="13"/>
      <c r="B1584" s="9" cm="1">
        <f t="array" ref="B1584">SUMPRODUCT((Tablo3[Personel Ad]=A1584)*(Tablo3[Ürün Kar Tutarı]))</f>
        <v>0</v>
      </c>
      <c r="D1584" s="14"/>
      <c r="F1584" s="9" cm="1">
        <f t="array" ref="F1584">SUMPRODUCT((Tablo3[Şehirler]=E1584)*(Tablo3[Ürün Kar Tutarı]))</f>
        <v>0</v>
      </c>
      <c r="H1584" s="14"/>
      <c r="J1584" s="9" cm="1">
        <f t="array" ref="J1584">SUMPRODUCT((Tablo3[Urun Ad]=I1584)*(Tablo3[Ürün Kar Tutarı]))</f>
        <v>0</v>
      </c>
      <c r="L1584" s="37"/>
    </row>
    <row r="1585" spans="1:12" x14ac:dyDescent="0.25">
      <c r="A1585" s="13"/>
      <c r="B1585" s="9" cm="1">
        <f t="array" ref="B1585">SUMPRODUCT((Tablo3[Personel Ad]=A1585)*(Tablo3[Ürün Kar Tutarı]))</f>
        <v>0</v>
      </c>
      <c r="D1585" s="14"/>
      <c r="F1585" s="9" cm="1">
        <f t="array" ref="F1585">SUMPRODUCT((Tablo3[Şehirler]=E1585)*(Tablo3[Ürün Kar Tutarı]))</f>
        <v>0</v>
      </c>
      <c r="H1585" s="14"/>
      <c r="J1585" s="9" cm="1">
        <f t="array" ref="J1585">SUMPRODUCT((Tablo3[Urun Ad]=I1585)*(Tablo3[Ürün Kar Tutarı]))</f>
        <v>0</v>
      </c>
      <c r="L1585" s="37"/>
    </row>
    <row r="1586" spans="1:12" x14ac:dyDescent="0.25">
      <c r="A1586" s="13"/>
      <c r="B1586" s="9" cm="1">
        <f t="array" ref="B1586">SUMPRODUCT((Tablo3[Personel Ad]=A1586)*(Tablo3[Ürün Kar Tutarı]))</f>
        <v>0</v>
      </c>
      <c r="D1586" s="14"/>
      <c r="F1586" s="9" cm="1">
        <f t="array" ref="F1586">SUMPRODUCT((Tablo3[Şehirler]=E1586)*(Tablo3[Ürün Kar Tutarı]))</f>
        <v>0</v>
      </c>
      <c r="H1586" s="14"/>
      <c r="J1586" s="9" cm="1">
        <f t="array" ref="J1586">SUMPRODUCT((Tablo3[Urun Ad]=I1586)*(Tablo3[Ürün Kar Tutarı]))</f>
        <v>0</v>
      </c>
      <c r="L1586" s="37"/>
    </row>
    <row r="1587" spans="1:12" x14ac:dyDescent="0.25">
      <c r="A1587" s="13"/>
      <c r="B1587" s="9" cm="1">
        <f t="array" ref="B1587">SUMPRODUCT((Tablo3[Personel Ad]=A1587)*(Tablo3[Ürün Kar Tutarı]))</f>
        <v>0</v>
      </c>
      <c r="D1587" s="14"/>
      <c r="F1587" s="9" cm="1">
        <f t="array" ref="F1587">SUMPRODUCT((Tablo3[Şehirler]=E1587)*(Tablo3[Ürün Kar Tutarı]))</f>
        <v>0</v>
      </c>
      <c r="H1587" s="14"/>
      <c r="J1587" s="9" cm="1">
        <f t="array" ref="J1587">SUMPRODUCT((Tablo3[Urun Ad]=I1587)*(Tablo3[Ürün Kar Tutarı]))</f>
        <v>0</v>
      </c>
      <c r="L1587" s="37"/>
    </row>
    <row r="1588" spans="1:12" x14ac:dyDescent="0.25">
      <c r="A1588" s="13"/>
      <c r="B1588" s="9" cm="1">
        <f t="array" ref="B1588">SUMPRODUCT((Tablo3[Personel Ad]=A1588)*(Tablo3[Ürün Kar Tutarı]))</f>
        <v>0</v>
      </c>
      <c r="D1588" s="14"/>
      <c r="F1588" s="9" cm="1">
        <f t="array" ref="F1588">SUMPRODUCT((Tablo3[Şehirler]=E1588)*(Tablo3[Ürün Kar Tutarı]))</f>
        <v>0</v>
      </c>
      <c r="H1588" s="14"/>
      <c r="J1588" s="9" cm="1">
        <f t="array" ref="J1588">SUMPRODUCT((Tablo3[Urun Ad]=I1588)*(Tablo3[Ürün Kar Tutarı]))</f>
        <v>0</v>
      </c>
      <c r="L1588" s="37"/>
    </row>
    <row r="1589" spans="1:12" x14ac:dyDescent="0.25">
      <c r="A1589" s="13"/>
      <c r="B1589" s="9" cm="1">
        <f t="array" ref="B1589">SUMPRODUCT((Tablo3[Personel Ad]=A1589)*(Tablo3[Ürün Kar Tutarı]))</f>
        <v>0</v>
      </c>
      <c r="D1589" s="14"/>
      <c r="F1589" s="9" cm="1">
        <f t="array" ref="F1589">SUMPRODUCT((Tablo3[Şehirler]=E1589)*(Tablo3[Ürün Kar Tutarı]))</f>
        <v>0</v>
      </c>
      <c r="H1589" s="14"/>
      <c r="J1589" s="9" cm="1">
        <f t="array" ref="J1589">SUMPRODUCT((Tablo3[Urun Ad]=I1589)*(Tablo3[Ürün Kar Tutarı]))</f>
        <v>0</v>
      </c>
      <c r="L1589" s="37"/>
    </row>
    <row r="1590" spans="1:12" x14ac:dyDescent="0.25">
      <c r="A1590" s="13"/>
      <c r="B1590" s="9" cm="1">
        <f t="array" ref="B1590">SUMPRODUCT((Tablo3[Personel Ad]=A1590)*(Tablo3[Ürün Kar Tutarı]))</f>
        <v>0</v>
      </c>
      <c r="D1590" s="14"/>
      <c r="F1590" s="9" cm="1">
        <f t="array" ref="F1590">SUMPRODUCT((Tablo3[Şehirler]=E1590)*(Tablo3[Ürün Kar Tutarı]))</f>
        <v>0</v>
      </c>
      <c r="H1590" s="14"/>
      <c r="J1590" s="9" cm="1">
        <f t="array" ref="J1590">SUMPRODUCT((Tablo3[Urun Ad]=I1590)*(Tablo3[Ürün Kar Tutarı]))</f>
        <v>0</v>
      </c>
      <c r="L1590" s="37"/>
    </row>
    <row r="1591" spans="1:12" x14ac:dyDescent="0.25">
      <c r="A1591" s="13"/>
      <c r="B1591" s="9" cm="1">
        <f t="array" ref="B1591">SUMPRODUCT((Tablo3[Personel Ad]=A1591)*(Tablo3[Ürün Kar Tutarı]))</f>
        <v>0</v>
      </c>
      <c r="D1591" s="14"/>
      <c r="F1591" s="9" cm="1">
        <f t="array" ref="F1591">SUMPRODUCT((Tablo3[Şehirler]=E1591)*(Tablo3[Ürün Kar Tutarı]))</f>
        <v>0</v>
      </c>
      <c r="H1591" s="14"/>
      <c r="J1591" s="9" cm="1">
        <f t="array" ref="J1591">SUMPRODUCT((Tablo3[Urun Ad]=I1591)*(Tablo3[Ürün Kar Tutarı]))</f>
        <v>0</v>
      </c>
      <c r="L1591" s="37"/>
    </row>
    <row r="1592" spans="1:12" x14ac:dyDescent="0.25">
      <c r="A1592" s="13"/>
      <c r="B1592" s="9" cm="1">
        <f t="array" ref="B1592">SUMPRODUCT((Tablo3[Personel Ad]=A1592)*(Tablo3[Ürün Kar Tutarı]))</f>
        <v>0</v>
      </c>
      <c r="D1592" s="14"/>
      <c r="F1592" s="9" cm="1">
        <f t="array" ref="F1592">SUMPRODUCT((Tablo3[Şehirler]=E1592)*(Tablo3[Ürün Kar Tutarı]))</f>
        <v>0</v>
      </c>
      <c r="H1592" s="14"/>
      <c r="J1592" s="9" cm="1">
        <f t="array" ref="J1592">SUMPRODUCT((Tablo3[Urun Ad]=I1592)*(Tablo3[Ürün Kar Tutarı]))</f>
        <v>0</v>
      </c>
      <c r="L1592" s="37"/>
    </row>
    <row r="1593" spans="1:12" x14ac:dyDescent="0.25">
      <c r="A1593" s="13"/>
      <c r="B1593" s="9" cm="1">
        <f t="array" ref="B1593">SUMPRODUCT((Tablo3[Personel Ad]=A1593)*(Tablo3[Ürün Kar Tutarı]))</f>
        <v>0</v>
      </c>
      <c r="D1593" s="14"/>
      <c r="F1593" s="9" cm="1">
        <f t="array" ref="F1593">SUMPRODUCT((Tablo3[Şehirler]=E1593)*(Tablo3[Ürün Kar Tutarı]))</f>
        <v>0</v>
      </c>
      <c r="H1593" s="14"/>
      <c r="J1593" s="9" cm="1">
        <f t="array" ref="J1593">SUMPRODUCT((Tablo3[Urun Ad]=I1593)*(Tablo3[Ürün Kar Tutarı]))</f>
        <v>0</v>
      </c>
      <c r="L1593" s="37"/>
    </row>
    <row r="1594" spans="1:12" x14ac:dyDescent="0.25">
      <c r="A1594" s="13"/>
      <c r="B1594" s="9" cm="1">
        <f t="array" ref="B1594">SUMPRODUCT((Tablo3[Personel Ad]=A1594)*(Tablo3[Ürün Kar Tutarı]))</f>
        <v>0</v>
      </c>
      <c r="D1594" s="14"/>
      <c r="F1594" s="9" cm="1">
        <f t="array" ref="F1594">SUMPRODUCT((Tablo3[Şehirler]=E1594)*(Tablo3[Ürün Kar Tutarı]))</f>
        <v>0</v>
      </c>
      <c r="H1594" s="14"/>
      <c r="J1594" s="9" cm="1">
        <f t="array" ref="J1594">SUMPRODUCT((Tablo3[Urun Ad]=I1594)*(Tablo3[Ürün Kar Tutarı]))</f>
        <v>0</v>
      </c>
      <c r="L1594" s="37"/>
    </row>
    <row r="1595" spans="1:12" x14ac:dyDescent="0.25">
      <c r="A1595" s="13"/>
      <c r="B1595" s="9" cm="1">
        <f t="array" ref="B1595">SUMPRODUCT((Tablo3[Personel Ad]=A1595)*(Tablo3[Ürün Kar Tutarı]))</f>
        <v>0</v>
      </c>
      <c r="D1595" s="14"/>
      <c r="F1595" s="9" cm="1">
        <f t="array" ref="F1595">SUMPRODUCT((Tablo3[Şehirler]=E1595)*(Tablo3[Ürün Kar Tutarı]))</f>
        <v>0</v>
      </c>
      <c r="H1595" s="14"/>
      <c r="J1595" s="9" cm="1">
        <f t="array" ref="J1595">SUMPRODUCT((Tablo3[Urun Ad]=I1595)*(Tablo3[Ürün Kar Tutarı]))</f>
        <v>0</v>
      </c>
      <c r="L1595" s="37"/>
    </row>
    <row r="1596" spans="1:12" x14ac:dyDescent="0.25">
      <c r="A1596" s="13"/>
      <c r="B1596" s="9" cm="1">
        <f t="array" ref="B1596">SUMPRODUCT((Tablo3[Personel Ad]=A1596)*(Tablo3[Ürün Kar Tutarı]))</f>
        <v>0</v>
      </c>
      <c r="D1596" s="14"/>
      <c r="F1596" s="9" cm="1">
        <f t="array" ref="F1596">SUMPRODUCT((Tablo3[Şehirler]=E1596)*(Tablo3[Ürün Kar Tutarı]))</f>
        <v>0</v>
      </c>
      <c r="H1596" s="14"/>
      <c r="J1596" s="9" cm="1">
        <f t="array" ref="J1596">SUMPRODUCT((Tablo3[Urun Ad]=I1596)*(Tablo3[Ürün Kar Tutarı]))</f>
        <v>0</v>
      </c>
      <c r="L1596" s="37"/>
    </row>
    <row r="1597" spans="1:12" x14ac:dyDescent="0.25">
      <c r="A1597" s="13"/>
      <c r="B1597" s="9" cm="1">
        <f t="array" ref="B1597">SUMPRODUCT((Tablo3[Personel Ad]=A1597)*(Tablo3[Ürün Kar Tutarı]))</f>
        <v>0</v>
      </c>
      <c r="D1597" s="14"/>
      <c r="F1597" s="9" cm="1">
        <f t="array" ref="F1597">SUMPRODUCT((Tablo3[Şehirler]=E1597)*(Tablo3[Ürün Kar Tutarı]))</f>
        <v>0</v>
      </c>
      <c r="H1597" s="14"/>
      <c r="J1597" s="9" cm="1">
        <f t="array" ref="J1597">SUMPRODUCT((Tablo3[Urun Ad]=I1597)*(Tablo3[Ürün Kar Tutarı]))</f>
        <v>0</v>
      </c>
      <c r="L1597" s="37"/>
    </row>
    <row r="1598" spans="1:12" x14ac:dyDescent="0.25">
      <c r="A1598" s="13"/>
      <c r="B1598" s="9" cm="1">
        <f t="array" ref="B1598">SUMPRODUCT((Tablo3[Personel Ad]=A1598)*(Tablo3[Ürün Kar Tutarı]))</f>
        <v>0</v>
      </c>
      <c r="D1598" s="14"/>
      <c r="F1598" s="9" cm="1">
        <f t="array" ref="F1598">SUMPRODUCT((Tablo3[Şehirler]=E1598)*(Tablo3[Ürün Kar Tutarı]))</f>
        <v>0</v>
      </c>
      <c r="H1598" s="14"/>
      <c r="J1598" s="9" cm="1">
        <f t="array" ref="J1598">SUMPRODUCT((Tablo3[Urun Ad]=I1598)*(Tablo3[Ürün Kar Tutarı]))</f>
        <v>0</v>
      </c>
      <c r="L1598" s="37"/>
    </row>
    <row r="1599" spans="1:12" x14ac:dyDescent="0.25">
      <c r="A1599" s="13"/>
      <c r="B1599" s="9" cm="1">
        <f t="array" ref="B1599">SUMPRODUCT((Tablo3[Personel Ad]=A1599)*(Tablo3[Ürün Kar Tutarı]))</f>
        <v>0</v>
      </c>
      <c r="D1599" s="14"/>
      <c r="F1599" s="9" cm="1">
        <f t="array" ref="F1599">SUMPRODUCT((Tablo3[Şehirler]=E1599)*(Tablo3[Ürün Kar Tutarı]))</f>
        <v>0</v>
      </c>
      <c r="H1599" s="14"/>
      <c r="J1599" s="9" cm="1">
        <f t="array" ref="J1599">SUMPRODUCT((Tablo3[Urun Ad]=I1599)*(Tablo3[Ürün Kar Tutarı]))</f>
        <v>0</v>
      </c>
      <c r="L1599" s="37"/>
    </row>
    <row r="1600" spans="1:12" x14ac:dyDescent="0.25">
      <c r="A1600" s="13"/>
      <c r="B1600" s="9" cm="1">
        <f t="array" ref="B1600">SUMPRODUCT((Tablo3[Personel Ad]=A1600)*(Tablo3[Ürün Kar Tutarı]))</f>
        <v>0</v>
      </c>
      <c r="D1600" s="14"/>
      <c r="F1600" s="9" cm="1">
        <f t="array" ref="F1600">SUMPRODUCT((Tablo3[Şehirler]=E1600)*(Tablo3[Ürün Kar Tutarı]))</f>
        <v>0</v>
      </c>
      <c r="H1600" s="14"/>
      <c r="J1600" s="9" cm="1">
        <f t="array" ref="J1600">SUMPRODUCT((Tablo3[Urun Ad]=I1600)*(Tablo3[Ürün Kar Tutarı]))</f>
        <v>0</v>
      </c>
      <c r="L1600" s="37"/>
    </row>
    <row r="1601" spans="1:12" x14ac:dyDescent="0.25">
      <c r="A1601" s="13"/>
      <c r="B1601" s="9" cm="1">
        <f t="array" ref="B1601">SUMPRODUCT((Tablo3[Personel Ad]=A1601)*(Tablo3[Ürün Kar Tutarı]))</f>
        <v>0</v>
      </c>
      <c r="D1601" s="14"/>
      <c r="F1601" s="9" cm="1">
        <f t="array" ref="F1601">SUMPRODUCT((Tablo3[Şehirler]=E1601)*(Tablo3[Ürün Kar Tutarı]))</f>
        <v>0</v>
      </c>
      <c r="H1601" s="14"/>
      <c r="J1601" s="9" cm="1">
        <f t="array" ref="J1601">SUMPRODUCT((Tablo3[Urun Ad]=I1601)*(Tablo3[Ürün Kar Tutarı]))</f>
        <v>0</v>
      </c>
      <c r="L1601" s="37"/>
    </row>
    <row r="1602" spans="1:12" x14ac:dyDescent="0.25">
      <c r="A1602" s="13"/>
      <c r="B1602" s="9" cm="1">
        <f t="array" ref="B1602">SUMPRODUCT((Tablo3[Personel Ad]=A1602)*(Tablo3[Ürün Kar Tutarı]))</f>
        <v>0</v>
      </c>
      <c r="D1602" s="14"/>
      <c r="F1602" s="9" cm="1">
        <f t="array" ref="F1602">SUMPRODUCT((Tablo3[Şehirler]=E1602)*(Tablo3[Ürün Kar Tutarı]))</f>
        <v>0</v>
      </c>
      <c r="H1602" s="14"/>
      <c r="J1602" s="9" cm="1">
        <f t="array" ref="J1602">SUMPRODUCT((Tablo3[Urun Ad]=I1602)*(Tablo3[Ürün Kar Tutarı]))</f>
        <v>0</v>
      </c>
      <c r="L1602" s="37"/>
    </row>
    <row r="1603" spans="1:12" x14ac:dyDescent="0.25">
      <c r="A1603" s="13"/>
      <c r="B1603" s="9" cm="1">
        <f t="array" ref="B1603">SUMPRODUCT((Tablo3[Personel Ad]=A1603)*(Tablo3[Ürün Kar Tutarı]))</f>
        <v>0</v>
      </c>
      <c r="D1603" s="14"/>
      <c r="F1603" s="9" cm="1">
        <f t="array" ref="F1603">SUMPRODUCT((Tablo3[Şehirler]=E1603)*(Tablo3[Ürün Kar Tutarı]))</f>
        <v>0</v>
      </c>
      <c r="H1603" s="14"/>
      <c r="J1603" s="9" cm="1">
        <f t="array" ref="J1603">SUMPRODUCT((Tablo3[Urun Ad]=I1603)*(Tablo3[Ürün Kar Tutarı]))</f>
        <v>0</v>
      </c>
      <c r="L1603" s="37"/>
    </row>
    <row r="1604" spans="1:12" x14ac:dyDescent="0.25">
      <c r="A1604" s="13"/>
      <c r="B1604" s="9" cm="1">
        <f t="array" ref="B1604">SUMPRODUCT((Tablo3[Personel Ad]=A1604)*(Tablo3[Ürün Kar Tutarı]))</f>
        <v>0</v>
      </c>
      <c r="D1604" s="14"/>
      <c r="F1604" s="9" cm="1">
        <f t="array" ref="F1604">SUMPRODUCT((Tablo3[Şehirler]=E1604)*(Tablo3[Ürün Kar Tutarı]))</f>
        <v>0</v>
      </c>
      <c r="H1604" s="14"/>
      <c r="J1604" s="9" cm="1">
        <f t="array" ref="J1604">SUMPRODUCT((Tablo3[Urun Ad]=I1604)*(Tablo3[Ürün Kar Tutarı]))</f>
        <v>0</v>
      </c>
      <c r="L1604" s="37"/>
    </row>
    <row r="1605" spans="1:12" x14ac:dyDescent="0.25">
      <c r="A1605" s="13"/>
      <c r="B1605" s="9" cm="1">
        <f t="array" ref="B1605">SUMPRODUCT((Tablo3[Personel Ad]=A1605)*(Tablo3[Ürün Kar Tutarı]))</f>
        <v>0</v>
      </c>
      <c r="D1605" s="14"/>
      <c r="F1605" s="9" cm="1">
        <f t="array" ref="F1605">SUMPRODUCT((Tablo3[Şehirler]=E1605)*(Tablo3[Ürün Kar Tutarı]))</f>
        <v>0</v>
      </c>
      <c r="H1605" s="14"/>
      <c r="J1605" s="9" cm="1">
        <f t="array" ref="J1605">SUMPRODUCT((Tablo3[Urun Ad]=I1605)*(Tablo3[Ürün Kar Tutarı]))</f>
        <v>0</v>
      </c>
      <c r="L1605" s="37"/>
    </row>
    <row r="1606" spans="1:12" x14ac:dyDescent="0.25">
      <c r="A1606" s="13"/>
      <c r="B1606" s="9" cm="1">
        <f t="array" ref="B1606">SUMPRODUCT((Tablo3[Personel Ad]=A1606)*(Tablo3[Ürün Kar Tutarı]))</f>
        <v>0</v>
      </c>
      <c r="D1606" s="14"/>
      <c r="F1606" s="9" cm="1">
        <f t="array" ref="F1606">SUMPRODUCT((Tablo3[Şehirler]=E1606)*(Tablo3[Ürün Kar Tutarı]))</f>
        <v>0</v>
      </c>
      <c r="H1606" s="14"/>
      <c r="J1606" s="9" cm="1">
        <f t="array" ref="J1606">SUMPRODUCT((Tablo3[Urun Ad]=I1606)*(Tablo3[Ürün Kar Tutarı]))</f>
        <v>0</v>
      </c>
      <c r="L1606" s="37"/>
    </row>
    <row r="1607" spans="1:12" x14ac:dyDescent="0.25">
      <c r="A1607" s="13"/>
      <c r="B1607" s="9" cm="1">
        <f t="array" ref="B1607">SUMPRODUCT((Tablo3[Personel Ad]=A1607)*(Tablo3[Ürün Kar Tutarı]))</f>
        <v>0</v>
      </c>
      <c r="D1607" s="14"/>
      <c r="F1607" s="9" cm="1">
        <f t="array" ref="F1607">SUMPRODUCT((Tablo3[Şehirler]=E1607)*(Tablo3[Ürün Kar Tutarı]))</f>
        <v>0</v>
      </c>
      <c r="H1607" s="14"/>
      <c r="J1607" s="9" cm="1">
        <f t="array" ref="J1607">SUMPRODUCT((Tablo3[Urun Ad]=I1607)*(Tablo3[Ürün Kar Tutarı]))</f>
        <v>0</v>
      </c>
      <c r="L1607" s="37"/>
    </row>
    <row r="1608" spans="1:12" x14ac:dyDescent="0.25">
      <c r="A1608" s="13"/>
      <c r="B1608" s="9" cm="1">
        <f t="array" ref="B1608">SUMPRODUCT((Tablo3[Personel Ad]=A1608)*(Tablo3[Ürün Kar Tutarı]))</f>
        <v>0</v>
      </c>
      <c r="D1608" s="14"/>
      <c r="F1608" s="9" cm="1">
        <f t="array" ref="F1608">SUMPRODUCT((Tablo3[Şehirler]=E1608)*(Tablo3[Ürün Kar Tutarı]))</f>
        <v>0</v>
      </c>
      <c r="H1608" s="14"/>
      <c r="J1608" s="9" cm="1">
        <f t="array" ref="J1608">SUMPRODUCT((Tablo3[Urun Ad]=I1608)*(Tablo3[Ürün Kar Tutarı]))</f>
        <v>0</v>
      </c>
      <c r="L1608" s="37"/>
    </row>
    <row r="1609" spans="1:12" x14ac:dyDescent="0.25">
      <c r="A1609" s="13"/>
      <c r="B1609" s="9" cm="1">
        <f t="array" ref="B1609">SUMPRODUCT((Tablo3[Personel Ad]=A1609)*(Tablo3[Ürün Kar Tutarı]))</f>
        <v>0</v>
      </c>
      <c r="D1609" s="14"/>
      <c r="F1609" s="9" cm="1">
        <f t="array" ref="F1609">SUMPRODUCT((Tablo3[Şehirler]=E1609)*(Tablo3[Ürün Kar Tutarı]))</f>
        <v>0</v>
      </c>
      <c r="H1609" s="14"/>
      <c r="J1609" s="9" cm="1">
        <f t="array" ref="J1609">SUMPRODUCT((Tablo3[Urun Ad]=I1609)*(Tablo3[Ürün Kar Tutarı]))</f>
        <v>0</v>
      </c>
      <c r="L1609" s="37"/>
    </row>
    <row r="1610" spans="1:12" x14ac:dyDescent="0.25">
      <c r="A1610" s="13"/>
      <c r="B1610" s="9" cm="1">
        <f t="array" ref="B1610">SUMPRODUCT((Tablo3[Personel Ad]=A1610)*(Tablo3[Ürün Kar Tutarı]))</f>
        <v>0</v>
      </c>
      <c r="D1610" s="14"/>
      <c r="F1610" s="9" cm="1">
        <f t="array" ref="F1610">SUMPRODUCT((Tablo3[Şehirler]=E1610)*(Tablo3[Ürün Kar Tutarı]))</f>
        <v>0</v>
      </c>
      <c r="H1610" s="14"/>
      <c r="J1610" s="9" cm="1">
        <f t="array" ref="J1610">SUMPRODUCT((Tablo3[Urun Ad]=I1610)*(Tablo3[Ürün Kar Tutarı]))</f>
        <v>0</v>
      </c>
      <c r="L1610" s="37"/>
    </row>
    <row r="1611" spans="1:12" x14ac:dyDescent="0.25">
      <c r="A1611" s="13"/>
      <c r="B1611" s="9" cm="1">
        <f t="array" ref="B1611">SUMPRODUCT((Tablo3[Personel Ad]=A1611)*(Tablo3[Ürün Kar Tutarı]))</f>
        <v>0</v>
      </c>
      <c r="D1611" s="14"/>
      <c r="F1611" s="9" cm="1">
        <f t="array" ref="F1611">SUMPRODUCT((Tablo3[Şehirler]=E1611)*(Tablo3[Ürün Kar Tutarı]))</f>
        <v>0</v>
      </c>
      <c r="H1611" s="14"/>
      <c r="J1611" s="9" cm="1">
        <f t="array" ref="J1611">SUMPRODUCT((Tablo3[Urun Ad]=I1611)*(Tablo3[Ürün Kar Tutarı]))</f>
        <v>0</v>
      </c>
      <c r="L1611" s="37"/>
    </row>
    <row r="1612" spans="1:12" x14ac:dyDescent="0.25">
      <c r="A1612" s="13"/>
      <c r="B1612" s="9" cm="1">
        <f t="array" ref="B1612">SUMPRODUCT((Tablo3[Personel Ad]=A1612)*(Tablo3[Ürün Kar Tutarı]))</f>
        <v>0</v>
      </c>
      <c r="D1612" s="14"/>
      <c r="F1612" s="9" cm="1">
        <f t="array" ref="F1612">SUMPRODUCT((Tablo3[Şehirler]=E1612)*(Tablo3[Ürün Kar Tutarı]))</f>
        <v>0</v>
      </c>
      <c r="H1612" s="14"/>
      <c r="J1612" s="9" cm="1">
        <f t="array" ref="J1612">SUMPRODUCT((Tablo3[Urun Ad]=I1612)*(Tablo3[Ürün Kar Tutarı]))</f>
        <v>0</v>
      </c>
      <c r="L1612" s="37"/>
    </row>
    <row r="1613" spans="1:12" x14ac:dyDescent="0.25">
      <c r="A1613" s="13"/>
      <c r="B1613" s="9" cm="1">
        <f t="array" ref="B1613">SUMPRODUCT((Tablo3[Personel Ad]=A1613)*(Tablo3[Ürün Kar Tutarı]))</f>
        <v>0</v>
      </c>
      <c r="D1613" s="14"/>
      <c r="F1613" s="9" cm="1">
        <f t="array" ref="F1613">SUMPRODUCT((Tablo3[Şehirler]=E1613)*(Tablo3[Ürün Kar Tutarı]))</f>
        <v>0</v>
      </c>
      <c r="H1613" s="14"/>
      <c r="J1613" s="9" cm="1">
        <f t="array" ref="J1613">SUMPRODUCT((Tablo3[Urun Ad]=I1613)*(Tablo3[Ürün Kar Tutarı]))</f>
        <v>0</v>
      </c>
      <c r="L1613" s="37"/>
    </row>
    <row r="1614" spans="1:12" x14ac:dyDescent="0.25">
      <c r="A1614" s="13"/>
      <c r="B1614" s="9" cm="1">
        <f t="array" ref="B1614">SUMPRODUCT((Tablo3[Personel Ad]=A1614)*(Tablo3[Ürün Kar Tutarı]))</f>
        <v>0</v>
      </c>
      <c r="D1614" s="14"/>
      <c r="F1614" s="9" cm="1">
        <f t="array" ref="F1614">SUMPRODUCT((Tablo3[Şehirler]=E1614)*(Tablo3[Ürün Kar Tutarı]))</f>
        <v>0</v>
      </c>
      <c r="H1614" s="14"/>
      <c r="J1614" s="9" cm="1">
        <f t="array" ref="J1614">SUMPRODUCT((Tablo3[Urun Ad]=I1614)*(Tablo3[Ürün Kar Tutarı]))</f>
        <v>0</v>
      </c>
      <c r="L1614" s="37"/>
    </row>
    <row r="1615" spans="1:12" x14ac:dyDescent="0.25">
      <c r="A1615" s="13"/>
      <c r="B1615" s="9" cm="1">
        <f t="array" ref="B1615">SUMPRODUCT((Tablo3[Personel Ad]=A1615)*(Tablo3[Ürün Kar Tutarı]))</f>
        <v>0</v>
      </c>
      <c r="D1615" s="14"/>
      <c r="F1615" s="9" cm="1">
        <f t="array" ref="F1615">SUMPRODUCT((Tablo3[Şehirler]=E1615)*(Tablo3[Ürün Kar Tutarı]))</f>
        <v>0</v>
      </c>
      <c r="H1615" s="14"/>
      <c r="J1615" s="9" cm="1">
        <f t="array" ref="J1615">SUMPRODUCT((Tablo3[Urun Ad]=I1615)*(Tablo3[Ürün Kar Tutarı]))</f>
        <v>0</v>
      </c>
      <c r="L1615" s="37"/>
    </row>
    <row r="1616" spans="1:12" x14ac:dyDescent="0.25">
      <c r="A1616" s="13"/>
      <c r="B1616" s="9" cm="1">
        <f t="array" ref="B1616">SUMPRODUCT((Tablo3[Personel Ad]=A1616)*(Tablo3[Ürün Kar Tutarı]))</f>
        <v>0</v>
      </c>
      <c r="D1616" s="14"/>
      <c r="F1616" s="9" cm="1">
        <f t="array" ref="F1616">SUMPRODUCT((Tablo3[Şehirler]=E1616)*(Tablo3[Ürün Kar Tutarı]))</f>
        <v>0</v>
      </c>
      <c r="H1616" s="14"/>
      <c r="J1616" s="9" cm="1">
        <f t="array" ref="J1616">SUMPRODUCT((Tablo3[Urun Ad]=I1616)*(Tablo3[Ürün Kar Tutarı]))</f>
        <v>0</v>
      </c>
      <c r="L1616" s="37"/>
    </row>
    <row r="1617" spans="1:12" x14ac:dyDescent="0.25">
      <c r="A1617" s="13"/>
      <c r="B1617" s="9" cm="1">
        <f t="array" ref="B1617">SUMPRODUCT((Tablo3[Personel Ad]=A1617)*(Tablo3[Ürün Kar Tutarı]))</f>
        <v>0</v>
      </c>
      <c r="D1617" s="14"/>
      <c r="F1617" s="9" cm="1">
        <f t="array" ref="F1617">SUMPRODUCT((Tablo3[Şehirler]=E1617)*(Tablo3[Ürün Kar Tutarı]))</f>
        <v>0</v>
      </c>
      <c r="H1617" s="14"/>
      <c r="J1617" s="9" cm="1">
        <f t="array" ref="J1617">SUMPRODUCT((Tablo3[Urun Ad]=I1617)*(Tablo3[Ürün Kar Tutarı]))</f>
        <v>0</v>
      </c>
      <c r="L1617" s="37"/>
    </row>
    <row r="1618" spans="1:12" x14ac:dyDescent="0.25">
      <c r="A1618" s="13"/>
      <c r="B1618" s="9" cm="1">
        <f t="array" ref="B1618">SUMPRODUCT((Tablo3[Personel Ad]=A1618)*(Tablo3[Ürün Kar Tutarı]))</f>
        <v>0</v>
      </c>
      <c r="D1618" s="14"/>
      <c r="F1618" s="9" cm="1">
        <f t="array" ref="F1618">SUMPRODUCT((Tablo3[Şehirler]=E1618)*(Tablo3[Ürün Kar Tutarı]))</f>
        <v>0</v>
      </c>
      <c r="H1618" s="14"/>
      <c r="J1618" s="9" cm="1">
        <f t="array" ref="J1618">SUMPRODUCT((Tablo3[Urun Ad]=I1618)*(Tablo3[Ürün Kar Tutarı]))</f>
        <v>0</v>
      </c>
      <c r="L1618" s="37"/>
    </row>
    <row r="1619" spans="1:12" x14ac:dyDescent="0.25">
      <c r="A1619" s="13"/>
      <c r="B1619" s="9" cm="1">
        <f t="array" ref="B1619">SUMPRODUCT((Tablo3[Personel Ad]=A1619)*(Tablo3[Ürün Kar Tutarı]))</f>
        <v>0</v>
      </c>
      <c r="D1619" s="14"/>
      <c r="F1619" s="9" cm="1">
        <f t="array" ref="F1619">SUMPRODUCT((Tablo3[Şehirler]=E1619)*(Tablo3[Ürün Kar Tutarı]))</f>
        <v>0</v>
      </c>
      <c r="H1619" s="14"/>
      <c r="J1619" s="9" cm="1">
        <f t="array" ref="J1619">SUMPRODUCT((Tablo3[Urun Ad]=I1619)*(Tablo3[Ürün Kar Tutarı]))</f>
        <v>0</v>
      </c>
      <c r="L1619" s="37"/>
    </row>
    <row r="1620" spans="1:12" x14ac:dyDescent="0.25">
      <c r="A1620" s="13"/>
      <c r="B1620" s="9" cm="1">
        <f t="array" ref="B1620">SUMPRODUCT((Tablo3[Personel Ad]=A1620)*(Tablo3[Ürün Kar Tutarı]))</f>
        <v>0</v>
      </c>
      <c r="D1620" s="14"/>
      <c r="F1620" s="9" cm="1">
        <f t="array" ref="F1620">SUMPRODUCT((Tablo3[Şehirler]=E1620)*(Tablo3[Ürün Kar Tutarı]))</f>
        <v>0</v>
      </c>
      <c r="H1620" s="14"/>
      <c r="J1620" s="9" cm="1">
        <f t="array" ref="J1620">SUMPRODUCT((Tablo3[Urun Ad]=I1620)*(Tablo3[Ürün Kar Tutarı]))</f>
        <v>0</v>
      </c>
      <c r="L1620" s="37"/>
    </row>
    <row r="1621" spans="1:12" x14ac:dyDescent="0.25">
      <c r="A1621" s="13"/>
      <c r="B1621" s="9" cm="1">
        <f t="array" ref="B1621">SUMPRODUCT((Tablo3[Personel Ad]=A1621)*(Tablo3[Ürün Kar Tutarı]))</f>
        <v>0</v>
      </c>
      <c r="D1621" s="14"/>
      <c r="F1621" s="9" cm="1">
        <f t="array" ref="F1621">SUMPRODUCT((Tablo3[Şehirler]=E1621)*(Tablo3[Ürün Kar Tutarı]))</f>
        <v>0</v>
      </c>
      <c r="H1621" s="14"/>
      <c r="J1621" s="9" cm="1">
        <f t="array" ref="J1621">SUMPRODUCT((Tablo3[Urun Ad]=I1621)*(Tablo3[Ürün Kar Tutarı]))</f>
        <v>0</v>
      </c>
      <c r="L1621" s="37"/>
    </row>
    <row r="1622" spans="1:12" x14ac:dyDescent="0.25">
      <c r="A1622" s="13"/>
      <c r="B1622" s="9" cm="1">
        <f t="array" ref="B1622">SUMPRODUCT((Tablo3[Personel Ad]=A1622)*(Tablo3[Ürün Kar Tutarı]))</f>
        <v>0</v>
      </c>
      <c r="D1622" s="14"/>
      <c r="F1622" s="9" cm="1">
        <f t="array" ref="F1622">SUMPRODUCT((Tablo3[Şehirler]=E1622)*(Tablo3[Ürün Kar Tutarı]))</f>
        <v>0</v>
      </c>
      <c r="H1622" s="14"/>
      <c r="J1622" s="9" cm="1">
        <f t="array" ref="J1622">SUMPRODUCT((Tablo3[Urun Ad]=I1622)*(Tablo3[Ürün Kar Tutarı]))</f>
        <v>0</v>
      </c>
      <c r="L1622" s="37"/>
    </row>
    <row r="1623" spans="1:12" x14ac:dyDescent="0.25">
      <c r="A1623" s="13"/>
      <c r="B1623" s="9" cm="1">
        <f t="array" ref="B1623">SUMPRODUCT((Tablo3[Personel Ad]=A1623)*(Tablo3[Ürün Kar Tutarı]))</f>
        <v>0</v>
      </c>
      <c r="D1623" s="14"/>
      <c r="F1623" s="9" cm="1">
        <f t="array" ref="F1623">SUMPRODUCT((Tablo3[Şehirler]=E1623)*(Tablo3[Ürün Kar Tutarı]))</f>
        <v>0</v>
      </c>
      <c r="H1623" s="14"/>
      <c r="J1623" s="9" cm="1">
        <f t="array" ref="J1623">SUMPRODUCT((Tablo3[Urun Ad]=I1623)*(Tablo3[Ürün Kar Tutarı]))</f>
        <v>0</v>
      </c>
      <c r="L1623" s="37"/>
    </row>
    <row r="1624" spans="1:12" x14ac:dyDescent="0.25">
      <c r="A1624" s="13"/>
      <c r="B1624" s="9" cm="1">
        <f t="array" ref="B1624">SUMPRODUCT((Tablo3[Personel Ad]=A1624)*(Tablo3[Ürün Kar Tutarı]))</f>
        <v>0</v>
      </c>
      <c r="D1624" s="14"/>
      <c r="F1624" s="9" cm="1">
        <f t="array" ref="F1624">SUMPRODUCT((Tablo3[Şehirler]=E1624)*(Tablo3[Ürün Kar Tutarı]))</f>
        <v>0</v>
      </c>
      <c r="H1624" s="14"/>
      <c r="J1624" s="9" cm="1">
        <f t="array" ref="J1624">SUMPRODUCT((Tablo3[Urun Ad]=I1624)*(Tablo3[Ürün Kar Tutarı]))</f>
        <v>0</v>
      </c>
      <c r="L1624" s="37"/>
    </row>
    <row r="1625" spans="1:12" x14ac:dyDescent="0.25">
      <c r="A1625" s="13"/>
      <c r="B1625" s="9" cm="1">
        <f t="array" ref="B1625">SUMPRODUCT((Tablo3[Personel Ad]=A1625)*(Tablo3[Ürün Kar Tutarı]))</f>
        <v>0</v>
      </c>
      <c r="D1625" s="14"/>
      <c r="F1625" s="9" cm="1">
        <f t="array" ref="F1625">SUMPRODUCT((Tablo3[Şehirler]=E1625)*(Tablo3[Ürün Kar Tutarı]))</f>
        <v>0</v>
      </c>
      <c r="H1625" s="14"/>
      <c r="J1625" s="9" cm="1">
        <f t="array" ref="J1625">SUMPRODUCT((Tablo3[Urun Ad]=I1625)*(Tablo3[Ürün Kar Tutarı]))</f>
        <v>0</v>
      </c>
      <c r="L1625" s="37"/>
    </row>
    <row r="1626" spans="1:12" x14ac:dyDescent="0.25">
      <c r="A1626" s="13"/>
      <c r="B1626" s="9" cm="1">
        <f t="array" ref="B1626">SUMPRODUCT((Tablo3[Personel Ad]=A1626)*(Tablo3[Ürün Kar Tutarı]))</f>
        <v>0</v>
      </c>
      <c r="D1626" s="14"/>
      <c r="F1626" s="9" cm="1">
        <f t="array" ref="F1626">SUMPRODUCT((Tablo3[Şehirler]=E1626)*(Tablo3[Ürün Kar Tutarı]))</f>
        <v>0</v>
      </c>
      <c r="H1626" s="14"/>
      <c r="J1626" s="9" cm="1">
        <f t="array" ref="J1626">SUMPRODUCT((Tablo3[Urun Ad]=I1626)*(Tablo3[Ürün Kar Tutarı]))</f>
        <v>0</v>
      </c>
      <c r="L1626" s="37"/>
    </row>
    <row r="1627" spans="1:12" x14ac:dyDescent="0.25">
      <c r="A1627" s="13"/>
      <c r="B1627" s="9" cm="1">
        <f t="array" ref="B1627">SUMPRODUCT((Tablo3[Personel Ad]=A1627)*(Tablo3[Ürün Kar Tutarı]))</f>
        <v>0</v>
      </c>
      <c r="D1627" s="14"/>
      <c r="F1627" s="9" cm="1">
        <f t="array" ref="F1627">SUMPRODUCT((Tablo3[Şehirler]=E1627)*(Tablo3[Ürün Kar Tutarı]))</f>
        <v>0</v>
      </c>
      <c r="H1627" s="14"/>
      <c r="J1627" s="9" cm="1">
        <f t="array" ref="J1627">SUMPRODUCT((Tablo3[Urun Ad]=I1627)*(Tablo3[Ürün Kar Tutarı]))</f>
        <v>0</v>
      </c>
      <c r="L1627" s="37"/>
    </row>
    <row r="1628" spans="1:12" x14ac:dyDescent="0.25">
      <c r="A1628" s="13"/>
      <c r="B1628" s="9" cm="1">
        <f t="array" ref="B1628">SUMPRODUCT((Tablo3[Personel Ad]=A1628)*(Tablo3[Ürün Kar Tutarı]))</f>
        <v>0</v>
      </c>
      <c r="D1628" s="14"/>
      <c r="F1628" s="9" cm="1">
        <f t="array" ref="F1628">SUMPRODUCT((Tablo3[Şehirler]=E1628)*(Tablo3[Ürün Kar Tutarı]))</f>
        <v>0</v>
      </c>
      <c r="H1628" s="14"/>
      <c r="J1628" s="9" cm="1">
        <f t="array" ref="J1628">SUMPRODUCT((Tablo3[Urun Ad]=I1628)*(Tablo3[Ürün Kar Tutarı]))</f>
        <v>0</v>
      </c>
      <c r="L1628" s="37"/>
    </row>
    <row r="1629" spans="1:12" x14ac:dyDescent="0.25">
      <c r="A1629" s="13"/>
      <c r="B1629" s="9" cm="1">
        <f t="array" ref="B1629">SUMPRODUCT((Tablo3[Personel Ad]=A1629)*(Tablo3[Ürün Kar Tutarı]))</f>
        <v>0</v>
      </c>
      <c r="D1629" s="14"/>
      <c r="F1629" s="9" cm="1">
        <f t="array" ref="F1629">SUMPRODUCT((Tablo3[Şehirler]=E1629)*(Tablo3[Ürün Kar Tutarı]))</f>
        <v>0</v>
      </c>
      <c r="H1629" s="14"/>
      <c r="J1629" s="9" cm="1">
        <f t="array" ref="J1629">SUMPRODUCT((Tablo3[Urun Ad]=I1629)*(Tablo3[Ürün Kar Tutarı]))</f>
        <v>0</v>
      </c>
      <c r="L1629" s="37"/>
    </row>
    <row r="1630" spans="1:12" x14ac:dyDescent="0.25">
      <c r="A1630" s="13"/>
      <c r="B1630" s="9" cm="1">
        <f t="array" ref="B1630">SUMPRODUCT((Tablo3[Personel Ad]=A1630)*(Tablo3[Ürün Kar Tutarı]))</f>
        <v>0</v>
      </c>
      <c r="D1630" s="14"/>
      <c r="F1630" s="9" cm="1">
        <f t="array" ref="F1630">SUMPRODUCT((Tablo3[Şehirler]=E1630)*(Tablo3[Ürün Kar Tutarı]))</f>
        <v>0</v>
      </c>
      <c r="H1630" s="14"/>
      <c r="J1630" s="9" cm="1">
        <f t="array" ref="J1630">SUMPRODUCT((Tablo3[Urun Ad]=I1630)*(Tablo3[Ürün Kar Tutarı]))</f>
        <v>0</v>
      </c>
      <c r="L1630" s="37"/>
    </row>
    <row r="1631" spans="1:12" x14ac:dyDescent="0.25">
      <c r="A1631" s="13"/>
      <c r="B1631" s="9" cm="1">
        <f t="array" ref="B1631">SUMPRODUCT((Tablo3[Personel Ad]=A1631)*(Tablo3[Ürün Kar Tutarı]))</f>
        <v>0</v>
      </c>
      <c r="D1631" s="14"/>
      <c r="F1631" s="9" cm="1">
        <f t="array" ref="F1631">SUMPRODUCT((Tablo3[Şehirler]=E1631)*(Tablo3[Ürün Kar Tutarı]))</f>
        <v>0</v>
      </c>
      <c r="H1631" s="14"/>
      <c r="J1631" s="9" cm="1">
        <f t="array" ref="J1631">SUMPRODUCT((Tablo3[Urun Ad]=I1631)*(Tablo3[Ürün Kar Tutarı]))</f>
        <v>0</v>
      </c>
      <c r="L1631" s="37"/>
    </row>
    <row r="1632" spans="1:12" x14ac:dyDescent="0.25">
      <c r="A1632" s="13"/>
      <c r="B1632" s="9" cm="1">
        <f t="array" ref="B1632">SUMPRODUCT((Tablo3[Personel Ad]=A1632)*(Tablo3[Ürün Kar Tutarı]))</f>
        <v>0</v>
      </c>
      <c r="D1632" s="14"/>
      <c r="F1632" s="9" cm="1">
        <f t="array" ref="F1632">SUMPRODUCT((Tablo3[Şehirler]=E1632)*(Tablo3[Ürün Kar Tutarı]))</f>
        <v>0</v>
      </c>
      <c r="H1632" s="14"/>
      <c r="J1632" s="9" cm="1">
        <f t="array" ref="J1632">SUMPRODUCT((Tablo3[Urun Ad]=I1632)*(Tablo3[Ürün Kar Tutarı]))</f>
        <v>0</v>
      </c>
      <c r="L1632" s="37"/>
    </row>
    <row r="1633" spans="1:12" x14ac:dyDescent="0.25">
      <c r="A1633" s="13"/>
      <c r="B1633" s="9" cm="1">
        <f t="array" ref="B1633">SUMPRODUCT((Tablo3[Personel Ad]=A1633)*(Tablo3[Ürün Kar Tutarı]))</f>
        <v>0</v>
      </c>
      <c r="D1633" s="14"/>
      <c r="F1633" s="9" cm="1">
        <f t="array" ref="F1633">SUMPRODUCT((Tablo3[Şehirler]=E1633)*(Tablo3[Ürün Kar Tutarı]))</f>
        <v>0</v>
      </c>
      <c r="H1633" s="14"/>
      <c r="J1633" s="9" cm="1">
        <f t="array" ref="J1633">SUMPRODUCT((Tablo3[Urun Ad]=I1633)*(Tablo3[Ürün Kar Tutarı]))</f>
        <v>0</v>
      </c>
      <c r="L1633" s="37"/>
    </row>
    <row r="1634" spans="1:12" x14ac:dyDescent="0.25">
      <c r="A1634" s="13"/>
      <c r="B1634" s="9" cm="1">
        <f t="array" ref="B1634">SUMPRODUCT((Tablo3[Personel Ad]=A1634)*(Tablo3[Ürün Kar Tutarı]))</f>
        <v>0</v>
      </c>
      <c r="D1634" s="14"/>
      <c r="F1634" s="9" cm="1">
        <f t="array" ref="F1634">SUMPRODUCT((Tablo3[Şehirler]=E1634)*(Tablo3[Ürün Kar Tutarı]))</f>
        <v>0</v>
      </c>
      <c r="H1634" s="14"/>
      <c r="J1634" s="9" cm="1">
        <f t="array" ref="J1634">SUMPRODUCT((Tablo3[Urun Ad]=I1634)*(Tablo3[Ürün Kar Tutarı]))</f>
        <v>0</v>
      </c>
      <c r="L1634" s="37"/>
    </row>
    <row r="1635" spans="1:12" x14ac:dyDescent="0.25">
      <c r="A1635" s="13"/>
      <c r="B1635" s="9" cm="1">
        <f t="array" ref="B1635">SUMPRODUCT((Tablo3[Personel Ad]=A1635)*(Tablo3[Ürün Kar Tutarı]))</f>
        <v>0</v>
      </c>
      <c r="D1635" s="14"/>
      <c r="F1635" s="9" cm="1">
        <f t="array" ref="F1635">SUMPRODUCT((Tablo3[Şehirler]=E1635)*(Tablo3[Ürün Kar Tutarı]))</f>
        <v>0</v>
      </c>
      <c r="H1635" s="14"/>
      <c r="J1635" s="9" cm="1">
        <f t="array" ref="J1635">SUMPRODUCT((Tablo3[Urun Ad]=I1635)*(Tablo3[Ürün Kar Tutarı]))</f>
        <v>0</v>
      </c>
      <c r="L1635" s="37"/>
    </row>
    <row r="1636" spans="1:12" x14ac:dyDescent="0.25">
      <c r="A1636" s="13"/>
      <c r="B1636" s="9" cm="1">
        <f t="array" ref="B1636">SUMPRODUCT((Tablo3[Personel Ad]=A1636)*(Tablo3[Ürün Kar Tutarı]))</f>
        <v>0</v>
      </c>
      <c r="D1636" s="14"/>
      <c r="F1636" s="9" cm="1">
        <f t="array" ref="F1636">SUMPRODUCT((Tablo3[Şehirler]=E1636)*(Tablo3[Ürün Kar Tutarı]))</f>
        <v>0</v>
      </c>
      <c r="H1636" s="14"/>
      <c r="J1636" s="9" cm="1">
        <f t="array" ref="J1636">SUMPRODUCT((Tablo3[Urun Ad]=I1636)*(Tablo3[Ürün Kar Tutarı]))</f>
        <v>0</v>
      </c>
      <c r="L1636" s="37"/>
    </row>
    <row r="1637" spans="1:12" x14ac:dyDescent="0.25">
      <c r="A1637" s="13"/>
      <c r="B1637" s="9" cm="1">
        <f t="array" ref="B1637">SUMPRODUCT((Tablo3[Personel Ad]=A1637)*(Tablo3[Ürün Kar Tutarı]))</f>
        <v>0</v>
      </c>
      <c r="D1637" s="14"/>
      <c r="F1637" s="9" cm="1">
        <f t="array" ref="F1637">SUMPRODUCT((Tablo3[Şehirler]=E1637)*(Tablo3[Ürün Kar Tutarı]))</f>
        <v>0</v>
      </c>
      <c r="H1637" s="14"/>
      <c r="J1637" s="9" cm="1">
        <f t="array" ref="J1637">SUMPRODUCT((Tablo3[Urun Ad]=I1637)*(Tablo3[Ürün Kar Tutarı]))</f>
        <v>0</v>
      </c>
      <c r="L1637" s="37"/>
    </row>
    <row r="1638" spans="1:12" x14ac:dyDescent="0.25">
      <c r="A1638" s="13"/>
      <c r="B1638" s="9" cm="1">
        <f t="array" ref="B1638">SUMPRODUCT((Tablo3[Personel Ad]=A1638)*(Tablo3[Ürün Kar Tutarı]))</f>
        <v>0</v>
      </c>
      <c r="D1638" s="14"/>
      <c r="F1638" s="9" cm="1">
        <f t="array" ref="F1638">SUMPRODUCT((Tablo3[Şehirler]=E1638)*(Tablo3[Ürün Kar Tutarı]))</f>
        <v>0</v>
      </c>
      <c r="H1638" s="14"/>
      <c r="J1638" s="9" cm="1">
        <f t="array" ref="J1638">SUMPRODUCT((Tablo3[Urun Ad]=I1638)*(Tablo3[Ürün Kar Tutarı]))</f>
        <v>0</v>
      </c>
      <c r="L1638" s="37"/>
    </row>
    <row r="1639" spans="1:12" x14ac:dyDescent="0.25">
      <c r="A1639" s="13"/>
      <c r="B1639" s="9" cm="1">
        <f t="array" ref="B1639">SUMPRODUCT((Tablo3[Personel Ad]=A1639)*(Tablo3[Ürün Kar Tutarı]))</f>
        <v>0</v>
      </c>
      <c r="D1639" s="14"/>
      <c r="F1639" s="9" cm="1">
        <f t="array" ref="F1639">SUMPRODUCT((Tablo3[Şehirler]=E1639)*(Tablo3[Ürün Kar Tutarı]))</f>
        <v>0</v>
      </c>
      <c r="H1639" s="14"/>
      <c r="J1639" s="9" cm="1">
        <f t="array" ref="J1639">SUMPRODUCT((Tablo3[Urun Ad]=I1639)*(Tablo3[Ürün Kar Tutarı]))</f>
        <v>0</v>
      </c>
      <c r="L1639" s="37"/>
    </row>
    <row r="1640" spans="1:12" x14ac:dyDescent="0.25">
      <c r="A1640" s="13"/>
      <c r="B1640" s="9" cm="1">
        <f t="array" ref="B1640">SUMPRODUCT((Tablo3[Personel Ad]=A1640)*(Tablo3[Ürün Kar Tutarı]))</f>
        <v>0</v>
      </c>
      <c r="D1640" s="14"/>
      <c r="F1640" s="9" cm="1">
        <f t="array" ref="F1640">SUMPRODUCT((Tablo3[Şehirler]=E1640)*(Tablo3[Ürün Kar Tutarı]))</f>
        <v>0</v>
      </c>
      <c r="H1640" s="14"/>
      <c r="J1640" s="9" cm="1">
        <f t="array" ref="J1640">SUMPRODUCT((Tablo3[Urun Ad]=I1640)*(Tablo3[Ürün Kar Tutarı]))</f>
        <v>0</v>
      </c>
      <c r="L1640" s="37"/>
    </row>
    <row r="1641" spans="1:12" x14ac:dyDescent="0.25">
      <c r="A1641" s="13"/>
      <c r="B1641" s="9" cm="1">
        <f t="array" ref="B1641">SUMPRODUCT((Tablo3[Personel Ad]=A1641)*(Tablo3[Ürün Kar Tutarı]))</f>
        <v>0</v>
      </c>
      <c r="D1641" s="14"/>
      <c r="F1641" s="9" cm="1">
        <f t="array" ref="F1641">SUMPRODUCT((Tablo3[Şehirler]=E1641)*(Tablo3[Ürün Kar Tutarı]))</f>
        <v>0</v>
      </c>
      <c r="H1641" s="14"/>
      <c r="J1641" s="9" cm="1">
        <f t="array" ref="J1641">SUMPRODUCT((Tablo3[Urun Ad]=I1641)*(Tablo3[Ürün Kar Tutarı]))</f>
        <v>0</v>
      </c>
      <c r="L1641" s="37"/>
    </row>
    <row r="1642" spans="1:12" x14ac:dyDescent="0.25">
      <c r="A1642" s="13"/>
      <c r="B1642" s="9" cm="1">
        <f t="array" ref="B1642">SUMPRODUCT((Tablo3[Personel Ad]=A1642)*(Tablo3[Ürün Kar Tutarı]))</f>
        <v>0</v>
      </c>
      <c r="D1642" s="14"/>
      <c r="F1642" s="9" cm="1">
        <f t="array" ref="F1642">SUMPRODUCT((Tablo3[Şehirler]=E1642)*(Tablo3[Ürün Kar Tutarı]))</f>
        <v>0</v>
      </c>
      <c r="H1642" s="14"/>
      <c r="J1642" s="9" cm="1">
        <f t="array" ref="J1642">SUMPRODUCT((Tablo3[Urun Ad]=I1642)*(Tablo3[Ürün Kar Tutarı]))</f>
        <v>0</v>
      </c>
      <c r="L1642" s="37"/>
    </row>
    <row r="1643" spans="1:12" x14ac:dyDescent="0.25">
      <c r="A1643" s="13"/>
      <c r="B1643" s="9" cm="1">
        <f t="array" ref="B1643">SUMPRODUCT((Tablo3[Personel Ad]=A1643)*(Tablo3[Ürün Kar Tutarı]))</f>
        <v>0</v>
      </c>
      <c r="D1643" s="14"/>
      <c r="F1643" s="9" cm="1">
        <f t="array" ref="F1643">SUMPRODUCT((Tablo3[Şehirler]=E1643)*(Tablo3[Ürün Kar Tutarı]))</f>
        <v>0</v>
      </c>
      <c r="H1643" s="14"/>
      <c r="J1643" s="9" cm="1">
        <f t="array" ref="J1643">SUMPRODUCT((Tablo3[Urun Ad]=I1643)*(Tablo3[Ürün Kar Tutarı]))</f>
        <v>0</v>
      </c>
      <c r="L1643" s="37"/>
    </row>
    <row r="1644" spans="1:12" x14ac:dyDescent="0.25">
      <c r="A1644" s="13"/>
      <c r="B1644" s="9" cm="1">
        <f t="array" ref="B1644">SUMPRODUCT((Tablo3[Personel Ad]=A1644)*(Tablo3[Ürün Kar Tutarı]))</f>
        <v>0</v>
      </c>
      <c r="D1644" s="14"/>
      <c r="F1644" s="9" cm="1">
        <f t="array" ref="F1644">SUMPRODUCT((Tablo3[Şehirler]=E1644)*(Tablo3[Ürün Kar Tutarı]))</f>
        <v>0</v>
      </c>
      <c r="H1644" s="14"/>
      <c r="J1644" s="9" cm="1">
        <f t="array" ref="J1644">SUMPRODUCT((Tablo3[Urun Ad]=I1644)*(Tablo3[Ürün Kar Tutarı]))</f>
        <v>0</v>
      </c>
      <c r="L1644" s="37"/>
    </row>
    <row r="1645" spans="1:12" x14ac:dyDescent="0.25">
      <c r="A1645" s="13"/>
      <c r="B1645" s="9" cm="1">
        <f t="array" ref="B1645">SUMPRODUCT((Tablo3[Personel Ad]=A1645)*(Tablo3[Ürün Kar Tutarı]))</f>
        <v>0</v>
      </c>
      <c r="D1645" s="14"/>
      <c r="F1645" s="9" cm="1">
        <f t="array" ref="F1645">SUMPRODUCT((Tablo3[Şehirler]=E1645)*(Tablo3[Ürün Kar Tutarı]))</f>
        <v>0</v>
      </c>
      <c r="H1645" s="14"/>
      <c r="J1645" s="9" cm="1">
        <f t="array" ref="J1645">SUMPRODUCT((Tablo3[Urun Ad]=I1645)*(Tablo3[Ürün Kar Tutarı]))</f>
        <v>0</v>
      </c>
      <c r="L1645" s="37"/>
    </row>
    <row r="1646" spans="1:12" x14ac:dyDescent="0.25">
      <c r="A1646" s="13"/>
      <c r="B1646" s="9" cm="1">
        <f t="array" ref="B1646">SUMPRODUCT((Tablo3[Personel Ad]=A1646)*(Tablo3[Ürün Kar Tutarı]))</f>
        <v>0</v>
      </c>
      <c r="D1646" s="14"/>
      <c r="F1646" s="9" cm="1">
        <f t="array" ref="F1646">SUMPRODUCT((Tablo3[Şehirler]=E1646)*(Tablo3[Ürün Kar Tutarı]))</f>
        <v>0</v>
      </c>
      <c r="H1646" s="14"/>
      <c r="J1646" s="9" cm="1">
        <f t="array" ref="J1646">SUMPRODUCT((Tablo3[Urun Ad]=I1646)*(Tablo3[Ürün Kar Tutarı]))</f>
        <v>0</v>
      </c>
      <c r="L1646" s="37"/>
    </row>
    <row r="1647" spans="1:12" x14ac:dyDescent="0.25">
      <c r="A1647" s="13"/>
      <c r="B1647" s="9" cm="1">
        <f t="array" ref="B1647">SUMPRODUCT((Tablo3[Personel Ad]=A1647)*(Tablo3[Ürün Kar Tutarı]))</f>
        <v>0</v>
      </c>
      <c r="D1647" s="14"/>
      <c r="F1647" s="9" cm="1">
        <f t="array" ref="F1647">SUMPRODUCT((Tablo3[Şehirler]=E1647)*(Tablo3[Ürün Kar Tutarı]))</f>
        <v>0</v>
      </c>
      <c r="H1647" s="14"/>
      <c r="J1647" s="9" cm="1">
        <f t="array" ref="J1647">SUMPRODUCT((Tablo3[Urun Ad]=I1647)*(Tablo3[Ürün Kar Tutarı]))</f>
        <v>0</v>
      </c>
      <c r="L1647" s="37"/>
    </row>
    <row r="1648" spans="1:12" x14ac:dyDescent="0.25">
      <c r="A1648" s="13"/>
      <c r="B1648" s="9" cm="1">
        <f t="array" ref="B1648">SUMPRODUCT((Tablo3[Personel Ad]=A1648)*(Tablo3[Ürün Kar Tutarı]))</f>
        <v>0</v>
      </c>
      <c r="D1648" s="14"/>
      <c r="F1648" s="9" cm="1">
        <f t="array" ref="F1648">SUMPRODUCT((Tablo3[Şehirler]=E1648)*(Tablo3[Ürün Kar Tutarı]))</f>
        <v>0</v>
      </c>
      <c r="H1648" s="14"/>
      <c r="J1648" s="9" cm="1">
        <f t="array" ref="J1648">SUMPRODUCT((Tablo3[Urun Ad]=I1648)*(Tablo3[Ürün Kar Tutarı]))</f>
        <v>0</v>
      </c>
      <c r="L1648" s="37"/>
    </row>
    <row r="1649" spans="1:12" x14ac:dyDescent="0.25">
      <c r="A1649" s="13"/>
      <c r="B1649" s="9" cm="1">
        <f t="array" ref="B1649">SUMPRODUCT((Tablo3[Personel Ad]=A1649)*(Tablo3[Ürün Kar Tutarı]))</f>
        <v>0</v>
      </c>
      <c r="D1649" s="14"/>
      <c r="F1649" s="9" cm="1">
        <f t="array" ref="F1649">SUMPRODUCT((Tablo3[Şehirler]=E1649)*(Tablo3[Ürün Kar Tutarı]))</f>
        <v>0</v>
      </c>
      <c r="H1649" s="14"/>
      <c r="J1649" s="9" cm="1">
        <f t="array" ref="J1649">SUMPRODUCT((Tablo3[Urun Ad]=I1649)*(Tablo3[Ürün Kar Tutarı]))</f>
        <v>0</v>
      </c>
      <c r="L1649" s="37"/>
    </row>
    <row r="1650" spans="1:12" x14ac:dyDescent="0.25">
      <c r="A1650" s="13"/>
      <c r="B1650" s="9" cm="1">
        <f t="array" ref="B1650">SUMPRODUCT((Tablo3[Personel Ad]=A1650)*(Tablo3[Ürün Kar Tutarı]))</f>
        <v>0</v>
      </c>
      <c r="D1650" s="14"/>
      <c r="F1650" s="9" cm="1">
        <f t="array" ref="F1650">SUMPRODUCT((Tablo3[Şehirler]=E1650)*(Tablo3[Ürün Kar Tutarı]))</f>
        <v>0</v>
      </c>
      <c r="H1650" s="14"/>
      <c r="J1650" s="9" cm="1">
        <f t="array" ref="J1650">SUMPRODUCT((Tablo3[Urun Ad]=I1650)*(Tablo3[Ürün Kar Tutarı]))</f>
        <v>0</v>
      </c>
      <c r="L1650" s="37"/>
    </row>
    <row r="1651" spans="1:12" x14ac:dyDescent="0.25">
      <c r="A1651" s="13"/>
      <c r="B1651" s="9" cm="1">
        <f t="array" ref="B1651">SUMPRODUCT((Tablo3[Personel Ad]=A1651)*(Tablo3[Ürün Kar Tutarı]))</f>
        <v>0</v>
      </c>
      <c r="D1651" s="14"/>
      <c r="F1651" s="9" cm="1">
        <f t="array" ref="F1651">SUMPRODUCT((Tablo3[Şehirler]=E1651)*(Tablo3[Ürün Kar Tutarı]))</f>
        <v>0</v>
      </c>
      <c r="H1651" s="14"/>
      <c r="J1651" s="9" cm="1">
        <f t="array" ref="J1651">SUMPRODUCT((Tablo3[Urun Ad]=I1651)*(Tablo3[Ürün Kar Tutarı]))</f>
        <v>0</v>
      </c>
      <c r="L1651" s="37"/>
    </row>
    <row r="1652" spans="1:12" x14ac:dyDescent="0.25">
      <c r="A1652" s="13"/>
      <c r="B1652" s="9" cm="1">
        <f t="array" ref="B1652">SUMPRODUCT((Tablo3[Personel Ad]=A1652)*(Tablo3[Ürün Kar Tutarı]))</f>
        <v>0</v>
      </c>
      <c r="D1652" s="14"/>
      <c r="F1652" s="9" cm="1">
        <f t="array" ref="F1652">SUMPRODUCT((Tablo3[Şehirler]=E1652)*(Tablo3[Ürün Kar Tutarı]))</f>
        <v>0</v>
      </c>
      <c r="H1652" s="14"/>
      <c r="J1652" s="9" cm="1">
        <f t="array" ref="J1652">SUMPRODUCT((Tablo3[Urun Ad]=I1652)*(Tablo3[Ürün Kar Tutarı]))</f>
        <v>0</v>
      </c>
      <c r="L1652" s="37"/>
    </row>
    <row r="1653" spans="1:12" x14ac:dyDescent="0.25">
      <c r="A1653" s="13"/>
      <c r="B1653" s="9" cm="1">
        <f t="array" ref="B1653">SUMPRODUCT((Tablo3[Personel Ad]=A1653)*(Tablo3[Ürün Kar Tutarı]))</f>
        <v>0</v>
      </c>
      <c r="D1653" s="14"/>
      <c r="F1653" s="9" cm="1">
        <f t="array" ref="F1653">SUMPRODUCT((Tablo3[Şehirler]=E1653)*(Tablo3[Ürün Kar Tutarı]))</f>
        <v>0</v>
      </c>
      <c r="H1653" s="14"/>
      <c r="J1653" s="9" cm="1">
        <f t="array" ref="J1653">SUMPRODUCT((Tablo3[Urun Ad]=I1653)*(Tablo3[Ürün Kar Tutarı]))</f>
        <v>0</v>
      </c>
      <c r="L1653" s="37"/>
    </row>
    <row r="1654" spans="1:12" x14ac:dyDescent="0.25">
      <c r="A1654" s="13"/>
      <c r="B1654" s="9" cm="1">
        <f t="array" ref="B1654">SUMPRODUCT((Tablo3[Personel Ad]=A1654)*(Tablo3[Ürün Kar Tutarı]))</f>
        <v>0</v>
      </c>
      <c r="D1654" s="14"/>
      <c r="F1654" s="9" cm="1">
        <f t="array" ref="F1654">SUMPRODUCT((Tablo3[Şehirler]=E1654)*(Tablo3[Ürün Kar Tutarı]))</f>
        <v>0</v>
      </c>
      <c r="H1654" s="14"/>
      <c r="J1654" s="9" cm="1">
        <f t="array" ref="J1654">SUMPRODUCT((Tablo3[Urun Ad]=I1654)*(Tablo3[Ürün Kar Tutarı]))</f>
        <v>0</v>
      </c>
      <c r="L1654" s="37"/>
    </row>
    <row r="1655" spans="1:12" x14ac:dyDescent="0.25">
      <c r="A1655" s="13"/>
      <c r="B1655" s="9" cm="1">
        <f t="array" ref="B1655">SUMPRODUCT((Tablo3[Personel Ad]=A1655)*(Tablo3[Ürün Kar Tutarı]))</f>
        <v>0</v>
      </c>
      <c r="D1655" s="14"/>
      <c r="F1655" s="9" cm="1">
        <f t="array" ref="F1655">SUMPRODUCT((Tablo3[Şehirler]=E1655)*(Tablo3[Ürün Kar Tutarı]))</f>
        <v>0</v>
      </c>
      <c r="H1655" s="14"/>
      <c r="J1655" s="9" cm="1">
        <f t="array" ref="J1655">SUMPRODUCT((Tablo3[Urun Ad]=I1655)*(Tablo3[Ürün Kar Tutarı]))</f>
        <v>0</v>
      </c>
      <c r="L1655" s="37"/>
    </row>
    <row r="1656" spans="1:12" x14ac:dyDescent="0.25">
      <c r="A1656" s="13"/>
      <c r="B1656" s="9" cm="1">
        <f t="array" ref="B1656">SUMPRODUCT((Tablo3[Personel Ad]=A1656)*(Tablo3[Ürün Kar Tutarı]))</f>
        <v>0</v>
      </c>
      <c r="D1656" s="14"/>
      <c r="F1656" s="9" cm="1">
        <f t="array" ref="F1656">SUMPRODUCT((Tablo3[Şehirler]=E1656)*(Tablo3[Ürün Kar Tutarı]))</f>
        <v>0</v>
      </c>
      <c r="H1656" s="14"/>
      <c r="J1656" s="9" cm="1">
        <f t="array" ref="J1656">SUMPRODUCT((Tablo3[Urun Ad]=I1656)*(Tablo3[Ürün Kar Tutarı]))</f>
        <v>0</v>
      </c>
      <c r="L1656" s="37"/>
    </row>
    <row r="1657" spans="1:12" x14ac:dyDescent="0.25">
      <c r="A1657" s="13"/>
      <c r="B1657" s="9" cm="1">
        <f t="array" ref="B1657">SUMPRODUCT((Tablo3[Personel Ad]=A1657)*(Tablo3[Ürün Kar Tutarı]))</f>
        <v>0</v>
      </c>
      <c r="D1657" s="14"/>
      <c r="F1657" s="9" cm="1">
        <f t="array" ref="F1657">SUMPRODUCT((Tablo3[Şehirler]=E1657)*(Tablo3[Ürün Kar Tutarı]))</f>
        <v>0</v>
      </c>
      <c r="H1657" s="14"/>
      <c r="J1657" s="9" cm="1">
        <f t="array" ref="J1657">SUMPRODUCT((Tablo3[Urun Ad]=I1657)*(Tablo3[Ürün Kar Tutarı]))</f>
        <v>0</v>
      </c>
      <c r="L1657" s="37"/>
    </row>
    <row r="1658" spans="1:12" x14ac:dyDescent="0.25">
      <c r="A1658" s="13"/>
      <c r="B1658" s="9" cm="1">
        <f t="array" ref="B1658">SUMPRODUCT((Tablo3[Personel Ad]=A1658)*(Tablo3[Ürün Kar Tutarı]))</f>
        <v>0</v>
      </c>
      <c r="D1658" s="14"/>
      <c r="F1658" s="9" cm="1">
        <f t="array" ref="F1658">SUMPRODUCT((Tablo3[Şehirler]=E1658)*(Tablo3[Ürün Kar Tutarı]))</f>
        <v>0</v>
      </c>
      <c r="H1658" s="14"/>
      <c r="J1658" s="9" cm="1">
        <f t="array" ref="J1658">SUMPRODUCT((Tablo3[Urun Ad]=I1658)*(Tablo3[Ürün Kar Tutarı]))</f>
        <v>0</v>
      </c>
      <c r="L1658" s="37"/>
    </row>
    <row r="1659" spans="1:12" x14ac:dyDescent="0.25">
      <c r="A1659" s="13"/>
      <c r="B1659" s="9" cm="1">
        <f t="array" ref="B1659">SUMPRODUCT((Tablo3[Personel Ad]=A1659)*(Tablo3[Ürün Kar Tutarı]))</f>
        <v>0</v>
      </c>
      <c r="D1659" s="14"/>
      <c r="F1659" s="9" cm="1">
        <f t="array" ref="F1659">SUMPRODUCT((Tablo3[Şehirler]=E1659)*(Tablo3[Ürün Kar Tutarı]))</f>
        <v>0</v>
      </c>
      <c r="H1659" s="14"/>
      <c r="J1659" s="9" cm="1">
        <f t="array" ref="J1659">SUMPRODUCT((Tablo3[Urun Ad]=I1659)*(Tablo3[Ürün Kar Tutarı]))</f>
        <v>0</v>
      </c>
      <c r="L1659" s="37"/>
    </row>
    <row r="1660" spans="1:12" x14ac:dyDescent="0.25">
      <c r="A1660" s="13"/>
      <c r="B1660" s="9" cm="1">
        <f t="array" ref="B1660">SUMPRODUCT((Tablo3[Personel Ad]=A1660)*(Tablo3[Ürün Kar Tutarı]))</f>
        <v>0</v>
      </c>
      <c r="D1660" s="14"/>
      <c r="F1660" s="9" cm="1">
        <f t="array" ref="F1660">SUMPRODUCT((Tablo3[Şehirler]=E1660)*(Tablo3[Ürün Kar Tutarı]))</f>
        <v>0</v>
      </c>
      <c r="H1660" s="14"/>
      <c r="J1660" s="9" cm="1">
        <f t="array" ref="J1660">SUMPRODUCT((Tablo3[Urun Ad]=I1660)*(Tablo3[Ürün Kar Tutarı]))</f>
        <v>0</v>
      </c>
      <c r="L1660" s="37"/>
    </row>
    <row r="1661" spans="1:12" x14ac:dyDescent="0.25">
      <c r="A1661" s="13"/>
      <c r="B1661" s="9" cm="1">
        <f t="array" ref="B1661">SUMPRODUCT((Tablo3[Personel Ad]=A1661)*(Tablo3[Ürün Kar Tutarı]))</f>
        <v>0</v>
      </c>
      <c r="D1661" s="14"/>
      <c r="F1661" s="9" cm="1">
        <f t="array" ref="F1661">SUMPRODUCT((Tablo3[Şehirler]=E1661)*(Tablo3[Ürün Kar Tutarı]))</f>
        <v>0</v>
      </c>
      <c r="H1661" s="14"/>
      <c r="J1661" s="9" cm="1">
        <f t="array" ref="J1661">SUMPRODUCT((Tablo3[Urun Ad]=I1661)*(Tablo3[Ürün Kar Tutarı]))</f>
        <v>0</v>
      </c>
      <c r="L1661" s="37"/>
    </row>
    <row r="1662" spans="1:12" x14ac:dyDescent="0.25">
      <c r="A1662" s="13"/>
      <c r="B1662" s="9" cm="1">
        <f t="array" ref="B1662">SUMPRODUCT((Tablo3[Personel Ad]=A1662)*(Tablo3[Ürün Kar Tutarı]))</f>
        <v>0</v>
      </c>
      <c r="D1662" s="14"/>
      <c r="F1662" s="9" cm="1">
        <f t="array" ref="F1662">SUMPRODUCT((Tablo3[Şehirler]=E1662)*(Tablo3[Ürün Kar Tutarı]))</f>
        <v>0</v>
      </c>
      <c r="H1662" s="14"/>
      <c r="J1662" s="9" cm="1">
        <f t="array" ref="J1662">SUMPRODUCT((Tablo3[Urun Ad]=I1662)*(Tablo3[Ürün Kar Tutarı]))</f>
        <v>0</v>
      </c>
      <c r="L1662" s="37"/>
    </row>
    <row r="1663" spans="1:12" x14ac:dyDescent="0.25">
      <c r="A1663" s="13"/>
      <c r="B1663" s="9" cm="1">
        <f t="array" ref="B1663">SUMPRODUCT((Tablo3[Personel Ad]=A1663)*(Tablo3[Ürün Kar Tutarı]))</f>
        <v>0</v>
      </c>
      <c r="D1663" s="14"/>
      <c r="F1663" s="9" cm="1">
        <f t="array" ref="F1663">SUMPRODUCT((Tablo3[Şehirler]=E1663)*(Tablo3[Ürün Kar Tutarı]))</f>
        <v>0</v>
      </c>
      <c r="H1663" s="14"/>
      <c r="J1663" s="9" cm="1">
        <f t="array" ref="J1663">SUMPRODUCT((Tablo3[Urun Ad]=I1663)*(Tablo3[Ürün Kar Tutarı]))</f>
        <v>0</v>
      </c>
      <c r="L1663" s="37"/>
    </row>
    <row r="1664" spans="1:12" x14ac:dyDescent="0.25">
      <c r="A1664" s="13"/>
      <c r="B1664" s="9" cm="1">
        <f t="array" ref="B1664">SUMPRODUCT((Tablo3[Personel Ad]=A1664)*(Tablo3[Ürün Kar Tutarı]))</f>
        <v>0</v>
      </c>
      <c r="D1664" s="14"/>
      <c r="F1664" s="9" cm="1">
        <f t="array" ref="F1664">SUMPRODUCT((Tablo3[Şehirler]=E1664)*(Tablo3[Ürün Kar Tutarı]))</f>
        <v>0</v>
      </c>
      <c r="H1664" s="14"/>
      <c r="J1664" s="9" cm="1">
        <f t="array" ref="J1664">SUMPRODUCT((Tablo3[Urun Ad]=I1664)*(Tablo3[Ürün Kar Tutarı]))</f>
        <v>0</v>
      </c>
      <c r="L1664" s="37"/>
    </row>
    <row r="1665" spans="1:12" x14ac:dyDescent="0.25">
      <c r="A1665" s="13"/>
      <c r="B1665" s="9" cm="1">
        <f t="array" ref="B1665">SUMPRODUCT((Tablo3[Personel Ad]=A1665)*(Tablo3[Ürün Kar Tutarı]))</f>
        <v>0</v>
      </c>
      <c r="D1665" s="14"/>
      <c r="F1665" s="9" cm="1">
        <f t="array" ref="F1665">SUMPRODUCT((Tablo3[Şehirler]=E1665)*(Tablo3[Ürün Kar Tutarı]))</f>
        <v>0</v>
      </c>
      <c r="H1665" s="14"/>
      <c r="J1665" s="9" cm="1">
        <f t="array" ref="J1665">SUMPRODUCT((Tablo3[Urun Ad]=I1665)*(Tablo3[Ürün Kar Tutarı]))</f>
        <v>0</v>
      </c>
      <c r="L1665" s="37"/>
    </row>
    <row r="1666" spans="1:12" x14ac:dyDescent="0.25">
      <c r="A1666" s="13"/>
      <c r="B1666" s="9" cm="1">
        <f t="array" ref="B1666">SUMPRODUCT((Tablo3[Personel Ad]=A1666)*(Tablo3[Ürün Kar Tutarı]))</f>
        <v>0</v>
      </c>
      <c r="D1666" s="14"/>
      <c r="F1666" s="9" cm="1">
        <f t="array" ref="F1666">SUMPRODUCT((Tablo3[Şehirler]=E1666)*(Tablo3[Ürün Kar Tutarı]))</f>
        <v>0</v>
      </c>
      <c r="H1666" s="14"/>
      <c r="J1666" s="9" cm="1">
        <f t="array" ref="J1666">SUMPRODUCT((Tablo3[Urun Ad]=I1666)*(Tablo3[Ürün Kar Tutarı]))</f>
        <v>0</v>
      </c>
      <c r="L1666" s="37"/>
    </row>
    <row r="1667" spans="1:12" x14ac:dyDescent="0.25">
      <c r="A1667" s="13"/>
      <c r="B1667" s="9" cm="1">
        <f t="array" ref="B1667">SUMPRODUCT((Tablo3[Personel Ad]=A1667)*(Tablo3[Ürün Kar Tutarı]))</f>
        <v>0</v>
      </c>
      <c r="D1667" s="14"/>
      <c r="F1667" s="9" cm="1">
        <f t="array" ref="F1667">SUMPRODUCT((Tablo3[Şehirler]=E1667)*(Tablo3[Ürün Kar Tutarı]))</f>
        <v>0</v>
      </c>
      <c r="H1667" s="14"/>
      <c r="J1667" s="9" cm="1">
        <f t="array" ref="J1667">SUMPRODUCT((Tablo3[Urun Ad]=I1667)*(Tablo3[Ürün Kar Tutarı]))</f>
        <v>0</v>
      </c>
      <c r="L1667" s="37"/>
    </row>
    <row r="1668" spans="1:12" x14ac:dyDescent="0.25">
      <c r="A1668" s="13"/>
      <c r="B1668" s="9" cm="1">
        <f t="array" ref="B1668">SUMPRODUCT((Tablo3[Personel Ad]=A1668)*(Tablo3[Ürün Kar Tutarı]))</f>
        <v>0</v>
      </c>
      <c r="D1668" s="14"/>
      <c r="F1668" s="9" cm="1">
        <f t="array" ref="F1668">SUMPRODUCT((Tablo3[Şehirler]=E1668)*(Tablo3[Ürün Kar Tutarı]))</f>
        <v>0</v>
      </c>
      <c r="H1668" s="14"/>
      <c r="J1668" s="9" cm="1">
        <f t="array" ref="J1668">SUMPRODUCT((Tablo3[Urun Ad]=I1668)*(Tablo3[Ürün Kar Tutarı]))</f>
        <v>0</v>
      </c>
      <c r="L1668" s="37"/>
    </row>
    <row r="1669" spans="1:12" x14ac:dyDescent="0.25">
      <c r="A1669" s="13"/>
      <c r="B1669" s="9" cm="1">
        <f t="array" ref="B1669">SUMPRODUCT((Tablo3[Personel Ad]=A1669)*(Tablo3[Ürün Kar Tutarı]))</f>
        <v>0</v>
      </c>
      <c r="D1669" s="14"/>
      <c r="F1669" s="9" cm="1">
        <f t="array" ref="F1669">SUMPRODUCT((Tablo3[Şehirler]=E1669)*(Tablo3[Ürün Kar Tutarı]))</f>
        <v>0</v>
      </c>
      <c r="H1669" s="14"/>
      <c r="J1669" s="9" cm="1">
        <f t="array" ref="J1669">SUMPRODUCT((Tablo3[Urun Ad]=I1669)*(Tablo3[Ürün Kar Tutarı]))</f>
        <v>0</v>
      </c>
      <c r="L1669" s="37"/>
    </row>
    <row r="1670" spans="1:12" x14ac:dyDescent="0.25">
      <c r="A1670" s="13"/>
      <c r="B1670" s="9" cm="1">
        <f t="array" ref="B1670">SUMPRODUCT((Tablo3[Personel Ad]=A1670)*(Tablo3[Ürün Kar Tutarı]))</f>
        <v>0</v>
      </c>
      <c r="D1670" s="14"/>
      <c r="F1670" s="9" cm="1">
        <f t="array" ref="F1670">SUMPRODUCT((Tablo3[Şehirler]=E1670)*(Tablo3[Ürün Kar Tutarı]))</f>
        <v>0</v>
      </c>
      <c r="H1670" s="14"/>
      <c r="J1670" s="9" cm="1">
        <f t="array" ref="J1670">SUMPRODUCT((Tablo3[Urun Ad]=I1670)*(Tablo3[Ürün Kar Tutarı]))</f>
        <v>0</v>
      </c>
      <c r="L1670" s="37"/>
    </row>
    <row r="1671" spans="1:12" x14ac:dyDescent="0.25">
      <c r="A1671" s="13"/>
      <c r="B1671" s="9" cm="1">
        <f t="array" ref="B1671">SUMPRODUCT((Tablo3[Personel Ad]=A1671)*(Tablo3[Ürün Kar Tutarı]))</f>
        <v>0</v>
      </c>
      <c r="D1671" s="14"/>
      <c r="F1671" s="9" cm="1">
        <f t="array" ref="F1671">SUMPRODUCT((Tablo3[Şehirler]=E1671)*(Tablo3[Ürün Kar Tutarı]))</f>
        <v>0</v>
      </c>
      <c r="H1671" s="14"/>
      <c r="J1671" s="9" cm="1">
        <f t="array" ref="J1671">SUMPRODUCT((Tablo3[Urun Ad]=I1671)*(Tablo3[Ürün Kar Tutarı]))</f>
        <v>0</v>
      </c>
      <c r="L1671" s="37"/>
    </row>
    <row r="1672" spans="1:12" x14ac:dyDescent="0.25">
      <c r="A1672" s="13"/>
      <c r="B1672" s="9" cm="1">
        <f t="array" ref="B1672">SUMPRODUCT((Tablo3[Personel Ad]=A1672)*(Tablo3[Ürün Kar Tutarı]))</f>
        <v>0</v>
      </c>
      <c r="D1672" s="14"/>
      <c r="F1672" s="9" cm="1">
        <f t="array" ref="F1672">SUMPRODUCT((Tablo3[Şehirler]=E1672)*(Tablo3[Ürün Kar Tutarı]))</f>
        <v>0</v>
      </c>
      <c r="H1672" s="14"/>
      <c r="J1672" s="9" cm="1">
        <f t="array" ref="J1672">SUMPRODUCT((Tablo3[Urun Ad]=I1672)*(Tablo3[Ürün Kar Tutarı]))</f>
        <v>0</v>
      </c>
      <c r="L1672" s="37"/>
    </row>
    <row r="1673" spans="1:12" x14ac:dyDescent="0.25">
      <c r="A1673" s="13"/>
      <c r="B1673" s="9" cm="1">
        <f t="array" ref="B1673">SUMPRODUCT((Tablo3[Personel Ad]=A1673)*(Tablo3[Ürün Kar Tutarı]))</f>
        <v>0</v>
      </c>
      <c r="D1673" s="14"/>
      <c r="F1673" s="9" cm="1">
        <f t="array" ref="F1673">SUMPRODUCT((Tablo3[Şehirler]=E1673)*(Tablo3[Ürün Kar Tutarı]))</f>
        <v>0</v>
      </c>
      <c r="H1673" s="14"/>
      <c r="J1673" s="9" cm="1">
        <f t="array" ref="J1673">SUMPRODUCT((Tablo3[Urun Ad]=I1673)*(Tablo3[Ürün Kar Tutarı]))</f>
        <v>0</v>
      </c>
      <c r="L1673" s="37"/>
    </row>
    <row r="1674" spans="1:12" x14ac:dyDescent="0.25">
      <c r="A1674" s="13"/>
      <c r="B1674" s="9" cm="1">
        <f t="array" ref="B1674">SUMPRODUCT((Tablo3[Personel Ad]=A1674)*(Tablo3[Ürün Kar Tutarı]))</f>
        <v>0</v>
      </c>
      <c r="D1674" s="14"/>
      <c r="F1674" s="9" cm="1">
        <f t="array" ref="F1674">SUMPRODUCT((Tablo3[Şehirler]=E1674)*(Tablo3[Ürün Kar Tutarı]))</f>
        <v>0</v>
      </c>
      <c r="H1674" s="14"/>
      <c r="J1674" s="9" cm="1">
        <f t="array" ref="J1674">SUMPRODUCT((Tablo3[Urun Ad]=I1674)*(Tablo3[Ürün Kar Tutarı]))</f>
        <v>0</v>
      </c>
      <c r="L1674" s="37"/>
    </row>
    <row r="1675" spans="1:12" x14ac:dyDescent="0.25">
      <c r="A1675" s="13"/>
      <c r="B1675" s="9" cm="1">
        <f t="array" ref="B1675">SUMPRODUCT((Tablo3[Personel Ad]=A1675)*(Tablo3[Ürün Kar Tutarı]))</f>
        <v>0</v>
      </c>
      <c r="D1675" s="14"/>
      <c r="F1675" s="9" cm="1">
        <f t="array" ref="F1675">SUMPRODUCT((Tablo3[Şehirler]=E1675)*(Tablo3[Ürün Kar Tutarı]))</f>
        <v>0</v>
      </c>
      <c r="H1675" s="14"/>
      <c r="J1675" s="9" cm="1">
        <f t="array" ref="J1675">SUMPRODUCT((Tablo3[Urun Ad]=I1675)*(Tablo3[Ürün Kar Tutarı]))</f>
        <v>0</v>
      </c>
      <c r="L1675" s="37"/>
    </row>
    <row r="1676" spans="1:12" x14ac:dyDescent="0.25">
      <c r="A1676" s="13"/>
      <c r="B1676" s="9" cm="1">
        <f t="array" ref="B1676">SUMPRODUCT((Tablo3[Personel Ad]=A1676)*(Tablo3[Ürün Kar Tutarı]))</f>
        <v>0</v>
      </c>
      <c r="D1676" s="14"/>
      <c r="F1676" s="9" cm="1">
        <f t="array" ref="F1676">SUMPRODUCT((Tablo3[Şehirler]=E1676)*(Tablo3[Ürün Kar Tutarı]))</f>
        <v>0</v>
      </c>
      <c r="H1676" s="14"/>
      <c r="J1676" s="9" cm="1">
        <f t="array" ref="J1676">SUMPRODUCT((Tablo3[Urun Ad]=I1676)*(Tablo3[Ürün Kar Tutarı]))</f>
        <v>0</v>
      </c>
      <c r="L1676" s="37"/>
    </row>
    <row r="1677" spans="1:12" x14ac:dyDescent="0.25">
      <c r="A1677" s="13"/>
      <c r="B1677" s="9" cm="1">
        <f t="array" ref="B1677">SUMPRODUCT((Tablo3[Personel Ad]=A1677)*(Tablo3[Ürün Kar Tutarı]))</f>
        <v>0</v>
      </c>
      <c r="D1677" s="14"/>
      <c r="F1677" s="9" cm="1">
        <f t="array" ref="F1677">SUMPRODUCT((Tablo3[Şehirler]=E1677)*(Tablo3[Ürün Kar Tutarı]))</f>
        <v>0</v>
      </c>
      <c r="H1677" s="14"/>
      <c r="J1677" s="9" cm="1">
        <f t="array" ref="J1677">SUMPRODUCT((Tablo3[Urun Ad]=I1677)*(Tablo3[Ürün Kar Tutarı]))</f>
        <v>0</v>
      </c>
      <c r="L1677" s="37"/>
    </row>
    <row r="1678" spans="1:12" x14ac:dyDescent="0.25">
      <c r="A1678" s="13"/>
      <c r="B1678" s="9" cm="1">
        <f t="array" ref="B1678">SUMPRODUCT((Tablo3[Personel Ad]=A1678)*(Tablo3[Ürün Kar Tutarı]))</f>
        <v>0</v>
      </c>
      <c r="D1678" s="14"/>
      <c r="F1678" s="9" cm="1">
        <f t="array" ref="F1678">SUMPRODUCT((Tablo3[Şehirler]=E1678)*(Tablo3[Ürün Kar Tutarı]))</f>
        <v>0</v>
      </c>
      <c r="H1678" s="14"/>
      <c r="J1678" s="9" cm="1">
        <f t="array" ref="J1678">SUMPRODUCT((Tablo3[Urun Ad]=I1678)*(Tablo3[Ürün Kar Tutarı]))</f>
        <v>0</v>
      </c>
      <c r="L1678" s="37"/>
    </row>
    <row r="1679" spans="1:12" x14ac:dyDescent="0.25">
      <c r="A1679" s="13"/>
      <c r="B1679" s="9" cm="1">
        <f t="array" ref="B1679">SUMPRODUCT((Tablo3[Personel Ad]=A1679)*(Tablo3[Ürün Kar Tutarı]))</f>
        <v>0</v>
      </c>
      <c r="D1679" s="14"/>
      <c r="F1679" s="9" cm="1">
        <f t="array" ref="F1679">SUMPRODUCT((Tablo3[Şehirler]=E1679)*(Tablo3[Ürün Kar Tutarı]))</f>
        <v>0</v>
      </c>
      <c r="H1679" s="14"/>
      <c r="J1679" s="9" cm="1">
        <f t="array" ref="J1679">SUMPRODUCT((Tablo3[Urun Ad]=I1679)*(Tablo3[Ürün Kar Tutarı]))</f>
        <v>0</v>
      </c>
      <c r="L1679" s="37"/>
    </row>
    <row r="1680" spans="1:12" x14ac:dyDescent="0.25">
      <c r="A1680" s="13"/>
      <c r="B1680" s="9" cm="1">
        <f t="array" ref="B1680">SUMPRODUCT((Tablo3[Personel Ad]=A1680)*(Tablo3[Ürün Kar Tutarı]))</f>
        <v>0</v>
      </c>
      <c r="D1680" s="14"/>
      <c r="F1680" s="9" cm="1">
        <f t="array" ref="F1680">SUMPRODUCT((Tablo3[Şehirler]=E1680)*(Tablo3[Ürün Kar Tutarı]))</f>
        <v>0</v>
      </c>
      <c r="H1680" s="14"/>
      <c r="J1680" s="9" cm="1">
        <f t="array" ref="J1680">SUMPRODUCT((Tablo3[Urun Ad]=I1680)*(Tablo3[Ürün Kar Tutarı]))</f>
        <v>0</v>
      </c>
      <c r="L1680" s="37"/>
    </row>
    <row r="1681" spans="1:12" x14ac:dyDescent="0.25">
      <c r="A1681" s="13"/>
      <c r="B1681" s="9" cm="1">
        <f t="array" ref="B1681">SUMPRODUCT((Tablo3[Personel Ad]=A1681)*(Tablo3[Ürün Kar Tutarı]))</f>
        <v>0</v>
      </c>
      <c r="D1681" s="14"/>
      <c r="F1681" s="9" cm="1">
        <f t="array" ref="F1681">SUMPRODUCT((Tablo3[Şehirler]=E1681)*(Tablo3[Ürün Kar Tutarı]))</f>
        <v>0</v>
      </c>
      <c r="H1681" s="14"/>
      <c r="J1681" s="9" cm="1">
        <f t="array" ref="J1681">SUMPRODUCT((Tablo3[Urun Ad]=I1681)*(Tablo3[Ürün Kar Tutarı]))</f>
        <v>0</v>
      </c>
      <c r="L1681" s="37"/>
    </row>
    <row r="1682" spans="1:12" x14ac:dyDescent="0.25">
      <c r="A1682" s="13"/>
      <c r="B1682" s="9" cm="1">
        <f t="array" ref="B1682">SUMPRODUCT((Tablo3[Personel Ad]=A1682)*(Tablo3[Ürün Kar Tutarı]))</f>
        <v>0</v>
      </c>
      <c r="D1682" s="14"/>
      <c r="F1682" s="9" cm="1">
        <f t="array" ref="F1682">SUMPRODUCT((Tablo3[Şehirler]=E1682)*(Tablo3[Ürün Kar Tutarı]))</f>
        <v>0</v>
      </c>
      <c r="H1682" s="14"/>
      <c r="J1682" s="9" cm="1">
        <f t="array" ref="J1682">SUMPRODUCT((Tablo3[Urun Ad]=I1682)*(Tablo3[Ürün Kar Tutarı]))</f>
        <v>0</v>
      </c>
      <c r="L1682" s="37"/>
    </row>
    <row r="1683" spans="1:12" x14ac:dyDescent="0.25">
      <c r="A1683" s="13"/>
      <c r="B1683" s="9" cm="1">
        <f t="array" ref="B1683">SUMPRODUCT((Tablo3[Personel Ad]=A1683)*(Tablo3[Ürün Kar Tutarı]))</f>
        <v>0</v>
      </c>
      <c r="D1683" s="14"/>
      <c r="F1683" s="9" cm="1">
        <f t="array" ref="F1683">SUMPRODUCT((Tablo3[Şehirler]=E1683)*(Tablo3[Ürün Kar Tutarı]))</f>
        <v>0</v>
      </c>
      <c r="H1683" s="14"/>
      <c r="J1683" s="9" cm="1">
        <f t="array" ref="J1683">SUMPRODUCT((Tablo3[Urun Ad]=I1683)*(Tablo3[Ürün Kar Tutarı]))</f>
        <v>0</v>
      </c>
      <c r="L1683" s="37"/>
    </row>
    <row r="1684" spans="1:12" x14ac:dyDescent="0.25">
      <c r="A1684" s="13"/>
      <c r="B1684" s="9" cm="1">
        <f t="array" ref="B1684">SUMPRODUCT((Tablo3[Personel Ad]=A1684)*(Tablo3[Ürün Kar Tutarı]))</f>
        <v>0</v>
      </c>
      <c r="D1684" s="14"/>
      <c r="F1684" s="9" cm="1">
        <f t="array" ref="F1684">SUMPRODUCT((Tablo3[Şehirler]=E1684)*(Tablo3[Ürün Kar Tutarı]))</f>
        <v>0</v>
      </c>
      <c r="H1684" s="14"/>
      <c r="J1684" s="9" cm="1">
        <f t="array" ref="J1684">SUMPRODUCT((Tablo3[Urun Ad]=I1684)*(Tablo3[Ürün Kar Tutarı]))</f>
        <v>0</v>
      </c>
      <c r="L1684" s="37"/>
    </row>
    <row r="1685" spans="1:12" x14ac:dyDescent="0.25">
      <c r="A1685" s="13"/>
      <c r="B1685" s="9" cm="1">
        <f t="array" ref="B1685">SUMPRODUCT((Tablo3[Personel Ad]=A1685)*(Tablo3[Ürün Kar Tutarı]))</f>
        <v>0</v>
      </c>
      <c r="D1685" s="14"/>
      <c r="F1685" s="9" cm="1">
        <f t="array" ref="F1685">SUMPRODUCT((Tablo3[Şehirler]=E1685)*(Tablo3[Ürün Kar Tutarı]))</f>
        <v>0</v>
      </c>
      <c r="H1685" s="14"/>
      <c r="J1685" s="9" cm="1">
        <f t="array" ref="J1685">SUMPRODUCT((Tablo3[Urun Ad]=I1685)*(Tablo3[Ürün Kar Tutarı]))</f>
        <v>0</v>
      </c>
      <c r="L1685" s="37"/>
    </row>
    <row r="1686" spans="1:12" x14ac:dyDescent="0.25">
      <c r="A1686" s="13"/>
      <c r="B1686" s="9" cm="1">
        <f t="array" ref="B1686">SUMPRODUCT((Tablo3[Personel Ad]=A1686)*(Tablo3[Ürün Kar Tutarı]))</f>
        <v>0</v>
      </c>
      <c r="D1686" s="14"/>
      <c r="F1686" s="9" cm="1">
        <f t="array" ref="F1686">SUMPRODUCT((Tablo3[Şehirler]=E1686)*(Tablo3[Ürün Kar Tutarı]))</f>
        <v>0</v>
      </c>
      <c r="H1686" s="14"/>
      <c r="J1686" s="9" cm="1">
        <f t="array" ref="J1686">SUMPRODUCT((Tablo3[Urun Ad]=I1686)*(Tablo3[Ürün Kar Tutarı]))</f>
        <v>0</v>
      </c>
      <c r="L1686" s="37"/>
    </row>
    <row r="1687" spans="1:12" x14ac:dyDescent="0.25">
      <c r="A1687" s="13"/>
      <c r="B1687" s="9" cm="1">
        <f t="array" ref="B1687">SUMPRODUCT((Tablo3[Personel Ad]=A1687)*(Tablo3[Ürün Kar Tutarı]))</f>
        <v>0</v>
      </c>
      <c r="D1687" s="14"/>
      <c r="F1687" s="9" cm="1">
        <f t="array" ref="F1687">SUMPRODUCT((Tablo3[Şehirler]=E1687)*(Tablo3[Ürün Kar Tutarı]))</f>
        <v>0</v>
      </c>
      <c r="H1687" s="14"/>
      <c r="J1687" s="9" cm="1">
        <f t="array" ref="J1687">SUMPRODUCT((Tablo3[Urun Ad]=I1687)*(Tablo3[Ürün Kar Tutarı]))</f>
        <v>0</v>
      </c>
      <c r="L1687" s="37"/>
    </row>
    <row r="1688" spans="1:12" x14ac:dyDescent="0.25">
      <c r="A1688" s="13"/>
      <c r="B1688" s="9" cm="1">
        <f t="array" ref="B1688">SUMPRODUCT((Tablo3[Personel Ad]=A1688)*(Tablo3[Ürün Kar Tutarı]))</f>
        <v>0</v>
      </c>
      <c r="D1688" s="14"/>
      <c r="F1688" s="9" cm="1">
        <f t="array" ref="F1688">SUMPRODUCT((Tablo3[Şehirler]=E1688)*(Tablo3[Ürün Kar Tutarı]))</f>
        <v>0</v>
      </c>
      <c r="H1688" s="14"/>
      <c r="J1688" s="9" cm="1">
        <f t="array" ref="J1688">SUMPRODUCT((Tablo3[Urun Ad]=I1688)*(Tablo3[Ürün Kar Tutarı]))</f>
        <v>0</v>
      </c>
      <c r="L1688" s="37"/>
    </row>
    <row r="1689" spans="1:12" x14ac:dyDescent="0.25">
      <c r="A1689" s="13"/>
      <c r="B1689" s="9" cm="1">
        <f t="array" ref="B1689">SUMPRODUCT((Tablo3[Personel Ad]=A1689)*(Tablo3[Ürün Kar Tutarı]))</f>
        <v>0</v>
      </c>
      <c r="D1689" s="14"/>
      <c r="F1689" s="9" cm="1">
        <f t="array" ref="F1689">SUMPRODUCT((Tablo3[Şehirler]=E1689)*(Tablo3[Ürün Kar Tutarı]))</f>
        <v>0</v>
      </c>
      <c r="H1689" s="14"/>
      <c r="J1689" s="9" cm="1">
        <f t="array" ref="J1689">SUMPRODUCT((Tablo3[Urun Ad]=I1689)*(Tablo3[Ürün Kar Tutarı]))</f>
        <v>0</v>
      </c>
      <c r="L1689" s="37"/>
    </row>
    <row r="1690" spans="1:12" x14ac:dyDescent="0.25">
      <c r="A1690" s="13"/>
      <c r="B1690" s="9" cm="1">
        <f t="array" ref="B1690">SUMPRODUCT((Tablo3[Personel Ad]=A1690)*(Tablo3[Ürün Kar Tutarı]))</f>
        <v>0</v>
      </c>
      <c r="D1690" s="14"/>
      <c r="F1690" s="9" cm="1">
        <f t="array" ref="F1690">SUMPRODUCT((Tablo3[Şehirler]=E1690)*(Tablo3[Ürün Kar Tutarı]))</f>
        <v>0</v>
      </c>
      <c r="H1690" s="14"/>
      <c r="J1690" s="9" cm="1">
        <f t="array" ref="J1690">SUMPRODUCT((Tablo3[Urun Ad]=I1690)*(Tablo3[Ürün Kar Tutarı]))</f>
        <v>0</v>
      </c>
      <c r="L1690" s="37"/>
    </row>
    <row r="1691" spans="1:12" x14ac:dyDescent="0.25">
      <c r="A1691" s="13"/>
      <c r="B1691" s="9" cm="1">
        <f t="array" ref="B1691">SUMPRODUCT((Tablo3[Personel Ad]=A1691)*(Tablo3[Ürün Kar Tutarı]))</f>
        <v>0</v>
      </c>
      <c r="D1691" s="14"/>
      <c r="F1691" s="9" cm="1">
        <f t="array" ref="F1691">SUMPRODUCT((Tablo3[Şehirler]=E1691)*(Tablo3[Ürün Kar Tutarı]))</f>
        <v>0</v>
      </c>
      <c r="H1691" s="14"/>
      <c r="J1691" s="9" cm="1">
        <f t="array" ref="J1691">SUMPRODUCT((Tablo3[Urun Ad]=I1691)*(Tablo3[Ürün Kar Tutarı]))</f>
        <v>0</v>
      </c>
      <c r="L1691" s="37"/>
    </row>
    <row r="1692" spans="1:12" x14ac:dyDescent="0.25">
      <c r="A1692" s="13"/>
      <c r="B1692" s="9" cm="1">
        <f t="array" ref="B1692">SUMPRODUCT((Tablo3[Personel Ad]=A1692)*(Tablo3[Ürün Kar Tutarı]))</f>
        <v>0</v>
      </c>
      <c r="D1692" s="14"/>
      <c r="F1692" s="9" cm="1">
        <f t="array" ref="F1692">SUMPRODUCT((Tablo3[Şehirler]=E1692)*(Tablo3[Ürün Kar Tutarı]))</f>
        <v>0</v>
      </c>
      <c r="H1692" s="14"/>
      <c r="J1692" s="9" cm="1">
        <f t="array" ref="J1692">SUMPRODUCT((Tablo3[Urun Ad]=I1692)*(Tablo3[Ürün Kar Tutarı]))</f>
        <v>0</v>
      </c>
      <c r="L1692" s="37"/>
    </row>
    <row r="1693" spans="1:12" x14ac:dyDescent="0.25">
      <c r="A1693" s="13"/>
      <c r="B1693" s="9" cm="1">
        <f t="array" ref="B1693">SUMPRODUCT((Tablo3[Personel Ad]=A1693)*(Tablo3[Ürün Kar Tutarı]))</f>
        <v>0</v>
      </c>
      <c r="D1693" s="14"/>
      <c r="F1693" s="9" cm="1">
        <f t="array" ref="F1693">SUMPRODUCT((Tablo3[Şehirler]=E1693)*(Tablo3[Ürün Kar Tutarı]))</f>
        <v>0</v>
      </c>
      <c r="H1693" s="14"/>
      <c r="J1693" s="9" cm="1">
        <f t="array" ref="J1693">SUMPRODUCT((Tablo3[Urun Ad]=I1693)*(Tablo3[Ürün Kar Tutarı]))</f>
        <v>0</v>
      </c>
      <c r="L1693" s="37"/>
    </row>
    <row r="1694" spans="1:12" x14ac:dyDescent="0.25">
      <c r="A1694" s="13"/>
      <c r="B1694" s="9" cm="1">
        <f t="array" ref="B1694">SUMPRODUCT((Tablo3[Personel Ad]=A1694)*(Tablo3[Ürün Kar Tutarı]))</f>
        <v>0</v>
      </c>
      <c r="D1694" s="14"/>
      <c r="F1694" s="9" cm="1">
        <f t="array" ref="F1694">SUMPRODUCT((Tablo3[Şehirler]=E1694)*(Tablo3[Ürün Kar Tutarı]))</f>
        <v>0</v>
      </c>
      <c r="H1694" s="14"/>
      <c r="J1694" s="9" cm="1">
        <f t="array" ref="J1694">SUMPRODUCT((Tablo3[Urun Ad]=I1694)*(Tablo3[Ürün Kar Tutarı]))</f>
        <v>0</v>
      </c>
      <c r="L1694" s="37"/>
    </row>
    <row r="1695" spans="1:12" x14ac:dyDescent="0.25">
      <c r="A1695" s="13"/>
      <c r="B1695" s="9" cm="1">
        <f t="array" ref="B1695">SUMPRODUCT((Tablo3[Personel Ad]=A1695)*(Tablo3[Ürün Kar Tutarı]))</f>
        <v>0</v>
      </c>
      <c r="D1695" s="14"/>
      <c r="F1695" s="9" cm="1">
        <f t="array" ref="F1695">SUMPRODUCT((Tablo3[Şehirler]=E1695)*(Tablo3[Ürün Kar Tutarı]))</f>
        <v>0</v>
      </c>
      <c r="H1695" s="14"/>
      <c r="J1695" s="9" cm="1">
        <f t="array" ref="J1695">SUMPRODUCT((Tablo3[Urun Ad]=I1695)*(Tablo3[Ürün Kar Tutarı]))</f>
        <v>0</v>
      </c>
      <c r="L1695" s="37"/>
    </row>
    <row r="1696" spans="1:12" x14ac:dyDescent="0.25">
      <c r="A1696" s="13"/>
      <c r="B1696" s="9" cm="1">
        <f t="array" ref="B1696">SUMPRODUCT((Tablo3[Personel Ad]=A1696)*(Tablo3[Ürün Kar Tutarı]))</f>
        <v>0</v>
      </c>
      <c r="D1696" s="14"/>
      <c r="F1696" s="9" cm="1">
        <f t="array" ref="F1696">SUMPRODUCT((Tablo3[Şehirler]=E1696)*(Tablo3[Ürün Kar Tutarı]))</f>
        <v>0</v>
      </c>
      <c r="H1696" s="14"/>
      <c r="J1696" s="9" cm="1">
        <f t="array" ref="J1696">SUMPRODUCT((Tablo3[Urun Ad]=I1696)*(Tablo3[Ürün Kar Tutarı]))</f>
        <v>0</v>
      </c>
      <c r="L1696" s="37"/>
    </row>
    <row r="1697" spans="1:12" x14ac:dyDescent="0.25">
      <c r="A1697" s="13"/>
      <c r="B1697" s="9" cm="1">
        <f t="array" ref="B1697">SUMPRODUCT((Tablo3[Personel Ad]=A1697)*(Tablo3[Ürün Kar Tutarı]))</f>
        <v>0</v>
      </c>
      <c r="D1697" s="14"/>
      <c r="F1697" s="9" cm="1">
        <f t="array" ref="F1697">SUMPRODUCT((Tablo3[Şehirler]=E1697)*(Tablo3[Ürün Kar Tutarı]))</f>
        <v>0</v>
      </c>
      <c r="H1697" s="14"/>
      <c r="J1697" s="9" cm="1">
        <f t="array" ref="J1697">SUMPRODUCT((Tablo3[Urun Ad]=I1697)*(Tablo3[Ürün Kar Tutarı]))</f>
        <v>0</v>
      </c>
      <c r="L1697" s="37"/>
    </row>
    <row r="1698" spans="1:12" x14ac:dyDescent="0.25">
      <c r="A1698" s="13"/>
      <c r="B1698" s="9" cm="1">
        <f t="array" ref="B1698">SUMPRODUCT((Tablo3[Personel Ad]=A1698)*(Tablo3[Ürün Kar Tutarı]))</f>
        <v>0</v>
      </c>
      <c r="D1698" s="14"/>
      <c r="F1698" s="9" cm="1">
        <f t="array" ref="F1698">SUMPRODUCT((Tablo3[Şehirler]=E1698)*(Tablo3[Ürün Kar Tutarı]))</f>
        <v>0</v>
      </c>
      <c r="H1698" s="14"/>
      <c r="J1698" s="9" cm="1">
        <f t="array" ref="J1698">SUMPRODUCT((Tablo3[Urun Ad]=I1698)*(Tablo3[Ürün Kar Tutarı]))</f>
        <v>0</v>
      </c>
      <c r="L1698" s="37"/>
    </row>
    <row r="1699" spans="1:12" x14ac:dyDescent="0.25">
      <c r="A1699" s="13"/>
      <c r="B1699" s="9" cm="1">
        <f t="array" ref="B1699">SUMPRODUCT((Tablo3[Personel Ad]=A1699)*(Tablo3[Ürün Kar Tutarı]))</f>
        <v>0</v>
      </c>
      <c r="D1699" s="14"/>
      <c r="F1699" s="9" cm="1">
        <f t="array" ref="F1699">SUMPRODUCT((Tablo3[Şehirler]=E1699)*(Tablo3[Ürün Kar Tutarı]))</f>
        <v>0</v>
      </c>
      <c r="H1699" s="14"/>
      <c r="J1699" s="9" cm="1">
        <f t="array" ref="J1699">SUMPRODUCT((Tablo3[Urun Ad]=I1699)*(Tablo3[Ürün Kar Tutarı]))</f>
        <v>0</v>
      </c>
      <c r="L1699" s="37"/>
    </row>
    <row r="1700" spans="1:12" x14ac:dyDescent="0.25">
      <c r="A1700" s="13"/>
      <c r="B1700" s="9" cm="1">
        <f t="array" ref="B1700">SUMPRODUCT((Tablo3[Personel Ad]=A1700)*(Tablo3[Ürün Kar Tutarı]))</f>
        <v>0</v>
      </c>
      <c r="D1700" s="14"/>
      <c r="F1700" s="9" cm="1">
        <f t="array" ref="F1700">SUMPRODUCT((Tablo3[Şehirler]=E1700)*(Tablo3[Ürün Kar Tutarı]))</f>
        <v>0</v>
      </c>
      <c r="H1700" s="14"/>
      <c r="J1700" s="9" cm="1">
        <f t="array" ref="J1700">SUMPRODUCT((Tablo3[Urun Ad]=I1700)*(Tablo3[Ürün Kar Tutarı]))</f>
        <v>0</v>
      </c>
      <c r="L1700" s="37"/>
    </row>
    <row r="1701" spans="1:12" x14ac:dyDescent="0.25">
      <c r="A1701" s="13"/>
      <c r="B1701" s="9" cm="1">
        <f t="array" ref="B1701">SUMPRODUCT((Tablo3[Personel Ad]=A1701)*(Tablo3[Ürün Kar Tutarı]))</f>
        <v>0</v>
      </c>
      <c r="D1701" s="14"/>
      <c r="F1701" s="9" cm="1">
        <f t="array" ref="F1701">SUMPRODUCT((Tablo3[Şehirler]=E1701)*(Tablo3[Ürün Kar Tutarı]))</f>
        <v>0</v>
      </c>
      <c r="H1701" s="14"/>
      <c r="J1701" s="9" cm="1">
        <f t="array" ref="J1701">SUMPRODUCT((Tablo3[Urun Ad]=I1701)*(Tablo3[Ürün Kar Tutarı]))</f>
        <v>0</v>
      </c>
      <c r="L1701" s="37"/>
    </row>
    <row r="1702" spans="1:12" x14ac:dyDescent="0.25">
      <c r="A1702" s="13"/>
      <c r="B1702" s="9" cm="1">
        <f t="array" ref="B1702">SUMPRODUCT((Tablo3[Personel Ad]=A1702)*(Tablo3[Ürün Kar Tutarı]))</f>
        <v>0</v>
      </c>
      <c r="D1702" s="14"/>
      <c r="F1702" s="9" cm="1">
        <f t="array" ref="F1702">SUMPRODUCT((Tablo3[Şehirler]=E1702)*(Tablo3[Ürün Kar Tutarı]))</f>
        <v>0</v>
      </c>
      <c r="H1702" s="14"/>
      <c r="J1702" s="9" cm="1">
        <f t="array" ref="J1702">SUMPRODUCT((Tablo3[Urun Ad]=I1702)*(Tablo3[Ürün Kar Tutarı]))</f>
        <v>0</v>
      </c>
      <c r="L1702" s="37"/>
    </row>
    <row r="1703" spans="1:12" x14ac:dyDescent="0.25">
      <c r="A1703" s="13"/>
      <c r="B1703" s="9" cm="1">
        <f t="array" ref="B1703">SUMPRODUCT((Tablo3[Personel Ad]=A1703)*(Tablo3[Ürün Kar Tutarı]))</f>
        <v>0</v>
      </c>
      <c r="D1703" s="14"/>
      <c r="F1703" s="9" cm="1">
        <f t="array" ref="F1703">SUMPRODUCT((Tablo3[Şehirler]=E1703)*(Tablo3[Ürün Kar Tutarı]))</f>
        <v>0</v>
      </c>
      <c r="H1703" s="14"/>
      <c r="J1703" s="9" cm="1">
        <f t="array" ref="J1703">SUMPRODUCT((Tablo3[Urun Ad]=I1703)*(Tablo3[Ürün Kar Tutarı]))</f>
        <v>0</v>
      </c>
      <c r="L1703" s="37"/>
    </row>
    <row r="1704" spans="1:12" x14ac:dyDescent="0.25">
      <c r="A1704" s="13"/>
      <c r="B1704" s="9" cm="1">
        <f t="array" ref="B1704">SUMPRODUCT((Tablo3[Personel Ad]=A1704)*(Tablo3[Ürün Kar Tutarı]))</f>
        <v>0</v>
      </c>
      <c r="D1704" s="14"/>
      <c r="F1704" s="9" cm="1">
        <f t="array" ref="F1704">SUMPRODUCT((Tablo3[Şehirler]=E1704)*(Tablo3[Ürün Kar Tutarı]))</f>
        <v>0</v>
      </c>
      <c r="H1704" s="14"/>
      <c r="J1704" s="9" cm="1">
        <f t="array" ref="J1704">SUMPRODUCT((Tablo3[Urun Ad]=I1704)*(Tablo3[Ürün Kar Tutarı]))</f>
        <v>0</v>
      </c>
      <c r="L1704" s="37"/>
    </row>
    <row r="1705" spans="1:12" x14ac:dyDescent="0.25">
      <c r="A1705" s="13"/>
      <c r="B1705" s="9" cm="1">
        <f t="array" ref="B1705">SUMPRODUCT((Tablo3[Personel Ad]=A1705)*(Tablo3[Ürün Kar Tutarı]))</f>
        <v>0</v>
      </c>
      <c r="D1705" s="14"/>
      <c r="F1705" s="9" cm="1">
        <f t="array" ref="F1705">SUMPRODUCT((Tablo3[Şehirler]=E1705)*(Tablo3[Ürün Kar Tutarı]))</f>
        <v>0</v>
      </c>
      <c r="H1705" s="14"/>
      <c r="J1705" s="9" cm="1">
        <f t="array" ref="J1705">SUMPRODUCT((Tablo3[Urun Ad]=I1705)*(Tablo3[Ürün Kar Tutarı]))</f>
        <v>0</v>
      </c>
      <c r="L1705" s="37"/>
    </row>
    <row r="1706" spans="1:12" x14ac:dyDescent="0.25">
      <c r="A1706" s="13"/>
      <c r="B1706" s="9" cm="1">
        <f t="array" ref="B1706">SUMPRODUCT((Tablo3[Personel Ad]=A1706)*(Tablo3[Ürün Kar Tutarı]))</f>
        <v>0</v>
      </c>
      <c r="D1706" s="14"/>
      <c r="F1706" s="9" cm="1">
        <f t="array" ref="F1706">SUMPRODUCT((Tablo3[Şehirler]=E1706)*(Tablo3[Ürün Kar Tutarı]))</f>
        <v>0</v>
      </c>
      <c r="H1706" s="14"/>
      <c r="J1706" s="9" cm="1">
        <f t="array" ref="J1706">SUMPRODUCT((Tablo3[Urun Ad]=I1706)*(Tablo3[Ürün Kar Tutarı]))</f>
        <v>0</v>
      </c>
      <c r="L1706" s="37"/>
    </row>
    <row r="1707" spans="1:12" x14ac:dyDescent="0.25">
      <c r="A1707" s="13"/>
      <c r="B1707" s="9" cm="1">
        <f t="array" ref="B1707">SUMPRODUCT((Tablo3[Personel Ad]=A1707)*(Tablo3[Ürün Kar Tutarı]))</f>
        <v>0</v>
      </c>
      <c r="D1707" s="14"/>
      <c r="F1707" s="9" cm="1">
        <f t="array" ref="F1707">SUMPRODUCT((Tablo3[Şehirler]=E1707)*(Tablo3[Ürün Kar Tutarı]))</f>
        <v>0</v>
      </c>
      <c r="H1707" s="14"/>
      <c r="J1707" s="9" cm="1">
        <f t="array" ref="J1707">SUMPRODUCT((Tablo3[Urun Ad]=I1707)*(Tablo3[Ürün Kar Tutarı]))</f>
        <v>0</v>
      </c>
      <c r="L1707" s="37"/>
    </row>
    <row r="1708" spans="1:12" x14ac:dyDescent="0.25">
      <c r="A1708" s="13"/>
      <c r="B1708" s="9" cm="1">
        <f t="array" ref="B1708">SUMPRODUCT((Tablo3[Personel Ad]=A1708)*(Tablo3[Ürün Kar Tutarı]))</f>
        <v>0</v>
      </c>
      <c r="D1708" s="14"/>
      <c r="F1708" s="9" cm="1">
        <f t="array" ref="F1708">SUMPRODUCT((Tablo3[Şehirler]=E1708)*(Tablo3[Ürün Kar Tutarı]))</f>
        <v>0</v>
      </c>
      <c r="H1708" s="14"/>
      <c r="J1708" s="9" cm="1">
        <f t="array" ref="J1708">SUMPRODUCT((Tablo3[Urun Ad]=I1708)*(Tablo3[Ürün Kar Tutarı]))</f>
        <v>0</v>
      </c>
      <c r="L1708" s="37"/>
    </row>
    <row r="1709" spans="1:12" x14ac:dyDescent="0.25">
      <c r="A1709" s="13"/>
      <c r="B1709" s="9" cm="1">
        <f t="array" ref="B1709">SUMPRODUCT((Tablo3[Personel Ad]=A1709)*(Tablo3[Ürün Kar Tutarı]))</f>
        <v>0</v>
      </c>
      <c r="D1709" s="14"/>
      <c r="F1709" s="9" cm="1">
        <f t="array" ref="F1709">SUMPRODUCT((Tablo3[Şehirler]=E1709)*(Tablo3[Ürün Kar Tutarı]))</f>
        <v>0</v>
      </c>
      <c r="H1709" s="14"/>
      <c r="J1709" s="9" cm="1">
        <f t="array" ref="J1709">SUMPRODUCT((Tablo3[Urun Ad]=I1709)*(Tablo3[Ürün Kar Tutarı]))</f>
        <v>0</v>
      </c>
      <c r="L1709" s="37"/>
    </row>
    <row r="1710" spans="1:12" x14ac:dyDescent="0.25">
      <c r="A1710" s="13"/>
      <c r="B1710" s="9" cm="1">
        <f t="array" ref="B1710">SUMPRODUCT((Tablo3[Personel Ad]=A1710)*(Tablo3[Ürün Kar Tutarı]))</f>
        <v>0</v>
      </c>
      <c r="D1710" s="14"/>
      <c r="F1710" s="9" cm="1">
        <f t="array" ref="F1710">SUMPRODUCT((Tablo3[Şehirler]=E1710)*(Tablo3[Ürün Kar Tutarı]))</f>
        <v>0</v>
      </c>
      <c r="H1710" s="14"/>
      <c r="J1710" s="9" cm="1">
        <f t="array" ref="J1710">SUMPRODUCT((Tablo3[Urun Ad]=I1710)*(Tablo3[Ürün Kar Tutarı]))</f>
        <v>0</v>
      </c>
      <c r="L1710" s="37"/>
    </row>
    <row r="1711" spans="1:12" x14ac:dyDescent="0.25">
      <c r="A1711" s="13"/>
      <c r="B1711" s="9" cm="1">
        <f t="array" ref="B1711">SUMPRODUCT((Tablo3[Personel Ad]=A1711)*(Tablo3[Ürün Kar Tutarı]))</f>
        <v>0</v>
      </c>
      <c r="D1711" s="14"/>
      <c r="F1711" s="9" cm="1">
        <f t="array" ref="F1711">SUMPRODUCT((Tablo3[Şehirler]=E1711)*(Tablo3[Ürün Kar Tutarı]))</f>
        <v>0</v>
      </c>
      <c r="H1711" s="14"/>
      <c r="J1711" s="9" cm="1">
        <f t="array" ref="J1711">SUMPRODUCT((Tablo3[Urun Ad]=I1711)*(Tablo3[Ürün Kar Tutarı]))</f>
        <v>0</v>
      </c>
      <c r="L1711" s="37"/>
    </row>
    <row r="1712" spans="1:12" x14ac:dyDescent="0.25">
      <c r="A1712" s="13"/>
      <c r="B1712" s="9" cm="1">
        <f t="array" ref="B1712">SUMPRODUCT((Tablo3[Personel Ad]=A1712)*(Tablo3[Ürün Kar Tutarı]))</f>
        <v>0</v>
      </c>
      <c r="D1712" s="14"/>
      <c r="F1712" s="9" cm="1">
        <f t="array" ref="F1712">SUMPRODUCT((Tablo3[Şehirler]=E1712)*(Tablo3[Ürün Kar Tutarı]))</f>
        <v>0</v>
      </c>
      <c r="H1712" s="14"/>
      <c r="J1712" s="9" cm="1">
        <f t="array" ref="J1712">SUMPRODUCT((Tablo3[Urun Ad]=I1712)*(Tablo3[Ürün Kar Tutarı]))</f>
        <v>0</v>
      </c>
      <c r="L1712" s="37"/>
    </row>
    <row r="1713" spans="1:12" x14ac:dyDescent="0.25">
      <c r="A1713" s="13"/>
      <c r="B1713" s="9" cm="1">
        <f t="array" ref="B1713">SUMPRODUCT((Tablo3[Personel Ad]=A1713)*(Tablo3[Ürün Kar Tutarı]))</f>
        <v>0</v>
      </c>
      <c r="D1713" s="14"/>
      <c r="F1713" s="9" cm="1">
        <f t="array" ref="F1713">SUMPRODUCT((Tablo3[Şehirler]=E1713)*(Tablo3[Ürün Kar Tutarı]))</f>
        <v>0</v>
      </c>
      <c r="H1713" s="14"/>
      <c r="J1713" s="9" cm="1">
        <f t="array" ref="J1713">SUMPRODUCT((Tablo3[Urun Ad]=I1713)*(Tablo3[Ürün Kar Tutarı]))</f>
        <v>0</v>
      </c>
      <c r="L1713" s="37"/>
    </row>
    <row r="1714" spans="1:12" x14ac:dyDescent="0.25">
      <c r="A1714" s="13"/>
      <c r="B1714" s="9" cm="1">
        <f t="array" ref="B1714">SUMPRODUCT((Tablo3[Personel Ad]=A1714)*(Tablo3[Ürün Kar Tutarı]))</f>
        <v>0</v>
      </c>
      <c r="D1714" s="14"/>
      <c r="F1714" s="9" cm="1">
        <f t="array" ref="F1714">SUMPRODUCT((Tablo3[Şehirler]=E1714)*(Tablo3[Ürün Kar Tutarı]))</f>
        <v>0</v>
      </c>
      <c r="H1714" s="14"/>
      <c r="J1714" s="9" cm="1">
        <f t="array" ref="J1714">SUMPRODUCT((Tablo3[Urun Ad]=I1714)*(Tablo3[Ürün Kar Tutarı]))</f>
        <v>0</v>
      </c>
      <c r="L1714" s="37"/>
    </row>
    <row r="1715" spans="1:12" x14ac:dyDescent="0.25">
      <c r="A1715" s="13"/>
      <c r="B1715" s="9" cm="1">
        <f t="array" ref="B1715">SUMPRODUCT((Tablo3[Personel Ad]=A1715)*(Tablo3[Ürün Kar Tutarı]))</f>
        <v>0</v>
      </c>
      <c r="D1715" s="14"/>
      <c r="F1715" s="9" cm="1">
        <f t="array" ref="F1715">SUMPRODUCT((Tablo3[Şehirler]=E1715)*(Tablo3[Ürün Kar Tutarı]))</f>
        <v>0</v>
      </c>
      <c r="H1715" s="14"/>
      <c r="J1715" s="9" cm="1">
        <f t="array" ref="J1715">SUMPRODUCT((Tablo3[Urun Ad]=I1715)*(Tablo3[Ürün Kar Tutarı]))</f>
        <v>0</v>
      </c>
      <c r="L1715" s="37"/>
    </row>
    <row r="1716" spans="1:12" x14ac:dyDescent="0.25">
      <c r="A1716" s="13"/>
      <c r="B1716" s="9" cm="1">
        <f t="array" ref="B1716">SUMPRODUCT((Tablo3[Personel Ad]=A1716)*(Tablo3[Ürün Kar Tutarı]))</f>
        <v>0</v>
      </c>
      <c r="D1716" s="14"/>
      <c r="F1716" s="9" cm="1">
        <f t="array" ref="F1716">SUMPRODUCT((Tablo3[Şehirler]=E1716)*(Tablo3[Ürün Kar Tutarı]))</f>
        <v>0</v>
      </c>
      <c r="H1716" s="14"/>
      <c r="J1716" s="9" cm="1">
        <f t="array" ref="J1716">SUMPRODUCT((Tablo3[Urun Ad]=I1716)*(Tablo3[Ürün Kar Tutarı]))</f>
        <v>0</v>
      </c>
      <c r="L1716" s="37"/>
    </row>
    <row r="1717" spans="1:12" x14ac:dyDescent="0.25">
      <c r="A1717" s="13"/>
      <c r="B1717" s="9" cm="1">
        <f t="array" ref="B1717">SUMPRODUCT((Tablo3[Personel Ad]=A1717)*(Tablo3[Ürün Kar Tutarı]))</f>
        <v>0</v>
      </c>
      <c r="D1717" s="14"/>
      <c r="F1717" s="9" cm="1">
        <f t="array" ref="F1717">SUMPRODUCT((Tablo3[Şehirler]=E1717)*(Tablo3[Ürün Kar Tutarı]))</f>
        <v>0</v>
      </c>
      <c r="H1717" s="14"/>
      <c r="J1717" s="9" cm="1">
        <f t="array" ref="J1717">SUMPRODUCT((Tablo3[Urun Ad]=I1717)*(Tablo3[Ürün Kar Tutarı]))</f>
        <v>0</v>
      </c>
      <c r="L1717" s="37"/>
    </row>
    <row r="1718" spans="1:12" x14ac:dyDescent="0.25">
      <c r="A1718" s="13"/>
      <c r="B1718" s="9" cm="1">
        <f t="array" ref="B1718">SUMPRODUCT((Tablo3[Personel Ad]=A1718)*(Tablo3[Ürün Kar Tutarı]))</f>
        <v>0</v>
      </c>
      <c r="D1718" s="14"/>
      <c r="F1718" s="9" cm="1">
        <f t="array" ref="F1718">SUMPRODUCT((Tablo3[Şehirler]=E1718)*(Tablo3[Ürün Kar Tutarı]))</f>
        <v>0</v>
      </c>
      <c r="H1718" s="14"/>
      <c r="J1718" s="9" cm="1">
        <f t="array" ref="J1718">SUMPRODUCT((Tablo3[Urun Ad]=I1718)*(Tablo3[Ürün Kar Tutarı]))</f>
        <v>0</v>
      </c>
      <c r="L1718" s="37"/>
    </row>
    <row r="1719" spans="1:12" x14ac:dyDescent="0.25">
      <c r="A1719" s="13"/>
      <c r="B1719" s="9" cm="1">
        <f t="array" ref="B1719">SUMPRODUCT((Tablo3[Personel Ad]=A1719)*(Tablo3[Ürün Kar Tutarı]))</f>
        <v>0</v>
      </c>
      <c r="D1719" s="14"/>
      <c r="F1719" s="9" cm="1">
        <f t="array" ref="F1719">SUMPRODUCT((Tablo3[Şehirler]=E1719)*(Tablo3[Ürün Kar Tutarı]))</f>
        <v>0</v>
      </c>
      <c r="H1719" s="14"/>
      <c r="J1719" s="9" cm="1">
        <f t="array" ref="J1719">SUMPRODUCT((Tablo3[Urun Ad]=I1719)*(Tablo3[Ürün Kar Tutarı]))</f>
        <v>0</v>
      </c>
      <c r="L1719" s="37"/>
    </row>
    <row r="1720" spans="1:12" x14ac:dyDescent="0.25">
      <c r="A1720" s="13"/>
      <c r="B1720" s="9" cm="1">
        <f t="array" ref="B1720">SUMPRODUCT((Tablo3[Personel Ad]=A1720)*(Tablo3[Ürün Kar Tutarı]))</f>
        <v>0</v>
      </c>
      <c r="D1720" s="14"/>
      <c r="F1720" s="9" cm="1">
        <f t="array" ref="F1720">SUMPRODUCT((Tablo3[Şehirler]=E1720)*(Tablo3[Ürün Kar Tutarı]))</f>
        <v>0</v>
      </c>
      <c r="H1720" s="14"/>
      <c r="J1720" s="9" cm="1">
        <f t="array" ref="J1720">SUMPRODUCT((Tablo3[Urun Ad]=I1720)*(Tablo3[Ürün Kar Tutarı]))</f>
        <v>0</v>
      </c>
      <c r="L1720" s="37"/>
    </row>
    <row r="1721" spans="1:12" x14ac:dyDescent="0.25">
      <c r="A1721" s="13"/>
      <c r="B1721" s="9" cm="1">
        <f t="array" ref="B1721">SUMPRODUCT((Tablo3[Personel Ad]=A1721)*(Tablo3[Ürün Kar Tutarı]))</f>
        <v>0</v>
      </c>
      <c r="D1721" s="14"/>
      <c r="F1721" s="9" cm="1">
        <f t="array" ref="F1721">SUMPRODUCT((Tablo3[Şehirler]=E1721)*(Tablo3[Ürün Kar Tutarı]))</f>
        <v>0</v>
      </c>
      <c r="H1721" s="14"/>
      <c r="J1721" s="9" cm="1">
        <f t="array" ref="J1721">SUMPRODUCT((Tablo3[Urun Ad]=I1721)*(Tablo3[Ürün Kar Tutarı]))</f>
        <v>0</v>
      </c>
      <c r="L1721" s="37"/>
    </row>
    <row r="1722" spans="1:12" x14ac:dyDescent="0.25">
      <c r="A1722" s="13"/>
      <c r="B1722" s="9" cm="1">
        <f t="array" ref="B1722">SUMPRODUCT((Tablo3[Personel Ad]=A1722)*(Tablo3[Ürün Kar Tutarı]))</f>
        <v>0</v>
      </c>
      <c r="D1722" s="14"/>
      <c r="F1722" s="9" cm="1">
        <f t="array" ref="F1722">SUMPRODUCT((Tablo3[Şehirler]=E1722)*(Tablo3[Ürün Kar Tutarı]))</f>
        <v>0</v>
      </c>
      <c r="H1722" s="14"/>
      <c r="J1722" s="9" cm="1">
        <f t="array" ref="J1722">SUMPRODUCT((Tablo3[Urun Ad]=I1722)*(Tablo3[Ürün Kar Tutarı]))</f>
        <v>0</v>
      </c>
      <c r="L1722" s="37"/>
    </row>
    <row r="1723" spans="1:12" x14ac:dyDescent="0.25">
      <c r="A1723" s="13"/>
      <c r="B1723" s="9" cm="1">
        <f t="array" ref="B1723">SUMPRODUCT((Tablo3[Personel Ad]=A1723)*(Tablo3[Ürün Kar Tutarı]))</f>
        <v>0</v>
      </c>
      <c r="D1723" s="14"/>
      <c r="F1723" s="9" cm="1">
        <f t="array" ref="F1723">SUMPRODUCT((Tablo3[Şehirler]=E1723)*(Tablo3[Ürün Kar Tutarı]))</f>
        <v>0</v>
      </c>
      <c r="H1723" s="14"/>
      <c r="J1723" s="9" cm="1">
        <f t="array" ref="J1723">SUMPRODUCT((Tablo3[Urun Ad]=I1723)*(Tablo3[Ürün Kar Tutarı]))</f>
        <v>0</v>
      </c>
      <c r="L1723" s="37"/>
    </row>
    <row r="1724" spans="1:12" x14ac:dyDescent="0.25">
      <c r="A1724" s="13"/>
      <c r="B1724" s="9" cm="1">
        <f t="array" ref="B1724">SUMPRODUCT((Tablo3[Personel Ad]=A1724)*(Tablo3[Ürün Kar Tutarı]))</f>
        <v>0</v>
      </c>
      <c r="D1724" s="14"/>
      <c r="F1724" s="9" cm="1">
        <f t="array" ref="F1724">SUMPRODUCT((Tablo3[Şehirler]=E1724)*(Tablo3[Ürün Kar Tutarı]))</f>
        <v>0</v>
      </c>
      <c r="H1724" s="14"/>
      <c r="J1724" s="9" cm="1">
        <f t="array" ref="J1724">SUMPRODUCT((Tablo3[Urun Ad]=I1724)*(Tablo3[Ürün Kar Tutarı]))</f>
        <v>0</v>
      </c>
      <c r="L1724" s="37"/>
    </row>
    <row r="1725" spans="1:12" x14ac:dyDescent="0.25">
      <c r="A1725" s="13"/>
      <c r="B1725" s="9" cm="1">
        <f t="array" ref="B1725">SUMPRODUCT((Tablo3[Personel Ad]=A1725)*(Tablo3[Ürün Kar Tutarı]))</f>
        <v>0</v>
      </c>
      <c r="D1725" s="14"/>
      <c r="F1725" s="9" cm="1">
        <f t="array" ref="F1725">SUMPRODUCT((Tablo3[Şehirler]=E1725)*(Tablo3[Ürün Kar Tutarı]))</f>
        <v>0</v>
      </c>
      <c r="H1725" s="14"/>
      <c r="J1725" s="9" cm="1">
        <f t="array" ref="J1725">SUMPRODUCT((Tablo3[Urun Ad]=I1725)*(Tablo3[Ürün Kar Tutarı]))</f>
        <v>0</v>
      </c>
      <c r="L1725" s="37"/>
    </row>
    <row r="1726" spans="1:12" x14ac:dyDescent="0.25">
      <c r="A1726" s="13"/>
      <c r="B1726" s="9" cm="1">
        <f t="array" ref="B1726">SUMPRODUCT((Tablo3[Personel Ad]=A1726)*(Tablo3[Ürün Kar Tutarı]))</f>
        <v>0</v>
      </c>
      <c r="D1726" s="14"/>
      <c r="F1726" s="9" cm="1">
        <f t="array" ref="F1726">SUMPRODUCT((Tablo3[Şehirler]=E1726)*(Tablo3[Ürün Kar Tutarı]))</f>
        <v>0</v>
      </c>
      <c r="H1726" s="14"/>
      <c r="J1726" s="9" cm="1">
        <f t="array" ref="J1726">SUMPRODUCT((Tablo3[Urun Ad]=I1726)*(Tablo3[Ürün Kar Tutarı]))</f>
        <v>0</v>
      </c>
      <c r="L1726" s="37"/>
    </row>
    <row r="1727" spans="1:12" x14ac:dyDescent="0.25">
      <c r="A1727" s="13"/>
      <c r="B1727" s="9" cm="1">
        <f t="array" ref="B1727">SUMPRODUCT((Tablo3[Personel Ad]=A1727)*(Tablo3[Ürün Kar Tutarı]))</f>
        <v>0</v>
      </c>
      <c r="D1727" s="14"/>
      <c r="F1727" s="9" cm="1">
        <f t="array" ref="F1727">SUMPRODUCT((Tablo3[Şehirler]=E1727)*(Tablo3[Ürün Kar Tutarı]))</f>
        <v>0</v>
      </c>
      <c r="H1727" s="14"/>
      <c r="J1727" s="9" cm="1">
        <f t="array" ref="J1727">SUMPRODUCT((Tablo3[Urun Ad]=I1727)*(Tablo3[Ürün Kar Tutarı]))</f>
        <v>0</v>
      </c>
      <c r="L1727" s="37"/>
    </row>
    <row r="1728" spans="1:12" x14ac:dyDescent="0.25">
      <c r="A1728" s="13"/>
      <c r="B1728" s="9" cm="1">
        <f t="array" ref="B1728">SUMPRODUCT((Tablo3[Personel Ad]=A1728)*(Tablo3[Ürün Kar Tutarı]))</f>
        <v>0</v>
      </c>
      <c r="D1728" s="14"/>
      <c r="F1728" s="9" cm="1">
        <f t="array" ref="F1728">SUMPRODUCT((Tablo3[Şehirler]=E1728)*(Tablo3[Ürün Kar Tutarı]))</f>
        <v>0</v>
      </c>
      <c r="H1728" s="14"/>
      <c r="J1728" s="9" cm="1">
        <f t="array" ref="J1728">SUMPRODUCT((Tablo3[Urun Ad]=I1728)*(Tablo3[Ürün Kar Tutarı]))</f>
        <v>0</v>
      </c>
      <c r="L1728" s="37"/>
    </row>
    <row r="1729" spans="1:12" x14ac:dyDescent="0.25">
      <c r="A1729" s="13"/>
      <c r="B1729" s="9" cm="1">
        <f t="array" ref="B1729">SUMPRODUCT((Tablo3[Personel Ad]=A1729)*(Tablo3[Ürün Kar Tutarı]))</f>
        <v>0</v>
      </c>
      <c r="D1729" s="14"/>
      <c r="F1729" s="9" cm="1">
        <f t="array" ref="F1729">SUMPRODUCT((Tablo3[Şehirler]=E1729)*(Tablo3[Ürün Kar Tutarı]))</f>
        <v>0</v>
      </c>
      <c r="H1729" s="14"/>
      <c r="J1729" s="9" cm="1">
        <f t="array" ref="J1729">SUMPRODUCT((Tablo3[Urun Ad]=I1729)*(Tablo3[Ürün Kar Tutarı]))</f>
        <v>0</v>
      </c>
      <c r="L1729" s="37"/>
    </row>
    <row r="1730" spans="1:12" x14ac:dyDescent="0.25">
      <c r="A1730" s="13"/>
      <c r="B1730" s="9" cm="1">
        <f t="array" ref="B1730">SUMPRODUCT((Tablo3[Personel Ad]=A1730)*(Tablo3[Ürün Kar Tutarı]))</f>
        <v>0</v>
      </c>
      <c r="D1730" s="14"/>
      <c r="F1730" s="9" cm="1">
        <f t="array" ref="F1730">SUMPRODUCT((Tablo3[Şehirler]=E1730)*(Tablo3[Ürün Kar Tutarı]))</f>
        <v>0</v>
      </c>
      <c r="H1730" s="14"/>
      <c r="J1730" s="9" cm="1">
        <f t="array" ref="J1730">SUMPRODUCT((Tablo3[Urun Ad]=I1730)*(Tablo3[Ürün Kar Tutarı]))</f>
        <v>0</v>
      </c>
      <c r="L1730" s="37"/>
    </row>
    <row r="1731" spans="1:12" x14ac:dyDescent="0.25">
      <c r="A1731" s="13"/>
      <c r="B1731" s="9" cm="1">
        <f t="array" ref="B1731">SUMPRODUCT((Tablo3[Personel Ad]=A1731)*(Tablo3[Ürün Kar Tutarı]))</f>
        <v>0</v>
      </c>
      <c r="D1731" s="14"/>
      <c r="F1731" s="9" cm="1">
        <f t="array" ref="F1731">SUMPRODUCT((Tablo3[Şehirler]=E1731)*(Tablo3[Ürün Kar Tutarı]))</f>
        <v>0</v>
      </c>
      <c r="H1731" s="14"/>
      <c r="J1731" s="9" cm="1">
        <f t="array" ref="J1731">SUMPRODUCT((Tablo3[Urun Ad]=I1731)*(Tablo3[Ürün Kar Tutarı]))</f>
        <v>0</v>
      </c>
      <c r="L1731" s="37"/>
    </row>
    <row r="1732" spans="1:12" x14ac:dyDescent="0.25">
      <c r="A1732" s="13"/>
      <c r="B1732" s="9" cm="1">
        <f t="array" ref="B1732">SUMPRODUCT((Tablo3[Personel Ad]=A1732)*(Tablo3[Ürün Kar Tutarı]))</f>
        <v>0</v>
      </c>
      <c r="D1732" s="14"/>
      <c r="F1732" s="9" cm="1">
        <f t="array" ref="F1732">SUMPRODUCT((Tablo3[Şehirler]=E1732)*(Tablo3[Ürün Kar Tutarı]))</f>
        <v>0</v>
      </c>
      <c r="H1732" s="14"/>
      <c r="J1732" s="9" cm="1">
        <f t="array" ref="J1732">SUMPRODUCT((Tablo3[Urun Ad]=I1732)*(Tablo3[Ürün Kar Tutarı]))</f>
        <v>0</v>
      </c>
      <c r="L1732" s="37"/>
    </row>
    <row r="1733" spans="1:12" x14ac:dyDescent="0.25">
      <c r="A1733" s="13"/>
      <c r="B1733" s="9" cm="1">
        <f t="array" ref="B1733">SUMPRODUCT((Tablo3[Personel Ad]=A1733)*(Tablo3[Ürün Kar Tutarı]))</f>
        <v>0</v>
      </c>
      <c r="D1733" s="14"/>
      <c r="F1733" s="9" cm="1">
        <f t="array" ref="F1733">SUMPRODUCT((Tablo3[Şehirler]=E1733)*(Tablo3[Ürün Kar Tutarı]))</f>
        <v>0</v>
      </c>
      <c r="H1733" s="14"/>
      <c r="J1733" s="9" cm="1">
        <f t="array" ref="J1733">SUMPRODUCT((Tablo3[Urun Ad]=I1733)*(Tablo3[Ürün Kar Tutarı]))</f>
        <v>0</v>
      </c>
      <c r="L1733" s="37"/>
    </row>
    <row r="1734" spans="1:12" x14ac:dyDescent="0.25">
      <c r="A1734" s="13"/>
      <c r="B1734" s="9" cm="1">
        <f t="array" ref="B1734">SUMPRODUCT((Tablo3[Personel Ad]=A1734)*(Tablo3[Ürün Kar Tutarı]))</f>
        <v>0</v>
      </c>
      <c r="D1734" s="14"/>
      <c r="F1734" s="9" cm="1">
        <f t="array" ref="F1734">SUMPRODUCT((Tablo3[Şehirler]=E1734)*(Tablo3[Ürün Kar Tutarı]))</f>
        <v>0</v>
      </c>
      <c r="H1734" s="14"/>
      <c r="J1734" s="9" cm="1">
        <f t="array" ref="J1734">SUMPRODUCT((Tablo3[Urun Ad]=I1734)*(Tablo3[Ürün Kar Tutarı]))</f>
        <v>0</v>
      </c>
      <c r="L1734" s="37"/>
    </row>
    <row r="1735" spans="1:12" x14ac:dyDescent="0.25">
      <c r="A1735" s="13"/>
      <c r="B1735" s="9" cm="1">
        <f t="array" ref="B1735">SUMPRODUCT((Tablo3[Personel Ad]=A1735)*(Tablo3[Ürün Kar Tutarı]))</f>
        <v>0</v>
      </c>
      <c r="D1735" s="14"/>
      <c r="F1735" s="9" cm="1">
        <f t="array" ref="F1735">SUMPRODUCT((Tablo3[Şehirler]=E1735)*(Tablo3[Ürün Kar Tutarı]))</f>
        <v>0</v>
      </c>
      <c r="H1735" s="14"/>
      <c r="J1735" s="9" cm="1">
        <f t="array" ref="J1735">SUMPRODUCT((Tablo3[Urun Ad]=I1735)*(Tablo3[Ürün Kar Tutarı]))</f>
        <v>0</v>
      </c>
      <c r="L1735" s="37"/>
    </row>
    <row r="1736" spans="1:12" x14ac:dyDescent="0.25">
      <c r="A1736" s="13"/>
      <c r="B1736" s="9" cm="1">
        <f t="array" ref="B1736">SUMPRODUCT((Tablo3[Personel Ad]=A1736)*(Tablo3[Ürün Kar Tutarı]))</f>
        <v>0</v>
      </c>
      <c r="D1736" s="14"/>
      <c r="F1736" s="9" cm="1">
        <f t="array" ref="F1736">SUMPRODUCT((Tablo3[Şehirler]=E1736)*(Tablo3[Ürün Kar Tutarı]))</f>
        <v>0</v>
      </c>
      <c r="H1736" s="14"/>
      <c r="J1736" s="9" cm="1">
        <f t="array" ref="J1736">SUMPRODUCT((Tablo3[Urun Ad]=I1736)*(Tablo3[Ürün Kar Tutarı]))</f>
        <v>0</v>
      </c>
      <c r="L1736" s="37"/>
    </row>
    <row r="1737" spans="1:12" x14ac:dyDescent="0.25">
      <c r="A1737" s="13"/>
      <c r="B1737" s="9" cm="1">
        <f t="array" ref="B1737">SUMPRODUCT((Tablo3[Personel Ad]=A1737)*(Tablo3[Ürün Kar Tutarı]))</f>
        <v>0</v>
      </c>
      <c r="D1737" s="14"/>
      <c r="F1737" s="9" cm="1">
        <f t="array" ref="F1737">SUMPRODUCT((Tablo3[Şehirler]=E1737)*(Tablo3[Ürün Kar Tutarı]))</f>
        <v>0</v>
      </c>
      <c r="H1737" s="14"/>
      <c r="J1737" s="9" cm="1">
        <f t="array" ref="J1737">SUMPRODUCT((Tablo3[Urun Ad]=I1737)*(Tablo3[Ürün Kar Tutarı]))</f>
        <v>0</v>
      </c>
      <c r="L1737" s="37"/>
    </row>
    <row r="1738" spans="1:12" x14ac:dyDescent="0.25">
      <c r="A1738" s="13"/>
      <c r="B1738" s="9" cm="1">
        <f t="array" ref="B1738">SUMPRODUCT((Tablo3[Personel Ad]=A1738)*(Tablo3[Ürün Kar Tutarı]))</f>
        <v>0</v>
      </c>
      <c r="D1738" s="14"/>
      <c r="F1738" s="9" cm="1">
        <f t="array" ref="F1738">SUMPRODUCT((Tablo3[Şehirler]=E1738)*(Tablo3[Ürün Kar Tutarı]))</f>
        <v>0</v>
      </c>
      <c r="H1738" s="14"/>
      <c r="J1738" s="9" cm="1">
        <f t="array" ref="J1738">SUMPRODUCT((Tablo3[Urun Ad]=I1738)*(Tablo3[Ürün Kar Tutarı]))</f>
        <v>0</v>
      </c>
      <c r="L1738" s="37"/>
    </row>
    <row r="1739" spans="1:12" x14ac:dyDescent="0.25">
      <c r="A1739" s="13"/>
      <c r="B1739" s="9" cm="1">
        <f t="array" ref="B1739">SUMPRODUCT((Tablo3[Personel Ad]=A1739)*(Tablo3[Ürün Kar Tutarı]))</f>
        <v>0</v>
      </c>
      <c r="D1739" s="14"/>
      <c r="F1739" s="9" cm="1">
        <f t="array" ref="F1739">SUMPRODUCT((Tablo3[Şehirler]=E1739)*(Tablo3[Ürün Kar Tutarı]))</f>
        <v>0</v>
      </c>
      <c r="H1739" s="14"/>
      <c r="J1739" s="9" cm="1">
        <f t="array" ref="J1739">SUMPRODUCT((Tablo3[Urun Ad]=I1739)*(Tablo3[Ürün Kar Tutarı]))</f>
        <v>0</v>
      </c>
      <c r="L1739" s="37"/>
    </row>
    <row r="1740" spans="1:12" x14ac:dyDescent="0.25">
      <c r="A1740" s="13"/>
      <c r="B1740" s="9" cm="1">
        <f t="array" ref="B1740">SUMPRODUCT((Tablo3[Personel Ad]=A1740)*(Tablo3[Ürün Kar Tutarı]))</f>
        <v>0</v>
      </c>
      <c r="D1740" s="14"/>
      <c r="F1740" s="9" cm="1">
        <f t="array" ref="F1740">SUMPRODUCT((Tablo3[Şehirler]=E1740)*(Tablo3[Ürün Kar Tutarı]))</f>
        <v>0</v>
      </c>
      <c r="H1740" s="14"/>
      <c r="J1740" s="9" cm="1">
        <f t="array" ref="J1740">SUMPRODUCT((Tablo3[Urun Ad]=I1740)*(Tablo3[Ürün Kar Tutarı]))</f>
        <v>0</v>
      </c>
      <c r="L1740" s="37"/>
    </row>
    <row r="1741" spans="1:12" x14ac:dyDescent="0.25">
      <c r="A1741" s="13"/>
      <c r="B1741" s="9" cm="1">
        <f t="array" ref="B1741">SUMPRODUCT((Tablo3[Personel Ad]=A1741)*(Tablo3[Ürün Kar Tutarı]))</f>
        <v>0</v>
      </c>
      <c r="D1741" s="14"/>
      <c r="F1741" s="9" cm="1">
        <f t="array" ref="F1741">SUMPRODUCT((Tablo3[Şehirler]=E1741)*(Tablo3[Ürün Kar Tutarı]))</f>
        <v>0</v>
      </c>
      <c r="H1741" s="14"/>
      <c r="J1741" s="9" cm="1">
        <f t="array" ref="J1741">SUMPRODUCT((Tablo3[Urun Ad]=I1741)*(Tablo3[Ürün Kar Tutarı]))</f>
        <v>0</v>
      </c>
      <c r="L1741" s="37"/>
    </row>
    <row r="1742" spans="1:12" x14ac:dyDescent="0.25">
      <c r="A1742" s="13"/>
      <c r="B1742" s="9" cm="1">
        <f t="array" ref="B1742">SUMPRODUCT((Tablo3[Personel Ad]=A1742)*(Tablo3[Ürün Kar Tutarı]))</f>
        <v>0</v>
      </c>
      <c r="D1742" s="14"/>
      <c r="F1742" s="9" cm="1">
        <f t="array" ref="F1742">SUMPRODUCT((Tablo3[Şehirler]=E1742)*(Tablo3[Ürün Kar Tutarı]))</f>
        <v>0</v>
      </c>
      <c r="H1742" s="14"/>
      <c r="J1742" s="9" cm="1">
        <f t="array" ref="J1742">SUMPRODUCT((Tablo3[Urun Ad]=I1742)*(Tablo3[Ürün Kar Tutarı]))</f>
        <v>0</v>
      </c>
      <c r="L1742" s="37"/>
    </row>
    <row r="1743" spans="1:12" x14ac:dyDescent="0.25">
      <c r="A1743" s="13"/>
      <c r="B1743" s="9" cm="1">
        <f t="array" ref="B1743">SUMPRODUCT((Tablo3[Personel Ad]=A1743)*(Tablo3[Ürün Kar Tutarı]))</f>
        <v>0</v>
      </c>
      <c r="D1743" s="14"/>
      <c r="F1743" s="9" cm="1">
        <f t="array" ref="F1743">SUMPRODUCT((Tablo3[Şehirler]=E1743)*(Tablo3[Ürün Kar Tutarı]))</f>
        <v>0</v>
      </c>
      <c r="H1743" s="14"/>
      <c r="J1743" s="9" cm="1">
        <f t="array" ref="J1743">SUMPRODUCT((Tablo3[Urun Ad]=I1743)*(Tablo3[Ürün Kar Tutarı]))</f>
        <v>0</v>
      </c>
      <c r="L1743" s="37"/>
    </row>
    <row r="1744" spans="1:12" x14ac:dyDescent="0.25">
      <c r="A1744" s="13"/>
      <c r="B1744" s="9" cm="1">
        <f t="array" ref="B1744">SUMPRODUCT((Tablo3[Personel Ad]=A1744)*(Tablo3[Ürün Kar Tutarı]))</f>
        <v>0</v>
      </c>
      <c r="D1744" s="14"/>
      <c r="F1744" s="9" cm="1">
        <f t="array" ref="F1744">SUMPRODUCT((Tablo3[Şehirler]=E1744)*(Tablo3[Ürün Kar Tutarı]))</f>
        <v>0</v>
      </c>
      <c r="H1744" s="14"/>
      <c r="J1744" s="9" cm="1">
        <f t="array" ref="J1744">SUMPRODUCT((Tablo3[Urun Ad]=I1744)*(Tablo3[Ürün Kar Tutarı]))</f>
        <v>0</v>
      </c>
      <c r="L1744" s="37"/>
    </row>
    <row r="1745" spans="1:12" x14ac:dyDescent="0.25">
      <c r="A1745" s="13"/>
      <c r="B1745" s="9" cm="1">
        <f t="array" ref="B1745">SUMPRODUCT((Tablo3[Personel Ad]=A1745)*(Tablo3[Ürün Kar Tutarı]))</f>
        <v>0</v>
      </c>
      <c r="D1745" s="14"/>
      <c r="F1745" s="9" cm="1">
        <f t="array" ref="F1745">SUMPRODUCT((Tablo3[Şehirler]=E1745)*(Tablo3[Ürün Kar Tutarı]))</f>
        <v>0</v>
      </c>
      <c r="H1745" s="14"/>
      <c r="J1745" s="9" cm="1">
        <f t="array" ref="J1745">SUMPRODUCT((Tablo3[Urun Ad]=I1745)*(Tablo3[Ürün Kar Tutarı]))</f>
        <v>0</v>
      </c>
      <c r="L1745" s="37"/>
    </row>
    <row r="1746" spans="1:12" x14ac:dyDescent="0.25">
      <c r="A1746" s="13"/>
      <c r="B1746" s="9" cm="1">
        <f t="array" ref="B1746">SUMPRODUCT((Tablo3[Personel Ad]=A1746)*(Tablo3[Ürün Kar Tutarı]))</f>
        <v>0</v>
      </c>
      <c r="D1746" s="14"/>
      <c r="F1746" s="9" cm="1">
        <f t="array" ref="F1746">SUMPRODUCT((Tablo3[Şehirler]=E1746)*(Tablo3[Ürün Kar Tutarı]))</f>
        <v>0</v>
      </c>
      <c r="H1746" s="14"/>
      <c r="J1746" s="9" cm="1">
        <f t="array" ref="J1746">SUMPRODUCT((Tablo3[Urun Ad]=I1746)*(Tablo3[Ürün Kar Tutarı]))</f>
        <v>0</v>
      </c>
      <c r="L1746" s="37"/>
    </row>
    <row r="1747" spans="1:12" x14ac:dyDescent="0.25">
      <c r="A1747" s="13"/>
      <c r="B1747" s="9" cm="1">
        <f t="array" ref="B1747">SUMPRODUCT((Tablo3[Personel Ad]=A1747)*(Tablo3[Ürün Kar Tutarı]))</f>
        <v>0</v>
      </c>
      <c r="D1747" s="14"/>
      <c r="F1747" s="9" cm="1">
        <f t="array" ref="F1747">SUMPRODUCT((Tablo3[Şehirler]=E1747)*(Tablo3[Ürün Kar Tutarı]))</f>
        <v>0</v>
      </c>
      <c r="H1747" s="14"/>
      <c r="J1747" s="9" cm="1">
        <f t="array" ref="J1747">SUMPRODUCT((Tablo3[Urun Ad]=I1747)*(Tablo3[Ürün Kar Tutarı]))</f>
        <v>0</v>
      </c>
      <c r="L1747" s="37"/>
    </row>
    <row r="1748" spans="1:12" x14ac:dyDescent="0.25">
      <c r="A1748" s="13"/>
      <c r="B1748" s="9" cm="1">
        <f t="array" ref="B1748">SUMPRODUCT((Tablo3[Personel Ad]=A1748)*(Tablo3[Ürün Kar Tutarı]))</f>
        <v>0</v>
      </c>
      <c r="D1748" s="14"/>
      <c r="F1748" s="9" cm="1">
        <f t="array" ref="F1748">SUMPRODUCT((Tablo3[Şehirler]=E1748)*(Tablo3[Ürün Kar Tutarı]))</f>
        <v>0</v>
      </c>
      <c r="H1748" s="14"/>
      <c r="J1748" s="9" cm="1">
        <f t="array" ref="J1748">SUMPRODUCT((Tablo3[Urun Ad]=I1748)*(Tablo3[Ürün Kar Tutarı]))</f>
        <v>0</v>
      </c>
      <c r="L1748" s="37"/>
    </row>
    <row r="1749" spans="1:12" x14ac:dyDescent="0.25">
      <c r="A1749" s="13"/>
      <c r="B1749" s="9" cm="1">
        <f t="array" ref="B1749">SUMPRODUCT((Tablo3[Personel Ad]=A1749)*(Tablo3[Ürün Kar Tutarı]))</f>
        <v>0</v>
      </c>
      <c r="D1749" s="14"/>
      <c r="F1749" s="9" cm="1">
        <f t="array" ref="F1749">SUMPRODUCT((Tablo3[Şehirler]=E1749)*(Tablo3[Ürün Kar Tutarı]))</f>
        <v>0</v>
      </c>
      <c r="H1749" s="14"/>
      <c r="J1749" s="9" cm="1">
        <f t="array" ref="J1749">SUMPRODUCT((Tablo3[Urun Ad]=I1749)*(Tablo3[Ürün Kar Tutarı]))</f>
        <v>0</v>
      </c>
      <c r="L1749" s="37"/>
    </row>
    <row r="1750" spans="1:12" x14ac:dyDescent="0.25">
      <c r="A1750" s="13"/>
      <c r="B1750" s="9" cm="1">
        <f t="array" ref="B1750">SUMPRODUCT((Tablo3[Personel Ad]=A1750)*(Tablo3[Ürün Kar Tutarı]))</f>
        <v>0</v>
      </c>
      <c r="D1750" s="14"/>
      <c r="F1750" s="9" cm="1">
        <f t="array" ref="F1750">SUMPRODUCT((Tablo3[Şehirler]=E1750)*(Tablo3[Ürün Kar Tutarı]))</f>
        <v>0</v>
      </c>
      <c r="H1750" s="14"/>
      <c r="J1750" s="9" cm="1">
        <f t="array" ref="J1750">SUMPRODUCT((Tablo3[Urun Ad]=I1750)*(Tablo3[Ürün Kar Tutarı]))</f>
        <v>0</v>
      </c>
      <c r="L1750" s="37"/>
    </row>
    <row r="1751" spans="1:12" x14ac:dyDescent="0.25">
      <c r="A1751" s="13"/>
      <c r="B1751" s="9" cm="1">
        <f t="array" ref="B1751">SUMPRODUCT((Tablo3[Personel Ad]=A1751)*(Tablo3[Ürün Kar Tutarı]))</f>
        <v>0</v>
      </c>
      <c r="D1751" s="14"/>
      <c r="F1751" s="9" cm="1">
        <f t="array" ref="F1751">SUMPRODUCT((Tablo3[Şehirler]=E1751)*(Tablo3[Ürün Kar Tutarı]))</f>
        <v>0</v>
      </c>
      <c r="H1751" s="14"/>
      <c r="J1751" s="9" cm="1">
        <f t="array" ref="J1751">SUMPRODUCT((Tablo3[Urun Ad]=I1751)*(Tablo3[Ürün Kar Tutarı]))</f>
        <v>0</v>
      </c>
      <c r="L1751" s="37"/>
    </row>
    <row r="1752" spans="1:12" x14ac:dyDescent="0.25">
      <c r="A1752" s="13"/>
      <c r="B1752" s="9" cm="1">
        <f t="array" ref="B1752">SUMPRODUCT((Tablo3[Personel Ad]=A1752)*(Tablo3[Ürün Kar Tutarı]))</f>
        <v>0</v>
      </c>
      <c r="D1752" s="14"/>
      <c r="F1752" s="9" cm="1">
        <f t="array" ref="F1752">SUMPRODUCT((Tablo3[Şehirler]=E1752)*(Tablo3[Ürün Kar Tutarı]))</f>
        <v>0</v>
      </c>
      <c r="H1752" s="14"/>
      <c r="J1752" s="9" cm="1">
        <f t="array" ref="J1752">SUMPRODUCT((Tablo3[Urun Ad]=I1752)*(Tablo3[Ürün Kar Tutarı]))</f>
        <v>0</v>
      </c>
      <c r="L1752" s="37"/>
    </row>
    <row r="1753" spans="1:12" x14ac:dyDescent="0.25">
      <c r="A1753" s="13"/>
      <c r="B1753" s="9" cm="1">
        <f t="array" ref="B1753">SUMPRODUCT((Tablo3[Personel Ad]=A1753)*(Tablo3[Ürün Kar Tutarı]))</f>
        <v>0</v>
      </c>
      <c r="D1753" s="14"/>
      <c r="F1753" s="9" cm="1">
        <f t="array" ref="F1753">SUMPRODUCT((Tablo3[Şehirler]=E1753)*(Tablo3[Ürün Kar Tutarı]))</f>
        <v>0</v>
      </c>
      <c r="H1753" s="14"/>
      <c r="J1753" s="9" cm="1">
        <f t="array" ref="J1753">SUMPRODUCT((Tablo3[Urun Ad]=I1753)*(Tablo3[Ürün Kar Tutarı]))</f>
        <v>0</v>
      </c>
      <c r="L1753" s="37"/>
    </row>
    <row r="1754" spans="1:12" x14ac:dyDescent="0.25">
      <c r="A1754" s="13"/>
      <c r="B1754" s="9" cm="1">
        <f t="array" ref="B1754">SUMPRODUCT((Tablo3[Personel Ad]=A1754)*(Tablo3[Ürün Kar Tutarı]))</f>
        <v>0</v>
      </c>
      <c r="D1754" s="14"/>
      <c r="F1754" s="9" cm="1">
        <f t="array" ref="F1754">SUMPRODUCT((Tablo3[Şehirler]=E1754)*(Tablo3[Ürün Kar Tutarı]))</f>
        <v>0</v>
      </c>
      <c r="H1754" s="14"/>
      <c r="J1754" s="9" cm="1">
        <f t="array" ref="J1754">SUMPRODUCT((Tablo3[Urun Ad]=I1754)*(Tablo3[Ürün Kar Tutarı]))</f>
        <v>0</v>
      </c>
      <c r="L1754" s="37"/>
    </row>
    <row r="1755" spans="1:12" x14ac:dyDescent="0.25">
      <c r="A1755" s="13"/>
      <c r="B1755" s="9" cm="1">
        <f t="array" ref="B1755">SUMPRODUCT((Tablo3[Personel Ad]=A1755)*(Tablo3[Ürün Kar Tutarı]))</f>
        <v>0</v>
      </c>
      <c r="D1755" s="14"/>
      <c r="F1755" s="9" cm="1">
        <f t="array" ref="F1755">SUMPRODUCT((Tablo3[Şehirler]=E1755)*(Tablo3[Ürün Kar Tutarı]))</f>
        <v>0</v>
      </c>
      <c r="H1755" s="14"/>
      <c r="J1755" s="9" cm="1">
        <f t="array" ref="J1755">SUMPRODUCT((Tablo3[Urun Ad]=I1755)*(Tablo3[Ürün Kar Tutarı]))</f>
        <v>0</v>
      </c>
      <c r="L1755" s="37"/>
    </row>
    <row r="1756" spans="1:12" x14ac:dyDescent="0.25">
      <c r="A1756" s="13"/>
      <c r="B1756" s="9" cm="1">
        <f t="array" ref="B1756">SUMPRODUCT((Tablo3[Personel Ad]=A1756)*(Tablo3[Ürün Kar Tutarı]))</f>
        <v>0</v>
      </c>
      <c r="D1756" s="14"/>
      <c r="F1756" s="9" cm="1">
        <f t="array" ref="F1756">SUMPRODUCT((Tablo3[Şehirler]=E1756)*(Tablo3[Ürün Kar Tutarı]))</f>
        <v>0</v>
      </c>
      <c r="H1756" s="14"/>
      <c r="J1756" s="9" cm="1">
        <f t="array" ref="J1756">SUMPRODUCT((Tablo3[Urun Ad]=I1756)*(Tablo3[Ürün Kar Tutarı]))</f>
        <v>0</v>
      </c>
      <c r="L1756" s="37"/>
    </row>
    <row r="1757" spans="1:12" x14ac:dyDescent="0.25">
      <c r="A1757" s="13"/>
      <c r="B1757" s="9" cm="1">
        <f t="array" ref="B1757">SUMPRODUCT((Tablo3[Personel Ad]=A1757)*(Tablo3[Ürün Kar Tutarı]))</f>
        <v>0</v>
      </c>
      <c r="D1757" s="14"/>
      <c r="F1757" s="9" cm="1">
        <f t="array" ref="F1757">SUMPRODUCT((Tablo3[Şehirler]=E1757)*(Tablo3[Ürün Kar Tutarı]))</f>
        <v>0</v>
      </c>
      <c r="H1757" s="14"/>
      <c r="J1757" s="9" cm="1">
        <f t="array" ref="J1757">SUMPRODUCT((Tablo3[Urun Ad]=I1757)*(Tablo3[Ürün Kar Tutarı]))</f>
        <v>0</v>
      </c>
      <c r="L1757" s="37"/>
    </row>
    <row r="1758" spans="1:12" x14ac:dyDescent="0.25">
      <c r="A1758" s="13"/>
      <c r="B1758" s="9" cm="1">
        <f t="array" ref="B1758">SUMPRODUCT((Tablo3[Personel Ad]=A1758)*(Tablo3[Ürün Kar Tutarı]))</f>
        <v>0</v>
      </c>
      <c r="D1758" s="14"/>
      <c r="F1758" s="9" cm="1">
        <f t="array" ref="F1758">SUMPRODUCT((Tablo3[Şehirler]=E1758)*(Tablo3[Ürün Kar Tutarı]))</f>
        <v>0</v>
      </c>
      <c r="H1758" s="14"/>
      <c r="J1758" s="9" cm="1">
        <f t="array" ref="J1758">SUMPRODUCT((Tablo3[Urun Ad]=I1758)*(Tablo3[Ürün Kar Tutarı]))</f>
        <v>0</v>
      </c>
      <c r="L1758" s="37"/>
    </row>
    <row r="1759" spans="1:12" x14ac:dyDescent="0.25">
      <c r="A1759" s="13"/>
      <c r="B1759" s="9" cm="1">
        <f t="array" ref="B1759">SUMPRODUCT((Tablo3[Personel Ad]=A1759)*(Tablo3[Ürün Kar Tutarı]))</f>
        <v>0</v>
      </c>
      <c r="D1759" s="14"/>
      <c r="F1759" s="9" cm="1">
        <f t="array" ref="F1759">SUMPRODUCT((Tablo3[Şehirler]=E1759)*(Tablo3[Ürün Kar Tutarı]))</f>
        <v>0</v>
      </c>
      <c r="H1759" s="14"/>
      <c r="J1759" s="9" cm="1">
        <f t="array" ref="J1759">SUMPRODUCT((Tablo3[Urun Ad]=I1759)*(Tablo3[Ürün Kar Tutarı]))</f>
        <v>0</v>
      </c>
      <c r="L1759" s="37"/>
    </row>
    <row r="1760" spans="1:12" x14ac:dyDescent="0.25">
      <c r="A1760" s="13"/>
      <c r="B1760" s="9" cm="1">
        <f t="array" ref="B1760">SUMPRODUCT((Tablo3[Personel Ad]=A1760)*(Tablo3[Ürün Kar Tutarı]))</f>
        <v>0</v>
      </c>
      <c r="D1760" s="14"/>
      <c r="F1760" s="9" cm="1">
        <f t="array" ref="F1760">SUMPRODUCT((Tablo3[Şehirler]=E1760)*(Tablo3[Ürün Kar Tutarı]))</f>
        <v>0</v>
      </c>
      <c r="H1760" s="14"/>
      <c r="J1760" s="9" cm="1">
        <f t="array" ref="J1760">SUMPRODUCT((Tablo3[Urun Ad]=I1760)*(Tablo3[Ürün Kar Tutarı]))</f>
        <v>0</v>
      </c>
      <c r="L1760" s="37"/>
    </row>
    <row r="1761" spans="1:12" x14ac:dyDescent="0.25">
      <c r="A1761" s="13"/>
      <c r="B1761" s="9" cm="1">
        <f t="array" ref="B1761">SUMPRODUCT((Tablo3[Personel Ad]=A1761)*(Tablo3[Ürün Kar Tutarı]))</f>
        <v>0</v>
      </c>
      <c r="D1761" s="14"/>
      <c r="F1761" s="9" cm="1">
        <f t="array" ref="F1761">SUMPRODUCT((Tablo3[Şehirler]=E1761)*(Tablo3[Ürün Kar Tutarı]))</f>
        <v>0</v>
      </c>
      <c r="H1761" s="14"/>
      <c r="J1761" s="9" cm="1">
        <f t="array" ref="J1761">SUMPRODUCT((Tablo3[Urun Ad]=I1761)*(Tablo3[Ürün Kar Tutarı]))</f>
        <v>0</v>
      </c>
      <c r="L1761" s="37"/>
    </row>
    <row r="1762" spans="1:12" x14ac:dyDescent="0.25">
      <c r="A1762" s="13"/>
      <c r="B1762" s="9" cm="1">
        <f t="array" ref="B1762">SUMPRODUCT((Tablo3[Personel Ad]=A1762)*(Tablo3[Ürün Kar Tutarı]))</f>
        <v>0</v>
      </c>
      <c r="D1762" s="14"/>
      <c r="F1762" s="9" cm="1">
        <f t="array" ref="F1762">SUMPRODUCT((Tablo3[Şehirler]=E1762)*(Tablo3[Ürün Kar Tutarı]))</f>
        <v>0</v>
      </c>
      <c r="H1762" s="14"/>
      <c r="J1762" s="9" cm="1">
        <f t="array" ref="J1762">SUMPRODUCT((Tablo3[Urun Ad]=I1762)*(Tablo3[Ürün Kar Tutarı]))</f>
        <v>0</v>
      </c>
      <c r="L1762" s="37"/>
    </row>
    <row r="1763" spans="1:12" x14ac:dyDescent="0.25">
      <c r="A1763" s="13"/>
      <c r="B1763" s="9" cm="1">
        <f t="array" ref="B1763">SUMPRODUCT((Tablo3[Personel Ad]=A1763)*(Tablo3[Ürün Kar Tutarı]))</f>
        <v>0</v>
      </c>
      <c r="D1763" s="14"/>
      <c r="F1763" s="9" cm="1">
        <f t="array" ref="F1763">SUMPRODUCT((Tablo3[Şehirler]=E1763)*(Tablo3[Ürün Kar Tutarı]))</f>
        <v>0</v>
      </c>
      <c r="H1763" s="14"/>
      <c r="J1763" s="9" cm="1">
        <f t="array" ref="J1763">SUMPRODUCT((Tablo3[Urun Ad]=I1763)*(Tablo3[Ürün Kar Tutarı]))</f>
        <v>0</v>
      </c>
      <c r="L1763" s="37"/>
    </row>
    <row r="1764" spans="1:12" x14ac:dyDescent="0.25">
      <c r="A1764" s="13"/>
      <c r="B1764" s="9" cm="1">
        <f t="array" ref="B1764">SUMPRODUCT((Tablo3[Personel Ad]=A1764)*(Tablo3[Ürün Kar Tutarı]))</f>
        <v>0</v>
      </c>
      <c r="D1764" s="14"/>
      <c r="F1764" s="9" cm="1">
        <f t="array" ref="F1764">SUMPRODUCT((Tablo3[Şehirler]=E1764)*(Tablo3[Ürün Kar Tutarı]))</f>
        <v>0</v>
      </c>
      <c r="H1764" s="14"/>
      <c r="J1764" s="9" cm="1">
        <f t="array" ref="J1764">SUMPRODUCT((Tablo3[Urun Ad]=I1764)*(Tablo3[Ürün Kar Tutarı]))</f>
        <v>0</v>
      </c>
      <c r="L1764" s="37"/>
    </row>
    <row r="1765" spans="1:12" x14ac:dyDescent="0.25">
      <c r="A1765" s="13"/>
      <c r="B1765" s="9" cm="1">
        <f t="array" ref="B1765">SUMPRODUCT((Tablo3[Personel Ad]=A1765)*(Tablo3[Ürün Kar Tutarı]))</f>
        <v>0</v>
      </c>
      <c r="D1765" s="14"/>
      <c r="F1765" s="9" cm="1">
        <f t="array" ref="F1765">SUMPRODUCT((Tablo3[Şehirler]=E1765)*(Tablo3[Ürün Kar Tutarı]))</f>
        <v>0</v>
      </c>
      <c r="H1765" s="14"/>
      <c r="J1765" s="9" cm="1">
        <f t="array" ref="J1765">SUMPRODUCT((Tablo3[Urun Ad]=I1765)*(Tablo3[Ürün Kar Tutarı]))</f>
        <v>0</v>
      </c>
      <c r="L1765" s="37"/>
    </row>
    <row r="1766" spans="1:12" x14ac:dyDescent="0.25">
      <c r="A1766" s="13"/>
      <c r="B1766" s="9" cm="1">
        <f t="array" ref="B1766">SUMPRODUCT((Tablo3[Personel Ad]=A1766)*(Tablo3[Ürün Kar Tutarı]))</f>
        <v>0</v>
      </c>
      <c r="D1766" s="14"/>
      <c r="F1766" s="9" cm="1">
        <f t="array" ref="F1766">SUMPRODUCT((Tablo3[Şehirler]=E1766)*(Tablo3[Ürün Kar Tutarı]))</f>
        <v>0</v>
      </c>
      <c r="H1766" s="14"/>
      <c r="J1766" s="9" cm="1">
        <f t="array" ref="J1766">SUMPRODUCT((Tablo3[Urun Ad]=I1766)*(Tablo3[Ürün Kar Tutarı]))</f>
        <v>0</v>
      </c>
      <c r="L1766" s="37"/>
    </row>
    <row r="1767" spans="1:12" x14ac:dyDescent="0.25">
      <c r="A1767" s="13"/>
      <c r="B1767" s="9" cm="1">
        <f t="array" ref="B1767">SUMPRODUCT((Tablo3[Personel Ad]=A1767)*(Tablo3[Ürün Kar Tutarı]))</f>
        <v>0</v>
      </c>
      <c r="D1767" s="14"/>
      <c r="F1767" s="9" cm="1">
        <f t="array" ref="F1767">SUMPRODUCT((Tablo3[Şehirler]=E1767)*(Tablo3[Ürün Kar Tutarı]))</f>
        <v>0</v>
      </c>
      <c r="H1767" s="14"/>
      <c r="J1767" s="9" cm="1">
        <f t="array" ref="J1767">SUMPRODUCT((Tablo3[Urun Ad]=I1767)*(Tablo3[Ürün Kar Tutarı]))</f>
        <v>0</v>
      </c>
      <c r="L1767" s="37"/>
    </row>
    <row r="1768" spans="1:12" x14ac:dyDescent="0.25">
      <c r="A1768" s="13"/>
      <c r="B1768" s="9" cm="1">
        <f t="array" ref="B1768">SUMPRODUCT((Tablo3[Personel Ad]=A1768)*(Tablo3[Ürün Kar Tutarı]))</f>
        <v>0</v>
      </c>
      <c r="D1768" s="14"/>
      <c r="F1768" s="9" cm="1">
        <f t="array" ref="F1768">SUMPRODUCT((Tablo3[Şehirler]=E1768)*(Tablo3[Ürün Kar Tutarı]))</f>
        <v>0</v>
      </c>
      <c r="H1768" s="14"/>
      <c r="J1768" s="9" cm="1">
        <f t="array" ref="J1768">SUMPRODUCT((Tablo3[Urun Ad]=I1768)*(Tablo3[Ürün Kar Tutarı]))</f>
        <v>0</v>
      </c>
      <c r="L1768" s="37"/>
    </row>
    <row r="1769" spans="1:12" x14ac:dyDescent="0.25">
      <c r="A1769" s="13"/>
      <c r="B1769" s="9" cm="1">
        <f t="array" ref="B1769">SUMPRODUCT((Tablo3[Personel Ad]=A1769)*(Tablo3[Ürün Kar Tutarı]))</f>
        <v>0</v>
      </c>
      <c r="D1769" s="14"/>
      <c r="F1769" s="9" cm="1">
        <f t="array" ref="F1769">SUMPRODUCT((Tablo3[Şehirler]=E1769)*(Tablo3[Ürün Kar Tutarı]))</f>
        <v>0</v>
      </c>
      <c r="H1769" s="14"/>
      <c r="J1769" s="9" cm="1">
        <f t="array" ref="J1769">SUMPRODUCT((Tablo3[Urun Ad]=I1769)*(Tablo3[Ürün Kar Tutarı]))</f>
        <v>0</v>
      </c>
      <c r="L1769" s="37"/>
    </row>
    <row r="1770" spans="1:12" x14ac:dyDescent="0.25">
      <c r="A1770" s="13"/>
      <c r="B1770" s="9" cm="1">
        <f t="array" ref="B1770">SUMPRODUCT((Tablo3[Personel Ad]=A1770)*(Tablo3[Ürün Kar Tutarı]))</f>
        <v>0</v>
      </c>
      <c r="D1770" s="14"/>
      <c r="F1770" s="9" cm="1">
        <f t="array" ref="F1770">SUMPRODUCT((Tablo3[Şehirler]=E1770)*(Tablo3[Ürün Kar Tutarı]))</f>
        <v>0</v>
      </c>
      <c r="H1770" s="14"/>
      <c r="J1770" s="9" cm="1">
        <f t="array" ref="J1770">SUMPRODUCT((Tablo3[Urun Ad]=I1770)*(Tablo3[Ürün Kar Tutarı]))</f>
        <v>0</v>
      </c>
      <c r="L1770" s="37"/>
    </row>
    <row r="1771" spans="1:12" x14ac:dyDescent="0.25">
      <c r="A1771" s="13"/>
      <c r="B1771" s="9" cm="1">
        <f t="array" ref="B1771">SUMPRODUCT((Tablo3[Personel Ad]=A1771)*(Tablo3[Ürün Kar Tutarı]))</f>
        <v>0</v>
      </c>
      <c r="D1771" s="14"/>
      <c r="F1771" s="9" cm="1">
        <f t="array" ref="F1771">SUMPRODUCT((Tablo3[Şehirler]=E1771)*(Tablo3[Ürün Kar Tutarı]))</f>
        <v>0</v>
      </c>
      <c r="H1771" s="14"/>
      <c r="J1771" s="9" cm="1">
        <f t="array" ref="J1771">SUMPRODUCT((Tablo3[Urun Ad]=I1771)*(Tablo3[Ürün Kar Tutarı]))</f>
        <v>0</v>
      </c>
      <c r="L1771" s="37"/>
    </row>
    <row r="1772" spans="1:12" x14ac:dyDescent="0.25">
      <c r="A1772" s="13"/>
      <c r="B1772" s="9" cm="1">
        <f t="array" ref="B1772">SUMPRODUCT((Tablo3[Personel Ad]=A1772)*(Tablo3[Ürün Kar Tutarı]))</f>
        <v>0</v>
      </c>
      <c r="D1772" s="14"/>
      <c r="F1772" s="9" cm="1">
        <f t="array" ref="F1772">SUMPRODUCT((Tablo3[Şehirler]=E1772)*(Tablo3[Ürün Kar Tutarı]))</f>
        <v>0</v>
      </c>
      <c r="H1772" s="14"/>
      <c r="J1772" s="9" cm="1">
        <f t="array" ref="J1772">SUMPRODUCT((Tablo3[Urun Ad]=I1772)*(Tablo3[Ürün Kar Tutarı]))</f>
        <v>0</v>
      </c>
      <c r="L1772" s="37"/>
    </row>
    <row r="1773" spans="1:12" x14ac:dyDescent="0.25">
      <c r="A1773" s="13"/>
      <c r="B1773" s="9" cm="1">
        <f t="array" ref="B1773">SUMPRODUCT((Tablo3[Personel Ad]=A1773)*(Tablo3[Ürün Kar Tutarı]))</f>
        <v>0</v>
      </c>
      <c r="D1773" s="14"/>
      <c r="F1773" s="9" cm="1">
        <f t="array" ref="F1773">SUMPRODUCT((Tablo3[Şehirler]=E1773)*(Tablo3[Ürün Kar Tutarı]))</f>
        <v>0</v>
      </c>
      <c r="H1773" s="14"/>
      <c r="J1773" s="9" cm="1">
        <f t="array" ref="J1773">SUMPRODUCT((Tablo3[Urun Ad]=I1773)*(Tablo3[Ürün Kar Tutarı]))</f>
        <v>0</v>
      </c>
      <c r="L1773" s="37"/>
    </row>
    <row r="1774" spans="1:12" x14ac:dyDescent="0.25">
      <c r="A1774" s="13"/>
      <c r="B1774" s="9" cm="1">
        <f t="array" ref="B1774">SUMPRODUCT((Tablo3[Personel Ad]=A1774)*(Tablo3[Ürün Kar Tutarı]))</f>
        <v>0</v>
      </c>
      <c r="D1774" s="14"/>
      <c r="F1774" s="9" cm="1">
        <f t="array" ref="F1774">SUMPRODUCT((Tablo3[Şehirler]=E1774)*(Tablo3[Ürün Kar Tutarı]))</f>
        <v>0</v>
      </c>
      <c r="H1774" s="14"/>
      <c r="J1774" s="9" cm="1">
        <f t="array" ref="J1774">SUMPRODUCT((Tablo3[Urun Ad]=I1774)*(Tablo3[Ürün Kar Tutarı]))</f>
        <v>0</v>
      </c>
      <c r="L1774" s="37"/>
    </row>
    <row r="1775" spans="1:12" x14ac:dyDescent="0.25">
      <c r="A1775" s="13"/>
      <c r="B1775" s="9" cm="1">
        <f t="array" ref="B1775">SUMPRODUCT((Tablo3[Personel Ad]=A1775)*(Tablo3[Ürün Kar Tutarı]))</f>
        <v>0</v>
      </c>
      <c r="D1775" s="14"/>
      <c r="F1775" s="9" cm="1">
        <f t="array" ref="F1775">SUMPRODUCT((Tablo3[Şehirler]=E1775)*(Tablo3[Ürün Kar Tutarı]))</f>
        <v>0</v>
      </c>
      <c r="H1775" s="14"/>
      <c r="J1775" s="9" cm="1">
        <f t="array" ref="J1775">SUMPRODUCT((Tablo3[Urun Ad]=I1775)*(Tablo3[Ürün Kar Tutarı]))</f>
        <v>0</v>
      </c>
      <c r="L1775" s="37"/>
    </row>
    <row r="1776" spans="1:12" x14ac:dyDescent="0.25">
      <c r="A1776" s="13"/>
      <c r="B1776" s="9" cm="1">
        <f t="array" ref="B1776">SUMPRODUCT((Tablo3[Personel Ad]=A1776)*(Tablo3[Ürün Kar Tutarı]))</f>
        <v>0</v>
      </c>
      <c r="D1776" s="14"/>
      <c r="F1776" s="9" cm="1">
        <f t="array" ref="F1776">SUMPRODUCT((Tablo3[Şehirler]=E1776)*(Tablo3[Ürün Kar Tutarı]))</f>
        <v>0</v>
      </c>
      <c r="H1776" s="14"/>
      <c r="J1776" s="9" cm="1">
        <f t="array" ref="J1776">SUMPRODUCT((Tablo3[Urun Ad]=I1776)*(Tablo3[Ürün Kar Tutarı]))</f>
        <v>0</v>
      </c>
      <c r="L1776" s="37"/>
    </row>
    <row r="1777" spans="1:12" x14ac:dyDescent="0.25">
      <c r="A1777" s="13"/>
      <c r="B1777" s="9" cm="1">
        <f t="array" ref="B1777">SUMPRODUCT((Tablo3[Personel Ad]=A1777)*(Tablo3[Ürün Kar Tutarı]))</f>
        <v>0</v>
      </c>
      <c r="D1777" s="14"/>
      <c r="F1777" s="9" cm="1">
        <f t="array" ref="F1777">SUMPRODUCT((Tablo3[Şehirler]=E1777)*(Tablo3[Ürün Kar Tutarı]))</f>
        <v>0</v>
      </c>
      <c r="H1777" s="14"/>
      <c r="J1777" s="9" cm="1">
        <f t="array" ref="J1777">SUMPRODUCT((Tablo3[Urun Ad]=I1777)*(Tablo3[Ürün Kar Tutarı]))</f>
        <v>0</v>
      </c>
      <c r="L1777" s="37"/>
    </row>
    <row r="1778" spans="1:12" x14ac:dyDescent="0.25">
      <c r="A1778" s="13"/>
      <c r="B1778" s="9" cm="1">
        <f t="array" ref="B1778">SUMPRODUCT((Tablo3[Personel Ad]=A1778)*(Tablo3[Ürün Kar Tutarı]))</f>
        <v>0</v>
      </c>
      <c r="D1778" s="14"/>
      <c r="F1778" s="9" cm="1">
        <f t="array" ref="F1778">SUMPRODUCT((Tablo3[Şehirler]=E1778)*(Tablo3[Ürün Kar Tutarı]))</f>
        <v>0</v>
      </c>
      <c r="H1778" s="14"/>
      <c r="J1778" s="9" cm="1">
        <f t="array" ref="J1778">SUMPRODUCT((Tablo3[Urun Ad]=I1778)*(Tablo3[Ürün Kar Tutarı]))</f>
        <v>0</v>
      </c>
      <c r="L1778" s="37"/>
    </row>
    <row r="1779" spans="1:12" x14ac:dyDescent="0.25">
      <c r="A1779" s="13"/>
      <c r="B1779" s="9" cm="1">
        <f t="array" ref="B1779">SUMPRODUCT((Tablo3[Personel Ad]=A1779)*(Tablo3[Ürün Kar Tutarı]))</f>
        <v>0</v>
      </c>
      <c r="D1779" s="14"/>
      <c r="F1779" s="9" cm="1">
        <f t="array" ref="F1779">SUMPRODUCT((Tablo3[Şehirler]=E1779)*(Tablo3[Ürün Kar Tutarı]))</f>
        <v>0</v>
      </c>
      <c r="H1779" s="14"/>
      <c r="J1779" s="9" cm="1">
        <f t="array" ref="J1779">SUMPRODUCT((Tablo3[Urun Ad]=I1779)*(Tablo3[Ürün Kar Tutarı]))</f>
        <v>0</v>
      </c>
      <c r="L1779" s="37"/>
    </row>
    <row r="1780" spans="1:12" x14ac:dyDescent="0.25">
      <c r="A1780" s="13"/>
      <c r="B1780" s="9" cm="1">
        <f t="array" ref="B1780">SUMPRODUCT((Tablo3[Personel Ad]=A1780)*(Tablo3[Ürün Kar Tutarı]))</f>
        <v>0</v>
      </c>
      <c r="D1780" s="14"/>
      <c r="F1780" s="9" cm="1">
        <f t="array" ref="F1780">SUMPRODUCT((Tablo3[Şehirler]=E1780)*(Tablo3[Ürün Kar Tutarı]))</f>
        <v>0</v>
      </c>
      <c r="H1780" s="14"/>
      <c r="J1780" s="9" cm="1">
        <f t="array" ref="J1780">SUMPRODUCT((Tablo3[Urun Ad]=I1780)*(Tablo3[Ürün Kar Tutarı]))</f>
        <v>0</v>
      </c>
      <c r="L1780" s="37"/>
    </row>
    <row r="1781" spans="1:12" x14ac:dyDescent="0.25">
      <c r="A1781" s="13"/>
      <c r="B1781" s="9" cm="1">
        <f t="array" ref="B1781">SUMPRODUCT((Tablo3[Personel Ad]=A1781)*(Tablo3[Ürün Kar Tutarı]))</f>
        <v>0</v>
      </c>
      <c r="D1781" s="14"/>
      <c r="F1781" s="9" cm="1">
        <f t="array" ref="F1781">SUMPRODUCT((Tablo3[Şehirler]=E1781)*(Tablo3[Ürün Kar Tutarı]))</f>
        <v>0</v>
      </c>
      <c r="H1781" s="14"/>
      <c r="J1781" s="9" cm="1">
        <f t="array" ref="J1781">SUMPRODUCT((Tablo3[Urun Ad]=I1781)*(Tablo3[Ürün Kar Tutarı]))</f>
        <v>0</v>
      </c>
      <c r="L1781" s="37"/>
    </row>
    <row r="1782" spans="1:12" x14ac:dyDescent="0.25">
      <c r="A1782" s="13"/>
      <c r="B1782" s="9" cm="1">
        <f t="array" ref="B1782">SUMPRODUCT((Tablo3[Personel Ad]=A1782)*(Tablo3[Ürün Kar Tutarı]))</f>
        <v>0</v>
      </c>
      <c r="D1782" s="14"/>
      <c r="F1782" s="9" cm="1">
        <f t="array" ref="F1782">SUMPRODUCT((Tablo3[Şehirler]=E1782)*(Tablo3[Ürün Kar Tutarı]))</f>
        <v>0</v>
      </c>
      <c r="H1782" s="14"/>
      <c r="J1782" s="9" cm="1">
        <f t="array" ref="J1782">SUMPRODUCT((Tablo3[Urun Ad]=I1782)*(Tablo3[Ürün Kar Tutarı]))</f>
        <v>0</v>
      </c>
      <c r="L1782" s="37"/>
    </row>
    <row r="1783" spans="1:12" x14ac:dyDescent="0.25">
      <c r="A1783" s="13"/>
      <c r="B1783" s="9" cm="1">
        <f t="array" ref="B1783">SUMPRODUCT((Tablo3[Personel Ad]=A1783)*(Tablo3[Ürün Kar Tutarı]))</f>
        <v>0</v>
      </c>
      <c r="D1783" s="14"/>
      <c r="F1783" s="9" cm="1">
        <f t="array" ref="F1783">SUMPRODUCT((Tablo3[Şehirler]=E1783)*(Tablo3[Ürün Kar Tutarı]))</f>
        <v>0</v>
      </c>
      <c r="H1783" s="14"/>
      <c r="J1783" s="9" cm="1">
        <f t="array" ref="J1783">SUMPRODUCT((Tablo3[Urun Ad]=I1783)*(Tablo3[Ürün Kar Tutarı]))</f>
        <v>0</v>
      </c>
      <c r="L1783" s="37"/>
    </row>
    <row r="1784" spans="1:12" x14ac:dyDescent="0.25">
      <c r="A1784" s="13"/>
      <c r="B1784" s="9" cm="1">
        <f t="array" ref="B1784">SUMPRODUCT((Tablo3[Personel Ad]=A1784)*(Tablo3[Ürün Kar Tutarı]))</f>
        <v>0</v>
      </c>
      <c r="D1784" s="14"/>
      <c r="F1784" s="9" cm="1">
        <f t="array" ref="F1784">SUMPRODUCT((Tablo3[Şehirler]=E1784)*(Tablo3[Ürün Kar Tutarı]))</f>
        <v>0</v>
      </c>
      <c r="H1784" s="14"/>
      <c r="J1784" s="9" cm="1">
        <f t="array" ref="J1784">SUMPRODUCT((Tablo3[Urun Ad]=I1784)*(Tablo3[Ürün Kar Tutarı]))</f>
        <v>0</v>
      </c>
      <c r="L1784" s="37"/>
    </row>
    <row r="1785" spans="1:12" x14ac:dyDescent="0.25">
      <c r="A1785" s="13"/>
      <c r="B1785" s="9" cm="1">
        <f t="array" ref="B1785">SUMPRODUCT((Tablo3[Personel Ad]=A1785)*(Tablo3[Ürün Kar Tutarı]))</f>
        <v>0</v>
      </c>
      <c r="D1785" s="14"/>
      <c r="F1785" s="9" cm="1">
        <f t="array" ref="F1785">SUMPRODUCT((Tablo3[Şehirler]=E1785)*(Tablo3[Ürün Kar Tutarı]))</f>
        <v>0</v>
      </c>
      <c r="H1785" s="14"/>
      <c r="J1785" s="9" cm="1">
        <f t="array" ref="J1785">SUMPRODUCT((Tablo3[Urun Ad]=I1785)*(Tablo3[Ürün Kar Tutarı]))</f>
        <v>0</v>
      </c>
      <c r="L1785" s="37"/>
    </row>
    <row r="1786" spans="1:12" x14ac:dyDescent="0.25">
      <c r="A1786" s="13"/>
      <c r="B1786" s="9" cm="1">
        <f t="array" ref="B1786">SUMPRODUCT((Tablo3[Personel Ad]=A1786)*(Tablo3[Ürün Kar Tutarı]))</f>
        <v>0</v>
      </c>
      <c r="D1786" s="14"/>
      <c r="F1786" s="9" cm="1">
        <f t="array" ref="F1786">SUMPRODUCT((Tablo3[Şehirler]=E1786)*(Tablo3[Ürün Kar Tutarı]))</f>
        <v>0</v>
      </c>
      <c r="H1786" s="14"/>
      <c r="J1786" s="9" cm="1">
        <f t="array" ref="J1786">SUMPRODUCT((Tablo3[Urun Ad]=I1786)*(Tablo3[Ürün Kar Tutarı]))</f>
        <v>0</v>
      </c>
      <c r="L1786" s="37"/>
    </row>
    <row r="1787" spans="1:12" x14ac:dyDescent="0.25">
      <c r="A1787" s="13"/>
      <c r="B1787" s="9" cm="1">
        <f t="array" ref="B1787">SUMPRODUCT((Tablo3[Personel Ad]=A1787)*(Tablo3[Ürün Kar Tutarı]))</f>
        <v>0</v>
      </c>
      <c r="D1787" s="14"/>
      <c r="F1787" s="9" cm="1">
        <f t="array" ref="F1787">SUMPRODUCT((Tablo3[Şehirler]=E1787)*(Tablo3[Ürün Kar Tutarı]))</f>
        <v>0</v>
      </c>
      <c r="H1787" s="14"/>
      <c r="J1787" s="9" cm="1">
        <f t="array" ref="J1787">SUMPRODUCT((Tablo3[Urun Ad]=I1787)*(Tablo3[Ürün Kar Tutarı]))</f>
        <v>0</v>
      </c>
      <c r="L1787" s="37"/>
    </row>
    <row r="1788" spans="1:12" x14ac:dyDescent="0.25">
      <c r="A1788" s="13"/>
      <c r="B1788" s="9" cm="1">
        <f t="array" ref="B1788">SUMPRODUCT((Tablo3[Personel Ad]=A1788)*(Tablo3[Ürün Kar Tutarı]))</f>
        <v>0</v>
      </c>
      <c r="D1788" s="14"/>
      <c r="F1788" s="9" cm="1">
        <f t="array" ref="F1788">SUMPRODUCT((Tablo3[Şehirler]=E1788)*(Tablo3[Ürün Kar Tutarı]))</f>
        <v>0</v>
      </c>
      <c r="H1788" s="14"/>
      <c r="J1788" s="9" cm="1">
        <f t="array" ref="J1788">SUMPRODUCT((Tablo3[Urun Ad]=I1788)*(Tablo3[Ürün Kar Tutarı]))</f>
        <v>0</v>
      </c>
      <c r="L1788" s="37"/>
    </row>
    <row r="1789" spans="1:12" x14ac:dyDescent="0.25">
      <c r="A1789" s="13"/>
      <c r="B1789" s="9" cm="1">
        <f t="array" ref="B1789">SUMPRODUCT((Tablo3[Personel Ad]=A1789)*(Tablo3[Ürün Kar Tutarı]))</f>
        <v>0</v>
      </c>
      <c r="D1789" s="14"/>
      <c r="F1789" s="9" cm="1">
        <f t="array" ref="F1789">SUMPRODUCT((Tablo3[Şehirler]=E1789)*(Tablo3[Ürün Kar Tutarı]))</f>
        <v>0</v>
      </c>
      <c r="H1789" s="14"/>
      <c r="J1789" s="9" cm="1">
        <f t="array" ref="J1789">SUMPRODUCT((Tablo3[Urun Ad]=I1789)*(Tablo3[Ürün Kar Tutarı]))</f>
        <v>0</v>
      </c>
      <c r="L1789" s="37"/>
    </row>
    <row r="1790" spans="1:12" x14ac:dyDescent="0.25">
      <c r="A1790" s="13"/>
      <c r="B1790" s="9" cm="1">
        <f t="array" ref="B1790">SUMPRODUCT((Tablo3[Personel Ad]=A1790)*(Tablo3[Ürün Kar Tutarı]))</f>
        <v>0</v>
      </c>
      <c r="D1790" s="14"/>
      <c r="F1790" s="9" cm="1">
        <f t="array" ref="F1790">SUMPRODUCT((Tablo3[Şehirler]=E1790)*(Tablo3[Ürün Kar Tutarı]))</f>
        <v>0</v>
      </c>
      <c r="H1790" s="14"/>
      <c r="J1790" s="9" cm="1">
        <f t="array" ref="J1790">SUMPRODUCT((Tablo3[Urun Ad]=I1790)*(Tablo3[Ürün Kar Tutarı]))</f>
        <v>0</v>
      </c>
      <c r="L1790" s="37"/>
    </row>
    <row r="1791" spans="1:12" x14ac:dyDescent="0.25">
      <c r="A1791" s="13"/>
      <c r="B1791" s="9" cm="1">
        <f t="array" ref="B1791">SUMPRODUCT((Tablo3[Personel Ad]=A1791)*(Tablo3[Ürün Kar Tutarı]))</f>
        <v>0</v>
      </c>
      <c r="D1791" s="14"/>
      <c r="F1791" s="9" cm="1">
        <f t="array" ref="F1791">SUMPRODUCT((Tablo3[Şehirler]=E1791)*(Tablo3[Ürün Kar Tutarı]))</f>
        <v>0</v>
      </c>
      <c r="H1791" s="14"/>
      <c r="J1791" s="9" cm="1">
        <f t="array" ref="J1791">SUMPRODUCT((Tablo3[Urun Ad]=I1791)*(Tablo3[Ürün Kar Tutarı]))</f>
        <v>0</v>
      </c>
      <c r="L1791" s="37"/>
    </row>
    <row r="1792" spans="1:12" x14ac:dyDescent="0.25">
      <c r="A1792" s="13"/>
      <c r="B1792" s="9" cm="1">
        <f t="array" ref="B1792">SUMPRODUCT((Tablo3[Personel Ad]=A1792)*(Tablo3[Ürün Kar Tutarı]))</f>
        <v>0</v>
      </c>
      <c r="D1792" s="14"/>
      <c r="F1792" s="9" cm="1">
        <f t="array" ref="F1792">SUMPRODUCT((Tablo3[Şehirler]=E1792)*(Tablo3[Ürün Kar Tutarı]))</f>
        <v>0</v>
      </c>
      <c r="H1792" s="14"/>
      <c r="J1792" s="9" cm="1">
        <f t="array" ref="J1792">SUMPRODUCT((Tablo3[Urun Ad]=I1792)*(Tablo3[Ürün Kar Tutarı]))</f>
        <v>0</v>
      </c>
      <c r="L1792" s="37"/>
    </row>
    <row r="1793" spans="1:12" x14ac:dyDescent="0.25">
      <c r="A1793" s="13"/>
      <c r="B1793" s="9" cm="1">
        <f t="array" ref="B1793">SUMPRODUCT((Tablo3[Personel Ad]=A1793)*(Tablo3[Ürün Kar Tutarı]))</f>
        <v>0</v>
      </c>
      <c r="D1793" s="14"/>
      <c r="F1793" s="9" cm="1">
        <f t="array" ref="F1793">SUMPRODUCT((Tablo3[Şehirler]=E1793)*(Tablo3[Ürün Kar Tutarı]))</f>
        <v>0</v>
      </c>
      <c r="H1793" s="14"/>
      <c r="J1793" s="9" cm="1">
        <f t="array" ref="J1793">SUMPRODUCT((Tablo3[Urun Ad]=I1793)*(Tablo3[Ürün Kar Tutarı]))</f>
        <v>0</v>
      </c>
      <c r="L1793" s="37"/>
    </row>
    <row r="1794" spans="1:12" x14ac:dyDescent="0.25">
      <c r="A1794" s="13"/>
      <c r="B1794" s="9" cm="1">
        <f t="array" ref="B1794">SUMPRODUCT((Tablo3[Personel Ad]=A1794)*(Tablo3[Ürün Kar Tutarı]))</f>
        <v>0</v>
      </c>
      <c r="D1794" s="14"/>
      <c r="F1794" s="9" cm="1">
        <f t="array" ref="F1794">SUMPRODUCT((Tablo3[Şehirler]=E1794)*(Tablo3[Ürün Kar Tutarı]))</f>
        <v>0</v>
      </c>
      <c r="H1794" s="14"/>
      <c r="J1794" s="9" cm="1">
        <f t="array" ref="J1794">SUMPRODUCT((Tablo3[Urun Ad]=I1794)*(Tablo3[Ürün Kar Tutarı]))</f>
        <v>0</v>
      </c>
      <c r="L1794" s="37"/>
    </row>
    <row r="1795" spans="1:12" x14ac:dyDescent="0.25">
      <c r="A1795" s="13"/>
      <c r="B1795" s="9" cm="1">
        <f t="array" ref="B1795">SUMPRODUCT((Tablo3[Personel Ad]=A1795)*(Tablo3[Ürün Kar Tutarı]))</f>
        <v>0</v>
      </c>
      <c r="D1795" s="14"/>
      <c r="F1795" s="9" cm="1">
        <f t="array" ref="F1795">SUMPRODUCT((Tablo3[Şehirler]=E1795)*(Tablo3[Ürün Kar Tutarı]))</f>
        <v>0</v>
      </c>
      <c r="H1795" s="14"/>
      <c r="J1795" s="9" cm="1">
        <f t="array" ref="J1795">SUMPRODUCT((Tablo3[Urun Ad]=I1795)*(Tablo3[Ürün Kar Tutarı]))</f>
        <v>0</v>
      </c>
      <c r="L1795" s="37"/>
    </row>
    <row r="1796" spans="1:12" x14ac:dyDescent="0.25">
      <c r="A1796" s="13"/>
      <c r="B1796" s="9" cm="1">
        <f t="array" ref="B1796">SUMPRODUCT((Tablo3[Personel Ad]=A1796)*(Tablo3[Ürün Kar Tutarı]))</f>
        <v>0</v>
      </c>
      <c r="D1796" s="14"/>
      <c r="F1796" s="9" cm="1">
        <f t="array" ref="F1796">SUMPRODUCT((Tablo3[Şehirler]=E1796)*(Tablo3[Ürün Kar Tutarı]))</f>
        <v>0</v>
      </c>
      <c r="H1796" s="14"/>
      <c r="J1796" s="9" cm="1">
        <f t="array" ref="J1796">SUMPRODUCT((Tablo3[Urun Ad]=I1796)*(Tablo3[Ürün Kar Tutarı]))</f>
        <v>0</v>
      </c>
      <c r="L1796" s="37"/>
    </row>
    <row r="1797" spans="1:12" x14ac:dyDescent="0.25">
      <c r="A1797" s="13"/>
      <c r="B1797" s="9" cm="1">
        <f t="array" ref="B1797">SUMPRODUCT((Tablo3[Personel Ad]=A1797)*(Tablo3[Ürün Kar Tutarı]))</f>
        <v>0</v>
      </c>
      <c r="D1797" s="14"/>
      <c r="F1797" s="9" cm="1">
        <f t="array" ref="F1797">SUMPRODUCT((Tablo3[Şehirler]=E1797)*(Tablo3[Ürün Kar Tutarı]))</f>
        <v>0</v>
      </c>
      <c r="H1797" s="14"/>
      <c r="J1797" s="9" cm="1">
        <f t="array" ref="J1797">SUMPRODUCT((Tablo3[Urun Ad]=I1797)*(Tablo3[Ürün Kar Tutarı]))</f>
        <v>0</v>
      </c>
      <c r="L1797" s="37"/>
    </row>
    <row r="1798" spans="1:12" x14ac:dyDescent="0.25">
      <c r="A1798" s="13"/>
      <c r="B1798" s="9" cm="1">
        <f t="array" ref="B1798">SUMPRODUCT((Tablo3[Personel Ad]=A1798)*(Tablo3[Ürün Kar Tutarı]))</f>
        <v>0</v>
      </c>
      <c r="D1798" s="14"/>
      <c r="F1798" s="9" cm="1">
        <f t="array" ref="F1798">SUMPRODUCT((Tablo3[Şehirler]=E1798)*(Tablo3[Ürün Kar Tutarı]))</f>
        <v>0</v>
      </c>
      <c r="H1798" s="14"/>
      <c r="J1798" s="9" cm="1">
        <f t="array" ref="J1798">SUMPRODUCT((Tablo3[Urun Ad]=I1798)*(Tablo3[Ürün Kar Tutarı]))</f>
        <v>0</v>
      </c>
      <c r="L1798" s="37"/>
    </row>
    <row r="1799" spans="1:12" x14ac:dyDescent="0.25">
      <c r="A1799" s="13"/>
      <c r="B1799" s="9" cm="1">
        <f t="array" ref="B1799">SUMPRODUCT((Tablo3[Personel Ad]=A1799)*(Tablo3[Ürün Kar Tutarı]))</f>
        <v>0</v>
      </c>
      <c r="D1799" s="14"/>
      <c r="F1799" s="9" cm="1">
        <f t="array" ref="F1799">SUMPRODUCT((Tablo3[Şehirler]=E1799)*(Tablo3[Ürün Kar Tutarı]))</f>
        <v>0</v>
      </c>
      <c r="H1799" s="14"/>
      <c r="J1799" s="9" cm="1">
        <f t="array" ref="J1799">SUMPRODUCT((Tablo3[Urun Ad]=I1799)*(Tablo3[Ürün Kar Tutarı]))</f>
        <v>0</v>
      </c>
      <c r="L1799" s="37"/>
    </row>
    <row r="1800" spans="1:12" x14ac:dyDescent="0.25">
      <c r="A1800" s="13"/>
      <c r="B1800" s="9" cm="1">
        <f t="array" ref="B1800">SUMPRODUCT((Tablo3[Personel Ad]=A1800)*(Tablo3[Ürün Kar Tutarı]))</f>
        <v>0</v>
      </c>
      <c r="D1800" s="14"/>
      <c r="F1800" s="9" cm="1">
        <f t="array" ref="F1800">SUMPRODUCT((Tablo3[Şehirler]=E1800)*(Tablo3[Ürün Kar Tutarı]))</f>
        <v>0</v>
      </c>
      <c r="H1800" s="14"/>
      <c r="J1800" s="9" cm="1">
        <f t="array" ref="J1800">SUMPRODUCT((Tablo3[Urun Ad]=I1800)*(Tablo3[Ürün Kar Tutarı]))</f>
        <v>0</v>
      </c>
      <c r="L1800" s="37"/>
    </row>
    <row r="1801" spans="1:12" x14ac:dyDescent="0.25">
      <c r="A1801" s="13"/>
      <c r="B1801" s="9" cm="1">
        <f t="array" ref="B1801">SUMPRODUCT((Tablo3[Personel Ad]=A1801)*(Tablo3[Ürün Kar Tutarı]))</f>
        <v>0</v>
      </c>
      <c r="D1801" s="14"/>
      <c r="F1801" s="9" cm="1">
        <f t="array" ref="F1801">SUMPRODUCT((Tablo3[Şehirler]=E1801)*(Tablo3[Ürün Kar Tutarı]))</f>
        <v>0</v>
      </c>
      <c r="H1801" s="14"/>
      <c r="J1801" s="9" cm="1">
        <f t="array" ref="J1801">SUMPRODUCT((Tablo3[Urun Ad]=I1801)*(Tablo3[Ürün Kar Tutarı]))</f>
        <v>0</v>
      </c>
      <c r="L1801" s="37"/>
    </row>
    <row r="1802" spans="1:12" x14ac:dyDescent="0.25">
      <c r="A1802" s="13"/>
      <c r="B1802" s="9" cm="1">
        <f t="array" ref="B1802">SUMPRODUCT((Tablo3[Personel Ad]=A1802)*(Tablo3[Ürün Kar Tutarı]))</f>
        <v>0</v>
      </c>
      <c r="D1802" s="14"/>
      <c r="F1802" s="9" cm="1">
        <f t="array" ref="F1802">SUMPRODUCT((Tablo3[Şehirler]=E1802)*(Tablo3[Ürün Kar Tutarı]))</f>
        <v>0</v>
      </c>
      <c r="H1802" s="14"/>
      <c r="J1802" s="9" cm="1">
        <f t="array" ref="J1802">SUMPRODUCT((Tablo3[Urun Ad]=I1802)*(Tablo3[Ürün Kar Tutarı]))</f>
        <v>0</v>
      </c>
      <c r="L1802" s="37"/>
    </row>
    <row r="1803" spans="1:12" x14ac:dyDescent="0.25">
      <c r="A1803" s="13"/>
      <c r="B1803" s="9" cm="1">
        <f t="array" ref="B1803">SUMPRODUCT((Tablo3[Personel Ad]=A1803)*(Tablo3[Ürün Kar Tutarı]))</f>
        <v>0</v>
      </c>
      <c r="D1803" s="14"/>
      <c r="F1803" s="9" cm="1">
        <f t="array" ref="F1803">SUMPRODUCT((Tablo3[Şehirler]=E1803)*(Tablo3[Ürün Kar Tutarı]))</f>
        <v>0</v>
      </c>
      <c r="H1803" s="14"/>
      <c r="J1803" s="9" cm="1">
        <f t="array" ref="J1803">SUMPRODUCT((Tablo3[Urun Ad]=I1803)*(Tablo3[Ürün Kar Tutarı]))</f>
        <v>0</v>
      </c>
      <c r="L1803" s="37"/>
    </row>
    <row r="1804" spans="1:12" x14ac:dyDescent="0.25">
      <c r="A1804" s="13"/>
      <c r="B1804" s="9" cm="1">
        <f t="array" ref="B1804">SUMPRODUCT((Tablo3[Personel Ad]=A1804)*(Tablo3[Ürün Kar Tutarı]))</f>
        <v>0</v>
      </c>
      <c r="D1804" s="14"/>
      <c r="F1804" s="9" cm="1">
        <f t="array" ref="F1804">SUMPRODUCT((Tablo3[Şehirler]=E1804)*(Tablo3[Ürün Kar Tutarı]))</f>
        <v>0</v>
      </c>
      <c r="H1804" s="14"/>
      <c r="J1804" s="9" cm="1">
        <f t="array" ref="J1804">SUMPRODUCT((Tablo3[Urun Ad]=I1804)*(Tablo3[Ürün Kar Tutarı]))</f>
        <v>0</v>
      </c>
      <c r="L1804" s="37"/>
    </row>
    <row r="1805" spans="1:12" x14ac:dyDescent="0.25">
      <c r="A1805" s="13"/>
      <c r="B1805" s="9" cm="1">
        <f t="array" ref="B1805">SUMPRODUCT((Tablo3[Personel Ad]=A1805)*(Tablo3[Ürün Kar Tutarı]))</f>
        <v>0</v>
      </c>
      <c r="D1805" s="14"/>
      <c r="F1805" s="9" cm="1">
        <f t="array" ref="F1805">SUMPRODUCT((Tablo3[Şehirler]=E1805)*(Tablo3[Ürün Kar Tutarı]))</f>
        <v>0</v>
      </c>
      <c r="H1805" s="14"/>
      <c r="J1805" s="9" cm="1">
        <f t="array" ref="J1805">SUMPRODUCT((Tablo3[Urun Ad]=I1805)*(Tablo3[Ürün Kar Tutarı]))</f>
        <v>0</v>
      </c>
      <c r="L1805" s="37"/>
    </row>
    <row r="1806" spans="1:12" x14ac:dyDescent="0.25">
      <c r="A1806" s="13"/>
      <c r="B1806" s="9" cm="1">
        <f t="array" ref="B1806">SUMPRODUCT((Tablo3[Personel Ad]=A1806)*(Tablo3[Ürün Kar Tutarı]))</f>
        <v>0</v>
      </c>
      <c r="D1806" s="14"/>
      <c r="F1806" s="9" cm="1">
        <f t="array" ref="F1806">SUMPRODUCT((Tablo3[Şehirler]=E1806)*(Tablo3[Ürün Kar Tutarı]))</f>
        <v>0</v>
      </c>
      <c r="H1806" s="14"/>
      <c r="J1806" s="9" cm="1">
        <f t="array" ref="J1806">SUMPRODUCT((Tablo3[Urun Ad]=I1806)*(Tablo3[Ürün Kar Tutarı]))</f>
        <v>0</v>
      </c>
      <c r="L1806" s="37"/>
    </row>
    <row r="1807" spans="1:12" x14ac:dyDescent="0.25">
      <c r="A1807" s="13"/>
      <c r="B1807" s="9" cm="1">
        <f t="array" ref="B1807">SUMPRODUCT((Tablo3[Personel Ad]=A1807)*(Tablo3[Ürün Kar Tutarı]))</f>
        <v>0</v>
      </c>
      <c r="D1807" s="14"/>
      <c r="F1807" s="9" cm="1">
        <f t="array" ref="F1807">SUMPRODUCT((Tablo3[Şehirler]=E1807)*(Tablo3[Ürün Kar Tutarı]))</f>
        <v>0</v>
      </c>
      <c r="H1807" s="14"/>
      <c r="J1807" s="9" cm="1">
        <f t="array" ref="J1807">SUMPRODUCT((Tablo3[Urun Ad]=I1807)*(Tablo3[Ürün Kar Tutarı]))</f>
        <v>0</v>
      </c>
      <c r="L1807" s="37"/>
    </row>
    <row r="1808" spans="1:12" x14ac:dyDescent="0.25">
      <c r="A1808" s="13"/>
      <c r="B1808" s="9" cm="1">
        <f t="array" ref="B1808">SUMPRODUCT((Tablo3[Personel Ad]=A1808)*(Tablo3[Ürün Kar Tutarı]))</f>
        <v>0</v>
      </c>
      <c r="D1808" s="14"/>
      <c r="F1808" s="9" cm="1">
        <f t="array" ref="F1808">SUMPRODUCT((Tablo3[Şehirler]=E1808)*(Tablo3[Ürün Kar Tutarı]))</f>
        <v>0</v>
      </c>
      <c r="H1808" s="14"/>
      <c r="J1808" s="9" cm="1">
        <f t="array" ref="J1808">SUMPRODUCT((Tablo3[Urun Ad]=I1808)*(Tablo3[Ürün Kar Tutarı]))</f>
        <v>0</v>
      </c>
      <c r="L1808" s="37"/>
    </row>
    <row r="1809" spans="1:12" x14ac:dyDescent="0.25">
      <c r="A1809" s="13"/>
      <c r="B1809" s="9" cm="1">
        <f t="array" ref="B1809">SUMPRODUCT((Tablo3[Personel Ad]=A1809)*(Tablo3[Ürün Kar Tutarı]))</f>
        <v>0</v>
      </c>
      <c r="D1809" s="14"/>
      <c r="F1809" s="9" cm="1">
        <f t="array" ref="F1809">SUMPRODUCT((Tablo3[Şehirler]=E1809)*(Tablo3[Ürün Kar Tutarı]))</f>
        <v>0</v>
      </c>
      <c r="H1809" s="14"/>
      <c r="J1809" s="9" cm="1">
        <f t="array" ref="J1809">SUMPRODUCT((Tablo3[Urun Ad]=I1809)*(Tablo3[Ürün Kar Tutarı]))</f>
        <v>0</v>
      </c>
      <c r="L1809" s="37"/>
    </row>
    <row r="1810" spans="1:12" x14ac:dyDescent="0.25">
      <c r="A1810" s="13"/>
      <c r="B1810" s="9" cm="1">
        <f t="array" ref="B1810">SUMPRODUCT((Tablo3[Personel Ad]=A1810)*(Tablo3[Ürün Kar Tutarı]))</f>
        <v>0</v>
      </c>
      <c r="D1810" s="14"/>
      <c r="F1810" s="9" cm="1">
        <f t="array" ref="F1810">SUMPRODUCT((Tablo3[Şehirler]=E1810)*(Tablo3[Ürün Kar Tutarı]))</f>
        <v>0</v>
      </c>
      <c r="H1810" s="14"/>
      <c r="J1810" s="9" cm="1">
        <f t="array" ref="J1810">SUMPRODUCT((Tablo3[Urun Ad]=I1810)*(Tablo3[Ürün Kar Tutarı]))</f>
        <v>0</v>
      </c>
      <c r="L1810" s="37"/>
    </row>
    <row r="1811" spans="1:12" x14ac:dyDescent="0.25">
      <c r="A1811" s="13"/>
      <c r="B1811" s="9" cm="1">
        <f t="array" ref="B1811">SUMPRODUCT((Tablo3[Personel Ad]=A1811)*(Tablo3[Ürün Kar Tutarı]))</f>
        <v>0</v>
      </c>
      <c r="D1811" s="14"/>
      <c r="F1811" s="9" cm="1">
        <f t="array" ref="F1811">SUMPRODUCT((Tablo3[Şehirler]=E1811)*(Tablo3[Ürün Kar Tutarı]))</f>
        <v>0</v>
      </c>
      <c r="H1811" s="14"/>
      <c r="J1811" s="9" cm="1">
        <f t="array" ref="J1811">SUMPRODUCT((Tablo3[Urun Ad]=I1811)*(Tablo3[Ürün Kar Tutarı]))</f>
        <v>0</v>
      </c>
      <c r="L1811" s="37"/>
    </row>
    <row r="1812" spans="1:12" x14ac:dyDescent="0.25">
      <c r="A1812" s="13"/>
      <c r="B1812" s="9" cm="1">
        <f t="array" ref="B1812">SUMPRODUCT((Tablo3[Personel Ad]=A1812)*(Tablo3[Ürün Kar Tutarı]))</f>
        <v>0</v>
      </c>
      <c r="D1812" s="14"/>
      <c r="F1812" s="9" cm="1">
        <f t="array" ref="F1812">SUMPRODUCT((Tablo3[Şehirler]=E1812)*(Tablo3[Ürün Kar Tutarı]))</f>
        <v>0</v>
      </c>
      <c r="H1812" s="14"/>
      <c r="J1812" s="9" cm="1">
        <f t="array" ref="J1812">SUMPRODUCT((Tablo3[Urun Ad]=I1812)*(Tablo3[Ürün Kar Tutarı]))</f>
        <v>0</v>
      </c>
      <c r="L1812" s="37"/>
    </row>
    <row r="1813" spans="1:12" x14ac:dyDescent="0.25">
      <c r="A1813" s="13"/>
      <c r="B1813" s="9" cm="1">
        <f t="array" ref="B1813">SUMPRODUCT((Tablo3[Personel Ad]=A1813)*(Tablo3[Ürün Kar Tutarı]))</f>
        <v>0</v>
      </c>
      <c r="D1813" s="14"/>
      <c r="F1813" s="9" cm="1">
        <f t="array" ref="F1813">SUMPRODUCT((Tablo3[Şehirler]=E1813)*(Tablo3[Ürün Kar Tutarı]))</f>
        <v>0</v>
      </c>
      <c r="H1813" s="14"/>
      <c r="J1813" s="9" cm="1">
        <f t="array" ref="J1813">SUMPRODUCT((Tablo3[Urun Ad]=I1813)*(Tablo3[Ürün Kar Tutarı]))</f>
        <v>0</v>
      </c>
      <c r="L1813" s="37"/>
    </row>
    <row r="1814" spans="1:12" x14ac:dyDescent="0.25">
      <c r="A1814" s="13"/>
      <c r="B1814" s="9" cm="1">
        <f t="array" ref="B1814">SUMPRODUCT((Tablo3[Personel Ad]=A1814)*(Tablo3[Ürün Kar Tutarı]))</f>
        <v>0</v>
      </c>
      <c r="D1814" s="14"/>
      <c r="F1814" s="9" cm="1">
        <f t="array" ref="F1814">SUMPRODUCT((Tablo3[Şehirler]=E1814)*(Tablo3[Ürün Kar Tutarı]))</f>
        <v>0</v>
      </c>
      <c r="H1814" s="14"/>
      <c r="J1814" s="9" cm="1">
        <f t="array" ref="J1814">SUMPRODUCT((Tablo3[Urun Ad]=I1814)*(Tablo3[Ürün Kar Tutarı]))</f>
        <v>0</v>
      </c>
      <c r="L1814" s="37"/>
    </row>
    <row r="1815" spans="1:12" x14ac:dyDescent="0.25">
      <c r="A1815" s="13"/>
      <c r="B1815" s="9" cm="1">
        <f t="array" ref="B1815">SUMPRODUCT((Tablo3[Personel Ad]=A1815)*(Tablo3[Ürün Kar Tutarı]))</f>
        <v>0</v>
      </c>
      <c r="D1815" s="14"/>
      <c r="F1815" s="9" cm="1">
        <f t="array" ref="F1815">SUMPRODUCT((Tablo3[Şehirler]=E1815)*(Tablo3[Ürün Kar Tutarı]))</f>
        <v>0</v>
      </c>
      <c r="H1815" s="14"/>
      <c r="J1815" s="9" cm="1">
        <f t="array" ref="J1815">SUMPRODUCT((Tablo3[Urun Ad]=I1815)*(Tablo3[Ürün Kar Tutarı]))</f>
        <v>0</v>
      </c>
      <c r="L1815" s="37"/>
    </row>
    <row r="1816" spans="1:12" x14ac:dyDescent="0.25">
      <c r="A1816" s="13"/>
      <c r="B1816" s="9" cm="1">
        <f t="array" ref="B1816">SUMPRODUCT((Tablo3[Personel Ad]=A1816)*(Tablo3[Ürün Kar Tutarı]))</f>
        <v>0</v>
      </c>
      <c r="D1816" s="14"/>
      <c r="F1816" s="9" cm="1">
        <f t="array" ref="F1816">SUMPRODUCT((Tablo3[Şehirler]=E1816)*(Tablo3[Ürün Kar Tutarı]))</f>
        <v>0</v>
      </c>
      <c r="H1816" s="14"/>
      <c r="J1816" s="9" cm="1">
        <f t="array" ref="J1816">SUMPRODUCT((Tablo3[Urun Ad]=I1816)*(Tablo3[Ürün Kar Tutarı]))</f>
        <v>0</v>
      </c>
      <c r="L1816" s="37"/>
    </row>
    <row r="1817" spans="1:12" x14ac:dyDescent="0.25">
      <c r="A1817" s="13"/>
      <c r="B1817" s="9" cm="1">
        <f t="array" ref="B1817">SUMPRODUCT((Tablo3[Personel Ad]=A1817)*(Tablo3[Ürün Kar Tutarı]))</f>
        <v>0</v>
      </c>
      <c r="D1817" s="14"/>
      <c r="F1817" s="9" cm="1">
        <f t="array" ref="F1817">SUMPRODUCT((Tablo3[Şehirler]=E1817)*(Tablo3[Ürün Kar Tutarı]))</f>
        <v>0</v>
      </c>
      <c r="H1817" s="14"/>
      <c r="J1817" s="9" cm="1">
        <f t="array" ref="J1817">SUMPRODUCT((Tablo3[Urun Ad]=I1817)*(Tablo3[Ürün Kar Tutarı]))</f>
        <v>0</v>
      </c>
      <c r="L1817" s="37"/>
    </row>
    <row r="1818" spans="1:12" x14ac:dyDescent="0.25">
      <c r="A1818" s="13"/>
      <c r="B1818" s="9" cm="1">
        <f t="array" ref="B1818">SUMPRODUCT((Tablo3[Personel Ad]=A1818)*(Tablo3[Ürün Kar Tutarı]))</f>
        <v>0</v>
      </c>
      <c r="D1818" s="14"/>
      <c r="F1818" s="9" cm="1">
        <f t="array" ref="F1818">SUMPRODUCT((Tablo3[Şehirler]=E1818)*(Tablo3[Ürün Kar Tutarı]))</f>
        <v>0</v>
      </c>
      <c r="H1818" s="14"/>
      <c r="J1818" s="9" cm="1">
        <f t="array" ref="J1818">SUMPRODUCT((Tablo3[Urun Ad]=I1818)*(Tablo3[Ürün Kar Tutarı]))</f>
        <v>0</v>
      </c>
      <c r="L1818" s="37"/>
    </row>
    <row r="1819" spans="1:12" x14ac:dyDescent="0.25">
      <c r="A1819" s="13"/>
      <c r="B1819" s="9" cm="1">
        <f t="array" ref="B1819">SUMPRODUCT((Tablo3[Personel Ad]=A1819)*(Tablo3[Ürün Kar Tutarı]))</f>
        <v>0</v>
      </c>
      <c r="D1819" s="14"/>
      <c r="F1819" s="9" cm="1">
        <f t="array" ref="F1819">SUMPRODUCT((Tablo3[Şehirler]=E1819)*(Tablo3[Ürün Kar Tutarı]))</f>
        <v>0</v>
      </c>
      <c r="H1819" s="14"/>
      <c r="J1819" s="9" cm="1">
        <f t="array" ref="J1819">SUMPRODUCT((Tablo3[Urun Ad]=I1819)*(Tablo3[Ürün Kar Tutarı]))</f>
        <v>0</v>
      </c>
      <c r="L1819" s="37"/>
    </row>
    <row r="1820" spans="1:12" x14ac:dyDescent="0.25">
      <c r="A1820" s="13"/>
      <c r="B1820" s="9" cm="1">
        <f t="array" ref="B1820">SUMPRODUCT((Tablo3[Personel Ad]=A1820)*(Tablo3[Ürün Kar Tutarı]))</f>
        <v>0</v>
      </c>
      <c r="D1820" s="14"/>
      <c r="F1820" s="9" cm="1">
        <f t="array" ref="F1820">SUMPRODUCT((Tablo3[Şehirler]=E1820)*(Tablo3[Ürün Kar Tutarı]))</f>
        <v>0</v>
      </c>
      <c r="H1820" s="14"/>
      <c r="J1820" s="9" cm="1">
        <f t="array" ref="J1820">SUMPRODUCT((Tablo3[Urun Ad]=I1820)*(Tablo3[Ürün Kar Tutarı]))</f>
        <v>0</v>
      </c>
      <c r="L1820" s="37"/>
    </row>
    <row r="1821" spans="1:12" x14ac:dyDescent="0.25">
      <c r="A1821" s="13"/>
      <c r="B1821" s="9" cm="1">
        <f t="array" ref="B1821">SUMPRODUCT((Tablo3[Personel Ad]=A1821)*(Tablo3[Ürün Kar Tutarı]))</f>
        <v>0</v>
      </c>
      <c r="D1821" s="14"/>
      <c r="F1821" s="9" cm="1">
        <f t="array" ref="F1821">SUMPRODUCT((Tablo3[Şehirler]=E1821)*(Tablo3[Ürün Kar Tutarı]))</f>
        <v>0</v>
      </c>
      <c r="H1821" s="14"/>
      <c r="J1821" s="9" cm="1">
        <f t="array" ref="J1821">SUMPRODUCT((Tablo3[Urun Ad]=I1821)*(Tablo3[Ürün Kar Tutarı]))</f>
        <v>0</v>
      </c>
      <c r="L1821" s="37"/>
    </row>
    <row r="1822" spans="1:12" x14ac:dyDescent="0.25">
      <c r="A1822" s="13"/>
      <c r="B1822" s="9" cm="1">
        <f t="array" ref="B1822">SUMPRODUCT((Tablo3[Personel Ad]=A1822)*(Tablo3[Ürün Kar Tutarı]))</f>
        <v>0</v>
      </c>
      <c r="D1822" s="14"/>
      <c r="F1822" s="9" cm="1">
        <f t="array" ref="F1822">SUMPRODUCT((Tablo3[Şehirler]=E1822)*(Tablo3[Ürün Kar Tutarı]))</f>
        <v>0</v>
      </c>
      <c r="H1822" s="14"/>
      <c r="J1822" s="9" cm="1">
        <f t="array" ref="J1822">SUMPRODUCT((Tablo3[Urun Ad]=I1822)*(Tablo3[Ürün Kar Tutarı]))</f>
        <v>0</v>
      </c>
      <c r="L1822" s="37"/>
    </row>
    <row r="1823" spans="1:12" x14ac:dyDescent="0.25">
      <c r="A1823" s="13"/>
      <c r="B1823" s="9" cm="1">
        <f t="array" ref="B1823">SUMPRODUCT((Tablo3[Personel Ad]=A1823)*(Tablo3[Ürün Kar Tutarı]))</f>
        <v>0</v>
      </c>
      <c r="D1823" s="14"/>
      <c r="F1823" s="9" cm="1">
        <f t="array" ref="F1823">SUMPRODUCT((Tablo3[Şehirler]=E1823)*(Tablo3[Ürün Kar Tutarı]))</f>
        <v>0</v>
      </c>
      <c r="H1823" s="14"/>
      <c r="J1823" s="9" cm="1">
        <f t="array" ref="J1823">SUMPRODUCT((Tablo3[Urun Ad]=I1823)*(Tablo3[Ürün Kar Tutarı]))</f>
        <v>0</v>
      </c>
      <c r="L1823" s="37"/>
    </row>
    <row r="1824" spans="1:12" x14ac:dyDescent="0.25">
      <c r="A1824" s="13"/>
      <c r="B1824" s="9" cm="1">
        <f t="array" ref="B1824">SUMPRODUCT((Tablo3[Personel Ad]=A1824)*(Tablo3[Ürün Kar Tutarı]))</f>
        <v>0</v>
      </c>
      <c r="D1824" s="14"/>
      <c r="F1824" s="9" cm="1">
        <f t="array" ref="F1824">SUMPRODUCT((Tablo3[Şehirler]=E1824)*(Tablo3[Ürün Kar Tutarı]))</f>
        <v>0</v>
      </c>
      <c r="H1824" s="14"/>
      <c r="J1824" s="9" cm="1">
        <f t="array" ref="J1824">SUMPRODUCT((Tablo3[Urun Ad]=I1824)*(Tablo3[Ürün Kar Tutarı]))</f>
        <v>0</v>
      </c>
      <c r="L1824" s="37"/>
    </row>
    <row r="1825" spans="1:12" x14ac:dyDescent="0.25">
      <c r="A1825" s="13"/>
      <c r="B1825" s="9" cm="1">
        <f t="array" ref="B1825">SUMPRODUCT((Tablo3[Personel Ad]=A1825)*(Tablo3[Ürün Kar Tutarı]))</f>
        <v>0</v>
      </c>
      <c r="D1825" s="14"/>
      <c r="F1825" s="9" cm="1">
        <f t="array" ref="F1825">SUMPRODUCT((Tablo3[Şehirler]=E1825)*(Tablo3[Ürün Kar Tutarı]))</f>
        <v>0</v>
      </c>
      <c r="H1825" s="14"/>
      <c r="J1825" s="9" cm="1">
        <f t="array" ref="J1825">SUMPRODUCT((Tablo3[Urun Ad]=I1825)*(Tablo3[Ürün Kar Tutarı]))</f>
        <v>0</v>
      </c>
      <c r="L1825" s="37"/>
    </row>
    <row r="1826" spans="1:12" x14ac:dyDescent="0.25">
      <c r="A1826" s="13"/>
      <c r="B1826" s="9" cm="1">
        <f t="array" ref="B1826">SUMPRODUCT((Tablo3[Personel Ad]=A1826)*(Tablo3[Ürün Kar Tutarı]))</f>
        <v>0</v>
      </c>
      <c r="D1826" s="14"/>
      <c r="F1826" s="9" cm="1">
        <f t="array" ref="F1826">SUMPRODUCT((Tablo3[Şehirler]=E1826)*(Tablo3[Ürün Kar Tutarı]))</f>
        <v>0</v>
      </c>
      <c r="H1826" s="14"/>
      <c r="J1826" s="9" cm="1">
        <f t="array" ref="J1826">SUMPRODUCT((Tablo3[Urun Ad]=I1826)*(Tablo3[Ürün Kar Tutarı]))</f>
        <v>0</v>
      </c>
      <c r="L1826" s="37"/>
    </row>
    <row r="1827" spans="1:12" x14ac:dyDescent="0.25">
      <c r="A1827" s="13"/>
      <c r="B1827" s="9" cm="1">
        <f t="array" ref="B1827">SUMPRODUCT((Tablo3[Personel Ad]=A1827)*(Tablo3[Ürün Kar Tutarı]))</f>
        <v>0</v>
      </c>
      <c r="D1827" s="14"/>
      <c r="F1827" s="9" cm="1">
        <f t="array" ref="F1827">SUMPRODUCT((Tablo3[Şehirler]=E1827)*(Tablo3[Ürün Kar Tutarı]))</f>
        <v>0</v>
      </c>
      <c r="H1827" s="14"/>
      <c r="J1827" s="9" cm="1">
        <f t="array" ref="J1827">SUMPRODUCT((Tablo3[Urun Ad]=I1827)*(Tablo3[Ürün Kar Tutarı]))</f>
        <v>0</v>
      </c>
      <c r="L1827" s="37"/>
    </row>
    <row r="1828" spans="1:12" x14ac:dyDescent="0.25">
      <c r="A1828" s="13"/>
      <c r="B1828" s="9" cm="1">
        <f t="array" ref="B1828">SUMPRODUCT((Tablo3[Personel Ad]=A1828)*(Tablo3[Ürün Kar Tutarı]))</f>
        <v>0</v>
      </c>
      <c r="D1828" s="14"/>
      <c r="F1828" s="9" cm="1">
        <f t="array" ref="F1828">SUMPRODUCT((Tablo3[Şehirler]=E1828)*(Tablo3[Ürün Kar Tutarı]))</f>
        <v>0</v>
      </c>
      <c r="H1828" s="14"/>
      <c r="J1828" s="9" cm="1">
        <f t="array" ref="J1828">SUMPRODUCT((Tablo3[Urun Ad]=I1828)*(Tablo3[Ürün Kar Tutarı]))</f>
        <v>0</v>
      </c>
      <c r="L1828" s="37"/>
    </row>
    <row r="1829" spans="1:12" x14ac:dyDescent="0.25">
      <c r="A1829" s="13"/>
      <c r="B1829" s="9" cm="1">
        <f t="array" ref="B1829">SUMPRODUCT((Tablo3[Personel Ad]=A1829)*(Tablo3[Ürün Kar Tutarı]))</f>
        <v>0</v>
      </c>
      <c r="D1829" s="14"/>
      <c r="F1829" s="9" cm="1">
        <f t="array" ref="F1829">SUMPRODUCT((Tablo3[Şehirler]=E1829)*(Tablo3[Ürün Kar Tutarı]))</f>
        <v>0</v>
      </c>
      <c r="H1829" s="14"/>
      <c r="J1829" s="9" cm="1">
        <f t="array" ref="J1829">SUMPRODUCT((Tablo3[Urun Ad]=I1829)*(Tablo3[Ürün Kar Tutarı]))</f>
        <v>0</v>
      </c>
      <c r="L1829" s="37"/>
    </row>
    <row r="1830" spans="1:12" x14ac:dyDescent="0.25">
      <c r="A1830" s="13"/>
      <c r="B1830" s="9" cm="1">
        <f t="array" ref="B1830">SUMPRODUCT((Tablo3[Personel Ad]=A1830)*(Tablo3[Ürün Kar Tutarı]))</f>
        <v>0</v>
      </c>
      <c r="D1830" s="14"/>
      <c r="F1830" s="9" cm="1">
        <f t="array" ref="F1830">SUMPRODUCT((Tablo3[Şehirler]=E1830)*(Tablo3[Ürün Kar Tutarı]))</f>
        <v>0</v>
      </c>
      <c r="H1830" s="14"/>
      <c r="J1830" s="9" cm="1">
        <f t="array" ref="J1830">SUMPRODUCT((Tablo3[Urun Ad]=I1830)*(Tablo3[Ürün Kar Tutarı]))</f>
        <v>0</v>
      </c>
      <c r="L1830" s="37"/>
    </row>
    <row r="1831" spans="1:12" x14ac:dyDescent="0.25">
      <c r="A1831" s="13"/>
      <c r="B1831" s="9" cm="1">
        <f t="array" ref="B1831">SUMPRODUCT((Tablo3[Personel Ad]=A1831)*(Tablo3[Ürün Kar Tutarı]))</f>
        <v>0</v>
      </c>
      <c r="D1831" s="14"/>
      <c r="F1831" s="9" cm="1">
        <f t="array" ref="F1831">SUMPRODUCT((Tablo3[Şehirler]=E1831)*(Tablo3[Ürün Kar Tutarı]))</f>
        <v>0</v>
      </c>
      <c r="H1831" s="14"/>
      <c r="J1831" s="9" cm="1">
        <f t="array" ref="J1831">SUMPRODUCT((Tablo3[Urun Ad]=I1831)*(Tablo3[Ürün Kar Tutarı]))</f>
        <v>0</v>
      </c>
      <c r="L1831" s="37"/>
    </row>
    <row r="1832" spans="1:12" x14ac:dyDescent="0.25">
      <c r="A1832" s="13"/>
      <c r="B1832" s="9" cm="1">
        <f t="array" ref="B1832">SUMPRODUCT((Tablo3[Personel Ad]=A1832)*(Tablo3[Ürün Kar Tutarı]))</f>
        <v>0</v>
      </c>
      <c r="D1832" s="14"/>
      <c r="F1832" s="9" cm="1">
        <f t="array" ref="F1832">SUMPRODUCT((Tablo3[Şehirler]=E1832)*(Tablo3[Ürün Kar Tutarı]))</f>
        <v>0</v>
      </c>
      <c r="H1832" s="14"/>
      <c r="J1832" s="9" cm="1">
        <f t="array" ref="J1832">SUMPRODUCT((Tablo3[Urun Ad]=I1832)*(Tablo3[Ürün Kar Tutarı]))</f>
        <v>0</v>
      </c>
      <c r="L1832" s="37"/>
    </row>
    <row r="1833" spans="1:12" x14ac:dyDescent="0.25">
      <c r="A1833" s="13"/>
      <c r="B1833" s="9" cm="1">
        <f t="array" ref="B1833">SUMPRODUCT((Tablo3[Personel Ad]=A1833)*(Tablo3[Ürün Kar Tutarı]))</f>
        <v>0</v>
      </c>
      <c r="D1833" s="14"/>
      <c r="F1833" s="9" cm="1">
        <f t="array" ref="F1833">SUMPRODUCT((Tablo3[Şehirler]=E1833)*(Tablo3[Ürün Kar Tutarı]))</f>
        <v>0</v>
      </c>
      <c r="H1833" s="14"/>
      <c r="J1833" s="9" cm="1">
        <f t="array" ref="J1833">SUMPRODUCT((Tablo3[Urun Ad]=I1833)*(Tablo3[Ürün Kar Tutarı]))</f>
        <v>0</v>
      </c>
      <c r="L1833" s="37"/>
    </row>
    <row r="1834" spans="1:12" x14ac:dyDescent="0.25">
      <c r="A1834" s="13"/>
      <c r="B1834" s="9" cm="1">
        <f t="array" ref="B1834">SUMPRODUCT((Tablo3[Personel Ad]=A1834)*(Tablo3[Ürün Kar Tutarı]))</f>
        <v>0</v>
      </c>
      <c r="D1834" s="14"/>
      <c r="F1834" s="9" cm="1">
        <f t="array" ref="F1834">SUMPRODUCT((Tablo3[Şehirler]=E1834)*(Tablo3[Ürün Kar Tutarı]))</f>
        <v>0</v>
      </c>
      <c r="H1834" s="14"/>
      <c r="J1834" s="9" cm="1">
        <f t="array" ref="J1834">SUMPRODUCT((Tablo3[Urun Ad]=I1834)*(Tablo3[Ürün Kar Tutarı]))</f>
        <v>0</v>
      </c>
      <c r="L1834" s="37"/>
    </row>
    <row r="1835" spans="1:12" x14ac:dyDescent="0.25">
      <c r="A1835" s="13"/>
      <c r="B1835" s="9" cm="1">
        <f t="array" ref="B1835">SUMPRODUCT((Tablo3[Personel Ad]=A1835)*(Tablo3[Ürün Kar Tutarı]))</f>
        <v>0</v>
      </c>
      <c r="D1835" s="14"/>
      <c r="F1835" s="9" cm="1">
        <f t="array" ref="F1835">SUMPRODUCT((Tablo3[Şehirler]=E1835)*(Tablo3[Ürün Kar Tutarı]))</f>
        <v>0</v>
      </c>
      <c r="H1835" s="14"/>
      <c r="J1835" s="9" cm="1">
        <f t="array" ref="J1835">SUMPRODUCT((Tablo3[Urun Ad]=I1835)*(Tablo3[Ürün Kar Tutarı]))</f>
        <v>0</v>
      </c>
      <c r="L1835" s="37"/>
    </row>
    <row r="1836" spans="1:12" x14ac:dyDescent="0.25">
      <c r="A1836" s="13"/>
      <c r="B1836" s="9" cm="1">
        <f t="array" ref="B1836">SUMPRODUCT((Tablo3[Personel Ad]=A1836)*(Tablo3[Ürün Kar Tutarı]))</f>
        <v>0</v>
      </c>
      <c r="D1836" s="14"/>
      <c r="F1836" s="9" cm="1">
        <f t="array" ref="F1836">SUMPRODUCT((Tablo3[Şehirler]=E1836)*(Tablo3[Ürün Kar Tutarı]))</f>
        <v>0</v>
      </c>
      <c r="H1836" s="14"/>
      <c r="J1836" s="9" cm="1">
        <f t="array" ref="J1836">SUMPRODUCT((Tablo3[Urun Ad]=I1836)*(Tablo3[Ürün Kar Tutarı]))</f>
        <v>0</v>
      </c>
      <c r="L1836" s="37"/>
    </row>
    <row r="1837" spans="1:12" x14ac:dyDescent="0.25">
      <c r="A1837" s="13"/>
      <c r="B1837" s="9" cm="1">
        <f t="array" ref="B1837">SUMPRODUCT((Tablo3[Personel Ad]=A1837)*(Tablo3[Ürün Kar Tutarı]))</f>
        <v>0</v>
      </c>
      <c r="D1837" s="14"/>
      <c r="F1837" s="9" cm="1">
        <f t="array" ref="F1837">SUMPRODUCT((Tablo3[Şehirler]=E1837)*(Tablo3[Ürün Kar Tutarı]))</f>
        <v>0</v>
      </c>
      <c r="H1837" s="14"/>
      <c r="J1837" s="9" cm="1">
        <f t="array" ref="J1837">SUMPRODUCT((Tablo3[Urun Ad]=I1837)*(Tablo3[Ürün Kar Tutarı]))</f>
        <v>0</v>
      </c>
      <c r="L1837" s="37"/>
    </row>
    <row r="1838" spans="1:12" x14ac:dyDescent="0.25">
      <c r="A1838" s="13"/>
      <c r="B1838" s="9" cm="1">
        <f t="array" ref="B1838">SUMPRODUCT((Tablo3[Personel Ad]=A1838)*(Tablo3[Ürün Kar Tutarı]))</f>
        <v>0</v>
      </c>
      <c r="D1838" s="14"/>
      <c r="F1838" s="9" cm="1">
        <f t="array" ref="F1838">SUMPRODUCT((Tablo3[Şehirler]=E1838)*(Tablo3[Ürün Kar Tutarı]))</f>
        <v>0</v>
      </c>
      <c r="H1838" s="14"/>
      <c r="J1838" s="9" cm="1">
        <f t="array" ref="J1838">SUMPRODUCT((Tablo3[Urun Ad]=I1838)*(Tablo3[Ürün Kar Tutarı]))</f>
        <v>0</v>
      </c>
      <c r="L1838" s="37"/>
    </row>
    <row r="1839" spans="1:12" x14ac:dyDescent="0.25">
      <c r="A1839" s="13"/>
      <c r="B1839" s="9" cm="1">
        <f t="array" ref="B1839">SUMPRODUCT((Tablo3[Personel Ad]=A1839)*(Tablo3[Ürün Kar Tutarı]))</f>
        <v>0</v>
      </c>
      <c r="D1839" s="14"/>
      <c r="F1839" s="9" cm="1">
        <f t="array" ref="F1839">SUMPRODUCT((Tablo3[Şehirler]=E1839)*(Tablo3[Ürün Kar Tutarı]))</f>
        <v>0</v>
      </c>
      <c r="H1839" s="14"/>
      <c r="J1839" s="9" cm="1">
        <f t="array" ref="J1839">SUMPRODUCT((Tablo3[Urun Ad]=I1839)*(Tablo3[Ürün Kar Tutarı]))</f>
        <v>0</v>
      </c>
      <c r="L1839" s="37"/>
    </row>
    <row r="1840" spans="1:12" x14ac:dyDescent="0.25">
      <c r="A1840" s="13"/>
      <c r="B1840" s="9" cm="1">
        <f t="array" ref="B1840">SUMPRODUCT((Tablo3[Personel Ad]=A1840)*(Tablo3[Ürün Kar Tutarı]))</f>
        <v>0</v>
      </c>
      <c r="D1840" s="14"/>
      <c r="F1840" s="9" cm="1">
        <f t="array" ref="F1840">SUMPRODUCT((Tablo3[Şehirler]=E1840)*(Tablo3[Ürün Kar Tutarı]))</f>
        <v>0</v>
      </c>
      <c r="H1840" s="14"/>
      <c r="J1840" s="9" cm="1">
        <f t="array" ref="J1840">SUMPRODUCT((Tablo3[Urun Ad]=I1840)*(Tablo3[Ürün Kar Tutarı]))</f>
        <v>0</v>
      </c>
      <c r="L1840" s="37"/>
    </row>
    <row r="1841" spans="1:12" x14ac:dyDescent="0.25">
      <c r="A1841" s="13"/>
      <c r="B1841" s="9" cm="1">
        <f t="array" ref="B1841">SUMPRODUCT((Tablo3[Personel Ad]=A1841)*(Tablo3[Ürün Kar Tutarı]))</f>
        <v>0</v>
      </c>
      <c r="D1841" s="14"/>
      <c r="F1841" s="9" cm="1">
        <f t="array" ref="F1841">SUMPRODUCT((Tablo3[Şehirler]=E1841)*(Tablo3[Ürün Kar Tutarı]))</f>
        <v>0</v>
      </c>
      <c r="H1841" s="14"/>
      <c r="J1841" s="9" cm="1">
        <f t="array" ref="J1841">SUMPRODUCT((Tablo3[Urun Ad]=I1841)*(Tablo3[Ürün Kar Tutarı]))</f>
        <v>0</v>
      </c>
      <c r="L1841" s="37"/>
    </row>
    <row r="1842" spans="1:12" x14ac:dyDescent="0.25">
      <c r="A1842" s="13"/>
      <c r="B1842" s="9" cm="1">
        <f t="array" ref="B1842">SUMPRODUCT((Tablo3[Personel Ad]=A1842)*(Tablo3[Ürün Kar Tutarı]))</f>
        <v>0</v>
      </c>
      <c r="D1842" s="14"/>
      <c r="F1842" s="9" cm="1">
        <f t="array" ref="F1842">SUMPRODUCT((Tablo3[Şehirler]=E1842)*(Tablo3[Ürün Kar Tutarı]))</f>
        <v>0</v>
      </c>
      <c r="H1842" s="14"/>
      <c r="J1842" s="9" cm="1">
        <f t="array" ref="J1842">SUMPRODUCT((Tablo3[Urun Ad]=I1842)*(Tablo3[Ürün Kar Tutarı]))</f>
        <v>0</v>
      </c>
      <c r="L1842" s="37"/>
    </row>
    <row r="1843" spans="1:12" x14ac:dyDescent="0.25">
      <c r="A1843" s="13"/>
      <c r="B1843" s="9" cm="1">
        <f t="array" ref="B1843">SUMPRODUCT((Tablo3[Personel Ad]=A1843)*(Tablo3[Ürün Kar Tutarı]))</f>
        <v>0</v>
      </c>
      <c r="D1843" s="14"/>
      <c r="F1843" s="9" cm="1">
        <f t="array" ref="F1843">SUMPRODUCT((Tablo3[Şehirler]=E1843)*(Tablo3[Ürün Kar Tutarı]))</f>
        <v>0</v>
      </c>
      <c r="H1843" s="14"/>
      <c r="J1843" s="9" cm="1">
        <f t="array" ref="J1843">SUMPRODUCT((Tablo3[Urun Ad]=I1843)*(Tablo3[Ürün Kar Tutarı]))</f>
        <v>0</v>
      </c>
      <c r="L1843" s="37"/>
    </row>
    <row r="1844" spans="1:12" x14ac:dyDescent="0.25">
      <c r="A1844" s="13"/>
      <c r="B1844" s="9" cm="1">
        <f t="array" ref="B1844">SUMPRODUCT((Tablo3[Personel Ad]=A1844)*(Tablo3[Ürün Kar Tutarı]))</f>
        <v>0</v>
      </c>
      <c r="D1844" s="14"/>
      <c r="F1844" s="9" cm="1">
        <f t="array" ref="F1844">SUMPRODUCT((Tablo3[Şehirler]=E1844)*(Tablo3[Ürün Kar Tutarı]))</f>
        <v>0</v>
      </c>
      <c r="H1844" s="14"/>
      <c r="J1844" s="9" cm="1">
        <f t="array" ref="J1844">SUMPRODUCT((Tablo3[Urun Ad]=I1844)*(Tablo3[Ürün Kar Tutarı]))</f>
        <v>0</v>
      </c>
      <c r="L1844" s="37"/>
    </row>
    <row r="1845" spans="1:12" x14ac:dyDescent="0.25">
      <c r="A1845" s="13"/>
      <c r="B1845" s="9" cm="1">
        <f t="array" ref="B1845">SUMPRODUCT((Tablo3[Personel Ad]=A1845)*(Tablo3[Ürün Kar Tutarı]))</f>
        <v>0</v>
      </c>
      <c r="D1845" s="14"/>
      <c r="F1845" s="9" cm="1">
        <f t="array" ref="F1845">SUMPRODUCT((Tablo3[Şehirler]=E1845)*(Tablo3[Ürün Kar Tutarı]))</f>
        <v>0</v>
      </c>
      <c r="H1845" s="14"/>
      <c r="J1845" s="9" cm="1">
        <f t="array" ref="J1845">SUMPRODUCT((Tablo3[Urun Ad]=I1845)*(Tablo3[Ürün Kar Tutarı]))</f>
        <v>0</v>
      </c>
      <c r="L1845" s="37"/>
    </row>
    <row r="1846" spans="1:12" x14ac:dyDescent="0.25">
      <c r="A1846" s="13"/>
      <c r="B1846" s="9" cm="1">
        <f t="array" ref="B1846">SUMPRODUCT((Tablo3[Personel Ad]=A1846)*(Tablo3[Ürün Kar Tutarı]))</f>
        <v>0</v>
      </c>
      <c r="D1846" s="14"/>
      <c r="F1846" s="9" cm="1">
        <f t="array" ref="F1846">SUMPRODUCT((Tablo3[Şehirler]=E1846)*(Tablo3[Ürün Kar Tutarı]))</f>
        <v>0</v>
      </c>
      <c r="H1846" s="14"/>
      <c r="J1846" s="9" cm="1">
        <f t="array" ref="J1846">SUMPRODUCT((Tablo3[Urun Ad]=I1846)*(Tablo3[Ürün Kar Tutarı]))</f>
        <v>0</v>
      </c>
      <c r="L1846" s="37"/>
    </row>
    <row r="1847" spans="1:12" x14ac:dyDescent="0.25">
      <c r="A1847" s="13"/>
      <c r="B1847" s="9" cm="1">
        <f t="array" ref="B1847">SUMPRODUCT((Tablo3[Personel Ad]=A1847)*(Tablo3[Ürün Kar Tutarı]))</f>
        <v>0</v>
      </c>
      <c r="D1847" s="14"/>
      <c r="F1847" s="9" cm="1">
        <f t="array" ref="F1847">SUMPRODUCT((Tablo3[Şehirler]=E1847)*(Tablo3[Ürün Kar Tutarı]))</f>
        <v>0</v>
      </c>
      <c r="H1847" s="14"/>
      <c r="J1847" s="9" cm="1">
        <f t="array" ref="J1847">SUMPRODUCT((Tablo3[Urun Ad]=I1847)*(Tablo3[Ürün Kar Tutarı]))</f>
        <v>0</v>
      </c>
      <c r="L1847" s="37"/>
    </row>
    <row r="1848" spans="1:12" x14ac:dyDescent="0.25">
      <c r="A1848" s="13"/>
      <c r="B1848" s="9" cm="1">
        <f t="array" ref="B1848">SUMPRODUCT((Tablo3[Personel Ad]=A1848)*(Tablo3[Ürün Kar Tutarı]))</f>
        <v>0</v>
      </c>
      <c r="D1848" s="14"/>
      <c r="F1848" s="9" cm="1">
        <f t="array" ref="F1848">SUMPRODUCT((Tablo3[Şehirler]=E1848)*(Tablo3[Ürün Kar Tutarı]))</f>
        <v>0</v>
      </c>
      <c r="H1848" s="14"/>
      <c r="J1848" s="9" cm="1">
        <f t="array" ref="J1848">SUMPRODUCT((Tablo3[Urun Ad]=I1848)*(Tablo3[Ürün Kar Tutarı]))</f>
        <v>0</v>
      </c>
      <c r="L1848" s="37"/>
    </row>
    <row r="1849" spans="1:12" x14ac:dyDescent="0.25">
      <c r="A1849" s="13"/>
      <c r="B1849" s="9" cm="1">
        <f t="array" ref="B1849">SUMPRODUCT((Tablo3[Personel Ad]=A1849)*(Tablo3[Ürün Kar Tutarı]))</f>
        <v>0</v>
      </c>
      <c r="D1849" s="14"/>
      <c r="F1849" s="9" cm="1">
        <f t="array" ref="F1849">SUMPRODUCT((Tablo3[Şehirler]=E1849)*(Tablo3[Ürün Kar Tutarı]))</f>
        <v>0</v>
      </c>
      <c r="H1849" s="14"/>
      <c r="J1849" s="9" cm="1">
        <f t="array" ref="J1849">SUMPRODUCT((Tablo3[Urun Ad]=I1849)*(Tablo3[Ürün Kar Tutarı]))</f>
        <v>0</v>
      </c>
      <c r="L1849" s="37"/>
    </row>
    <row r="1850" spans="1:12" x14ac:dyDescent="0.25">
      <c r="A1850" s="13"/>
      <c r="B1850" s="9" cm="1">
        <f t="array" ref="B1850">SUMPRODUCT((Tablo3[Personel Ad]=A1850)*(Tablo3[Ürün Kar Tutarı]))</f>
        <v>0</v>
      </c>
      <c r="D1850" s="14"/>
      <c r="F1850" s="9" cm="1">
        <f t="array" ref="F1850">SUMPRODUCT((Tablo3[Şehirler]=E1850)*(Tablo3[Ürün Kar Tutarı]))</f>
        <v>0</v>
      </c>
      <c r="H1850" s="14"/>
      <c r="J1850" s="9" cm="1">
        <f t="array" ref="J1850">SUMPRODUCT((Tablo3[Urun Ad]=I1850)*(Tablo3[Ürün Kar Tutarı]))</f>
        <v>0</v>
      </c>
      <c r="L1850" s="37"/>
    </row>
    <row r="1851" spans="1:12" x14ac:dyDescent="0.25">
      <c r="A1851" s="13"/>
      <c r="B1851" s="9" cm="1">
        <f t="array" ref="B1851">SUMPRODUCT((Tablo3[Personel Ad]=A1851)*(Tablo3[Ürün Kar Tutarı]))</f>
        <v>0</v>
      </c>
      <c r="D1851" s="14"/>
      <c r="F1851" s="9" cm="1">
        <f t="array" ref="F1851">SUMPRODUCT((Tablo3[Şehirler]=E1851)*(Tablo3[Ürün Kar Tutarı]))</f>
        <v>0</v>
      </c>
      <c r="H1851" s="14"/>
      <c r="J1851" s="9" cm="1">
        <f t="array" ref="J1851">SUMPRODUCT((Tablo3[Urun Ad]=I1851)*(Tablo3[Ürün Kar Tutarı]))</f>
        <v>0</v>
      </c>
      <c r="L1851" s="37"/>
    </row>
    <row r="1852" spans="1:12" x14ac:dyDescent="0.25">
      <c r="A1852" s="13"/>
      <c r="B1852" s="9" cm="1">
        <f t="array" ref="B1852">SUMPRODUCT((Tablo3[Personel Ad]=A1852)*(Tablo3[Ürün Kar Tutarı]))</f>
        <v>0</v>
      </c>
      <c r="D1852" s="14"/>
      <c r="F1852" s="9" cm="1">
        <f t="array" ref="F1852">SUMPRODUCT((Tablo3[Şehirler]=E1852)*(Tablo3[Ürün Kar Tutarı]))</f>
        <v>0</v>
      </c>
      <c r="H1852" s="14"/>
      <c r="J1852" s="9" cm="1">
        <f t="array" ref="J1852">SUMPRODUCT((Tablo3[Urun Ad]=I1852)*(Tablo3[Ürün Kar Tutarı]))</f>
        <v>0</v>
      </c>
      <c r="L1852" s="37"/>
    </row>
    <row r="1853" spans="1:12" x14ac:dyDescent="0.25">
      <c r="A1853" s="13"/>
      <c r="B1853" s="9" cm="1">
        <f t="array" ref="B1853">SUMPRODUCT((Tablo3[Personel Ad]=A1853)*(Tablo3[Ürün Kar Tutarı]))</f>
        <v>0</v>
      </c>
      <c r="D1853" s="14"/>
      <c r="F1853" s="9" cm="1">
        <f t="array" ref="F1853">SUMPRODUCT((Tablo3[Şehirler]=E1853)*(Tablo3[Ürün Kar Tutarı]))</f>
        <v>0</v>
      </c>
      <c r="H1853" s="14"/>
      <c r="J1853" s="9" cm="1">
        <f t="array" ref="J1853">SUMPRODUCT((Tablo3[Urun Ad]=I1853)*(Tablo3[Ürün Kar Tutarı]))</f>
        <v>0</v>
      </c>
      <c r="L1853" s="37"/>
    </row>
    <row r="1854" spans="1:12" x14ac:dyDescent="0.25">
      <c r="A1854" s="13"/>
      <c r="B1854" s="9" cm="1">
        <f t="array" ref="B1854">SUMPRODUCT((Tablo3[Personel Ad]=A1854)*(Tablo3[Ürün Kar Tutarı]))</f>
        <v>0</v>
      </c>
      <c r="D1854" s="14"/>
      <c r="F1854" s="9" cm="1">
        <f t="array" ref="F1854">SUMPRODUCT((Tablo3[Şehirler]=E1854)*(Tablo3[Ürün Kar Tutarı]))</f>
        <v>0</v>
      </c>
      <c r="H1854" s="14"/>
      <c r="J1854" s="9" cm="1">
        <f t="array" ref="J1854">SUMPRODUCT((Tablo3[Urun Ad]=I1854)*(Tablo3[Ürün Kar Tutarı]))</f>
        <v>0</v>
      </c>
      <c r="L1854" s="37"/>
    </row>
    <row r="1855" spans="1:12" x14ac:dyDescent="0.25">
      <c r="A1855" s="13"/>
      <c r="B1855" s="9" cm="1">
        <f t="array" ref="B1855">SUMPRODUCT((Tablo3[Personel Ad]=A1855)*(Tablo3[Ürün Kar Tutarı]))</f>
        <v>0</v>
      </c>
      <c r="D1855" s="14"/>
      <c r="F1855" s="9" cm="1">
        <f t="array" ref="F1855">SUMPRODUCT((Tablo3[Şehirler]=E1855)*(Tablo3[Ürün Kar Tutarı]))</f>
        <v>0</v>
      </c>
      <c r="H1855" s="14"/>
      <c r="J1855" s="9" cm="1">
        <f t="array" ref="J1855">SUMPRODUCT((Tablo3[Urun Ad]=I1855)*(Tablo3[Ürün Kar Tutarı]))</f>
        <v>0</v>
      </c>
      <c r="L1855" s="37"/>
    </row>
    <row r="1856" spans="1:12" x14ac:dyDescent="0.25">
      <c r="A1856" s="13"/>
      <c r="B1856" s="9" cm="1">
        <f t="array" ref="B1856">SUMPRODUCT((Tablo3[Personel Ad]=A1856)*(Tablo3[Ürün Kar Tutarı]))</f>
        <v>0</v>
      </c>
      <c r="D1856" s="14"/>
      <c r="F1856" s="9" cm="1">
        <f t="array" ref="F1856">SUMPRODUCT((Tablo3[Şehirler]=E1856)*(Tablo3[Ürün Kar Tutarı]))</f>
        <v>0</v>
      </c>
      <c r="H1856" s="14"/>
      <c r="J1856" s="9" cm="1">
        <f t="array" ref="J1856">SUMPRODUCT((Tablo3[Urun Ad]=I1856)*(Tablo3[Ürün Kar Tutarı]))</f>
        <v>0</v>
      </c>
      <c r="L1856" s="37"/>
    </row>
    <row r="1857" spans="1:12" x14ac:dyDescent="0.25">
      <c r="A1857" s="13"/>
      <c r="B1857" s="9" cm="1">
        <f t="array" ref="B1857">SUMPRODUCT((Tablo3[Personel Ad]=A1857)*(Tablo3[Ürün Kar Tutarı]))</f>
        <v>0</v>
      </c>
      <c r="D1857" s="14"/>
      <c r="F1857" s="9" cm="1">
        <f t="array" ref="F1857">SUMPRODUCT((Tablo3[Şehirler]=E1857)*(Tablo3[Ürün Kar Tutarı]))</f>
        <v>0</v>
      </c>
      <c r="H1857" s="14"/>
      <c r="J1857" s="9" cm="1">
        <f t="array" ref="J1857">SUMPRODUCT((Tablo3[Urun Ad]=I1857)*(Tablo3[Ürün Kar Tutarı]))</f>
        <v>0</v>
      </c>
      <c r="L1857" s="37"/>
    </row>
    <row r="1858" spans="1:12" x14ac:dyDescent="0.25">
      <c r="A1858" s="13"/>
      <c r="B1858" s="9" cm="1">
        <f t="array" ref="B1858">SUMPRODUCT((Tablo3[Personel Ad]=A1858)*(Tablo3[Ürün Kar Tutarı]))</f>
        <v>0</v>
      </c>
      <c r="D1858" s="14"/>
      <c r="F1858" s="9" cm="1">
        <f t="array" ref="F1858">SUMPRODUCT((Tablo3[Şehirler]=E1858)*(Tablo3[Ürün Kar Tutarı]))</f>
        <v>0</v>
      </c>
      <c r="H1858" s="14"/>
      <c r="J1858" s="9" cm="1">
        <f t="array" ref="J1858">SUMPRODUCT((Tablo3[Urun Ad]=I1858)*(Tablo3[Ürün Kar Tutarı]))</f>
        <v>0</v>
      </c>
      <c r="L1858" s="37"/>
    </row>
    <row r="1859" spans="1:12" x14ac:dyDescent="0.25">
      <c r="A1859" s="13"/>
      <c r="B1859" s="9" cm="1">
        <f t="array" ref="B1859">SUMPRODUCT((Tablo3[Personel Ad]=A1859)*(Tablo3[Ürün Kar Tutarı]))</f>
        <v>0</v>
      </c>
      <c r="D1859" s="14"/>
      <c r="F1859" s="9" cm="1">
        <f t="array" ref="F1859">SUMPRODUCT((Tablo3[Şehirler]=E1859)*(Tablo3[Ürün Kar Tutarı]))</f>
        <v>0</v>
      </c>
      <c r="H1859" s="14"/>
      <c r="J1859" s="9" cm="1">
        <f t="array" ref="J1859">SUMPRODUCT((Tablo3[Urun Ad]=I1859)*(Tablo3[Ürün Kar Tutarı]))</f>
        <v>0</v>
      </c>
      <c r="L1859" s="37"/>
    </row>
    <row r="1860" spans="1:12" x14ac:dyDescent="0.25">
      <c r="A1860" s="13"/>
      <c r="B1860" s="9" cm="1">
        <f t="array" ref="B1860">SUMPRODUCT((Tablo3[Personel Ad]=A1860)*(Tablo3[Ürün Kar Tutarı]))</f>
        <v>0</v>
      </c>
      <c r="D1860" s="14"/>
      <c r="F1860" s="9" cm="1">
        <f t="array" ref="F1860">SUMPRODUCT((Tablo3[Şehirler]=E1860)*(Tablo3[Ürün Kar Tutarı]))</f>
        <v>0</v>
      </c>
      <c r="H1860" s="14"/>
      <c r="J1860" s="9" cm="1">
        <f t="array" ref="J1860">SUMPRODUCT((Tablo3[Urun Ad]=I1860)*(Tablo3[Ürün Kar Tutarı]))</f>
        <v>0</v>
      </c>
      <c r="L1860" s="37"/>
    </row>
    <row r="1861" spans="1:12" x14ac:dyDescent="0.25">
      <c r="A1861" s="13"/>
      <c r="B1861" s="9" cm="1">
        <f t="array" ref="B1861">SUMPRODUCT((Tablo3[Personel Ad]=A1861)*(Tablo3[Ürün Kar Tutarı]))</f>
        <v>0</v>
      </c>
      <c r="D1861" s="14"/>
      <c r="F1861" s="9" cm="1">
        <f t="array" ref="F1861">SUMPRODUCT((Tablo3[Şehirler]=E1861)*(Tablo3[Ürün Kar Tutarı]))</f>
        <v>0</v>
      </c>
      <c r="H1861" s="14"/>
      <c r="J1861" s="9" cm="1">
        <f t="array" ref="J1861">SUMPRODUCT((Tablo3[Urun Ad]=I1861)*(Tablo3[Ürün Kar Tutarı]))</f>
        <v>0</v>
      </c>
      <c r="L1861" s="37"/>
    </row>
    <row r="1862" spans="1:12" x14ac:dyDescent="0.25">
      <c r="A1862" s="13"/>
      <c r="B1862" s="9" cm="1">
        <f t="array" ref="B1862">SUMPRODUCT((Tablo3[Personel Ad]=A1862)*(Tablo3[Ürün Kar Tutarı]))</f>
        <v>0</v>
      </c>
      <c r="D1862" s="14"/>
      <c r="F1862" s="9" cm="1">
        <f t="array" ref="F1862">SUMPRODUCT((Tablo3[Şehirler]=E1862)*(Tablo3[Ürün Kar Tutarı]))</f>
        <v>0</v>
      </c>
      <c r="H1862" s="14"/>
      <c r="J1862" s="9" cm="1">
        <f t="array" ref="J1862">SUMPRODUCT((Tablo3[Urun Ad]=I1862)*(Tablo3[Ürün Kar Tutarı]))</f>
        <v>0</v>
      </c>
      <c r="L1862" s="37"/>
    </row>
    <row r="1863" spans="1:12" x14ac:dyDescent="0.25">
      <c r="A1863" s="13"/>
      <c r="B1863" s="9" cm="1">
        <f t="array" ref="B1863">SUMPRODUCT((Tablo3[Personel Ad]=A1863)*(Tablo3[Ürün Kar Tutarı]))</f>
        <v>0</v>
      </c>
      <c r="D1863" s="14"/>
      <c r="F1863" s="9" cm="1">
        <f t="array" ref="F1863">SUMPRODUCT((Tablo3[Şehirler]=E1863)*(Tablo3[Ürün Kar Tutarı]))</f>
        <v>0</v>
      </c>
      <c r="H1863" s="14"/>
      <c r="J1863" s="9" cm="1">
        <f t="array" ref="J1863">SUMPRODUCT((Tablo3[Urun Ad]=I1863)*(Tablo3[Ürün Kar Tutarı]))</f>
        <v>0</v>
      </c>
      <c r="L1863" s="37"/>
    </row>
    <row r="1864" spans="1:12" x14ac:dyDescent="0.25">
      <c r="A1864" s="13"/>
      <c r="B1864" s="9" cm="1">
        <f t="array" ref="B1864">SUMPRODUCT((Tablo3[Personel Ad]=A1864)*(Tablo3[Ürün Kar Tutarı]))</f>
        <v>0</v>
      </c>
      <c r="D1864" s="14"/>
      <c r="F1864" s="9" cm="1">
        <f t="array" ref="F1864">SUMPRODUCT((Tablo3[Şehirler]=E1864)*(Tablo3[Ürün Kar Tutarı]))</f>
        <v>0</v>
      </c>
      <c r="H1864" s="14"/>
      <c r="J1864" s="9" cm="1">
        <f t="array" ref="J1864">SUMPRODUCT((Tablo3[Urun Ad]=I1864)*(Tablo3[Ürün Kar Tutarı]))</f>
        <v>0</v>
      </c>
      <c r="L1864" s="37"/>
    </row>
    <row r="1865" spans="1:12" x14ac:dyDescent="0.25">
      <c r="A1865" s="13"/>
      <c r="B1865" s="9" cm="1">
        <f t="array" ref="B1865">SUMPRODUCT((Tablo3[Personel Ad]=A1865)*(Tablo3[Ürün Kar Tutarı]))</f>
        <v>0</v>
      </c>
      <c r="D1865" s="14"/>
      <c r="F1865" s="9" cm="1">
        <f t="array" ref="F1865">SUMPRODUCT((Tablo3[Şehirler]=E1865)*(Tablo3[Ürün Kar Tutarı]))</f>
        <v>0</v>
      </c>
      <c r="H1865" s="14"/>
      <c r="J1865" s="9" cm="1">
        <f t="array" ref="J1865">SUMPRODUCT((Tablo3[Urun Ad]=I1865)*(Tablo3[Ürün Kar Tutarı]))</f>
        <v>0</v>
      </c>
      <c r="L1865" s="37"/>
    </row>
    <row r="1866" spans="1:12" x14ac:dyDescent="0.25">
      <c r="A1866" s="13"/>
      <c r="B1866" s="9" cm="1">
        <f t="array" ref="B1866">SUMPRODUCT((Tablo3[Personel Ad]=A1866)*(Tablo3[Ürün Kar Tutarı]))</f>
        <v>0</v>
      </c>
      <c r="D1866" s="14"/>
      <c r="F1866" s="9" cm="1">
        <f t="array" ref="F1866">SUMPRODUCT((Tablo3[Şehirler]=E1866)*(Tablo3[Ürün Kar Tutarı]))</f>
        <v>0</v>
      </c>
      <c r="H1866" s="14"/>
      <c r="J1866" s="9" cm="1">
        <f t="array" ref="J1866">SUMPRODUCT((Tablo3[Urun Ad]=I1866)*(Tablo3[Ürün Kar Tutarı]))</f>
        <v>0</v>
      </c>
      <c r="L1866" s="37"/>
    </row>
    <row r="1867" spans="1:12" x14ac:dyDescent="0.25">
      <c r="A1867" s="13"/>
      <c r="B1867" s="9" cm="1">
        <f t="array" ref="B1867">SUMPRODUCT((Tablo3[Personel Ad]=A1867)*(Tablo3[Ürün Kar Tutarı]))</f>
        <v>0</v>
      </c>
      <c r="D1867" s="14"/>
      <c r="F1867" s="9" cm="1">
        <f t="array" ref="F1867">SUMPRODUCT((Tablo3[Şehirler]=E1867)*(Tablo3[Ürün Kar Tutarı]))</f>
        <v>0</v>
      </c>
      <c r="H1867" s="14"/>
      <c r="J1867" s="9" cm="1">
        <f t="array" ref="J1867">SUMPRODUCT((Tablo3[Urun Ad]=I1867)*(Tablo3[Ürün Kar Tutarı]))</f>
        <v>0</v>
      </c>
      <c r="L1867" s="37"/>
    </row>
    <row r="1868" spans="1:12" x14ac:dyDescent="0.25">
      <c r="A1868" s="13"/>
      <c r="B1868" s="9" cm="1">
        <f t="array" ref="B1868">SUMPRODUCT((Tablo3[Personel Ad]=A1868)*(Tablo3[Ürün Kar Tutarı]))</f>
        <v>0</v>
      </c>
      <c r="D1868" s="14"/>
      <c r="F1868" s="9" cm="1">
        <f t="array" ref="F1868">SUMPRODUCT((Tablo3[Şehirler]=E1868)*(Tablo3[Ürün Kar Tutarı]))</f>
        <v>0</v>
      </c>
      <c r="H1868" s="14"/>
      <c r="J1868" s="9" cm="1">
        <f t="array" ref="J1868">SUMPRODUCT((Tablo3[Urun Ad]=I1868)*(Tablo3[Ürün Kar Tutarı]))</f>
        <v>0</v>
      </c>
      <c r="L1868" s="37"/>
    </row>
    <row r="1869" spans="1:12" x14ac:dyDescent="0.25">
      <c r="A1869" s="13"/>
      <c r="B1869" s="9" cm="1">
        <f t="array" ref="B1869">SUMPRODUCT((Tablo3[Personel Ad]=A1869)*(Tablo3[Ürün Kar Tutarı]))</f>
        <v>0</v>
      </c>
      <c r="D1869" s="14"/>
      <c r="F1869" s="9" cm="1">
        <f t="array" ref="F1869">SUMPRODUCT((Tablo3[Şehirler]=E1869)*(Tablo3[Ürün Kar Tutarı]))</f>
        <v>0</v>
      </c>
      <c r="H1869" s="14"/>
      <c r="J1869" s="9" cm="1">
        <f t="array" ref="J1869">SUMPRODUCT((Tablo3[Urun Ad]=I1869)*(Tablo3[Ürün Kar Tutarı]))</f>
        <v>0</v>
      </c>
      <c r="L1869" s="37"/>
    </row>
    <row r="1870" spans="1:12" x14ac:dyDescent="0.25">
      <c r="A1870" s="13"/>
      <c r="B1870" s="9" cm="1">
        <f t="array" ref="B1870">SUMPRODUCT((Tablo3[Personel Ad]=A1870)*(Tablo3[Ürün Kar Tutarı]))</f>
        <v>0</v>
      </c>
      <c r="D1870" s="14"/>
      <c r="F1870" s="9" cm="1">
        <f t="array" ref="F1870">SUMPRODUCT((Tablo3[Şehirler]=E1870)*(Tablo3[Ürün Kar Tutarı]))</f>
        <v>0</v>
      </c>
      <c r="H1870" s="14"/>
      <c r="J1870" s="9" cm="1">
        <f t="array" ref="J1870">SUMPRODUCT((Tablo3[Urun Ad]=I1870)*(Tablo3[Ürün Kar Tutarı]))</f>
        <v>0</v>
      </c>
      <c r="L1870" s="37"/>
    </row>
    <row r="1871" spans="1:12" x14ac:dyDescent="0.25">
      <c r="A1871" s="13"/>
      <c r="B1871" s="9" cm="1">
        <f t="array" ref="B1871">SUMPRODUCT((Tablo3[Personel Ad]=A1871)*(Tablo3[Ürün Kar Tutarı]))</f>
        <v>0</v>
      </c>
      <c r="D1871" s="14"/>
      <c r="F1871" s="9" cm="1">
        <f t="array" ref="F1871">SUMPRODUCT((Tablo3[Şehirler]=E1871)*(Tablo3[Ürün Kar Tutarı]))</f>
        <v>0</v>
      </c>
      <c r="H1871" s="14"/>
      <c r="J1871" s="9" cm="1">
        <f t="array" ref="J1871">SUMPRODUCT((Tablo3[Urun Ad]=I1871)*(Tablo3[Ürün Kar Tutarı]))</f>
        <v>0</v>
      </c>
      <c r="L1871" s="37"/>
    </row>
    <row r="1872" spans="1:12" x14ac:dyDescent="0.25">
      <c r="A1872" s="13"/>
      <c r="B1872" s="9" cm="1">
        <f t="array" ref="B1872">SUMPRODUCT((Tablo3[Personel Ad]=A1872)*(Tablo3[Ürün Kar Tutarı]))</f>
        <v>0</v>
      </c>
      <c r="D1872" s="14"/>
      <c r="F1872" s="9" cm="1">
        <f t="array" ref="F1872">SUMPRODUCT((Tablo3[Şehirler]=E1872)*(Tablo3[Ürün Kar Tutarı]))</f>
        <v>0</v>
      </c>
      <c r="H1872" s="14"/>
      <c r="J1872" s="9" cm="1">
        <f t="array" ref="J1872">SUMPRODUCT((Tablo3[Urun Ad]=I1872)*(Tablo3[Ürün Kar Tutarı]))</f>
        <v>0</v>
      </c>
      <c r="L1872" s="37"/>
    </row>
    <row r="1873" spans="1:12" x14ac:dyDescent="0.25">
      <c r="A1873" s="13"/>
      <c r="B1873" s="9" cm="1">
        <f t="array" ref="B1873">SUMPRODUCT((Tablo3[Personel Ad]=A1873)*(Tablo3[Ürün Kar Tutarı]))</f>
        <v>0</v>
      </c>
      <c r="D1873" s="14"/>
      <c r="F1873" s="9" cm="1">
        <f t="array" ref="F1873">SUMPRODUCT((Tablo3[Şehirler]=E1873)*(Tablo3[Ürün Kar Tutarı]))</f>
        <v>0</v>
      </c>
      <c r="H1873" s="14"/>
      <c r="J1873" s="9" cm="1">
        <f t="array" ref="J1873">SUMPRODUCT((Tablo3[Urun Ad]=I1873)*(Tablo3[Ürün Kar Tutarı]))</f>
        <v>0</v>
      </c>
      <c r="L1873" s="37"/>
    </row>
    <row r="1874" spans="1:12" x14ac:dyDescent="0.25">
      <c r="A1874" s="13"/>
      <c r="B1874" s="9" cm="1">
        <f t="array" ref="B1874">SUMPRODUCT((Tablo3[Personel Ad]=A1874)*(Tablo3[Ürün Kar Tutarı]))</f>
        <v>0</v>
      </c>
      <c r="D1874" s="14"/>
      <c r="F1874" s="9" cm="1">
        <f t="array" ref="F1874">SUMPRODUCT((Tablo3[Şehirler]=E1874)*(Tablo3[Ürün Kar Tutarı]))</f>
        <v>0</v>
      </c>
      <c r="H1874" s="14"/>
      <c r="J1874" s="9" cm="1">
        <f t="array" ref="J1874">SUMPRODUCT((Tablo3[Urun Ad]=I1874)*(Tablo3[Ürün Kar Tutarı]))</f>
        <v>0</v>
      </c>
      <c r="L1874" s="37"/>
    </row>
    <row r="1875" spans="1:12" x14ac:dyDescent="0.25">
      <c r="A1875" s="13"/>
      <c r="B1875" s="9" cm="1">
        <f t="array" ref="B1875">SUMPRODUCT((Tablo3[Personel Ad]=A1875)*(Tablo3[Ürün Kar Tutarı]))</f>
        <v>0</v>
      </c>
      <c r="D1875" s="14"/>
      <c r="F1875" s="9" cm="1">
        <f t="array" ref="F1875">SUMPRODUCT((Tablo3[Şehirler]=E1875)*(Tablo3[Ürün Kar Tutarı]))</f>
        <v>0</v>
      </c>
      <c r="H1875" s="14"/>
      <c r="J1875" s="9" cm="1">
        <f t="array" ref="J1875">SUMPRODUCT((Tablo3[Urun Ad]=I1875)*(Tablo3[Ürün Kar Tutarı]))</f>
        <v>0</v>
      </c>
      <c r="L1875" s="37"/>
    </row>
    <row r="1876" spans="1:12" x14ac:dyDescent="0.25">
      <c r="A1876" s="13"/>
      <c r="B1876" s="9" cm="1">
        <f t="array" ref="B1876">SUMPRODUCT((Tablo3[Personel Ad]=A1876)*(Tablo3[Ürün Kar Tutarı]))</f>
        <v>0</v>
      </c>
      <c r="D1876" s="14"/>
      <c r="F1876" s="9" cm="1">
        <f t="array" ref="F1876">SUMPRODUCT((Tablo3[Şehirler]=E1876)*(Tablo3[Ürün Kar Tutarı]))</f>
        <v>0</v>
      </c>
      <c r="H1876" s="14"/>
      <c r="J1876" s="9" cm="1">
        <f t="array" ref="J1876">SUMPRODUCT((Tablo3[Urun Ad]=I1876)*(Tablo3[Ürün Kar Tutarı]))</f>
        <v>0</v>
      </c>
      <c r="L1876" s="37"/>
    </row>
    <row r="1877" spans="1:12" x14ac:dyDescent="0.25">
      <c r="A1877" s="13"/>
      <c r="B1877" s="9" cm="1">
        <f t="array" ref="B1877">SUMPRODUCT((Tablo3[Personel Ad]=A1877)*(Tablo3[Ürün Kar Tutarı]))</f>
        <v>0</v>
      </c>
      <c r="D1877" s="14"/>
      <c r="F1877" s="9" cm="1">
        <f t="array" ref="F1877">SUMPRODUCT((Tablo3[Şehirler]=E1877)*(Tablo3[Ürün Kar Tutarı]))</f>
        <v>0</v>
      </c>
      <c r="H1877" s="14"/>
      <c r="J1877" s="9" cm="1">
        <f t="array" ref="J1877">SUMPRODUCT((Tablo3[Urun Ad]=I1877)*(Tablo3[Ürün Kar Tutarı]))</f>
        <v>0</v>
      </c>
      <c r="L1877" s="37"/>
    </row>
    <row r="1878" spans="1:12" x14ac:dyDescent="0.25">
      <c r="A1878" s="13"/>
      <c r="B1878" s="9" cm="1">
        <f t="array" ref="B1878">SUMPRODUCT((Tablo3[Personel Ad]=A1878)*(Tablo3[Ürün Kar Tutarı]))</f>
        <v>0</v>
      </c>
      <c r="D1878" s="14"/>
      <c r="F1878" s="9" cm="1">
        <f t="array" ref="F1878">SUMPRODUCT((Tablo3[Şehirler]=E1878)*(Tablo3[Ürün Kar Tutarı]))</f>
        <v>0</v>
      </c>
      <c r="H1878" s="14"/>
      <c r="J1878" s="9" cm="1">
        <f t="array" ref="J1878">SUMPRODUCT((Tablo3[Urun Ad]=I1878)*(Tablo3[Ürün Kar Tutarı]))</f>
        <v>0</v>
      </c>
      <c r="L1878" s="37"/>
    </row>
    <row r="1879" spans="1:12" x14ac:dyDescent="0.25">
      <c r="A1879" s="13"/>
      <c r="B1879" s="9" cm="1">
        <f t="array" ref="B1879">SUMPRODUCT((Tablo3[Personel Ad]=A1879)*(Tablo3[Ürün Kar Tutarı]))</f>
        <v>0</v>
      </c>
      <c r="D1879" s="14"/>
      <c r="F1879" s="9" cm="1">
        <f t="array" ref="F1879">SUMPRODUCT((Tablo3[Şehirler]=E1879)*(Tablo3[Ürün Kar Tutarı]))</f>
        <v>0</v>
      </c>
      <c r="H1879" s="14"/>
      <c r="J1879" s="9" cm="1">
        <f t="array" ref="J1879">SUMPRODUCT((Tablo3[Urun Ad]=I1879)*(Tablo3[Ürün Kar Tutarı]))</f>
        <v>0</v>
      </c>
      <c r="L1879" s="37"/>
    </row>
    <row r="1880" spans="1:12" x14ac:dyDescent="0.25">
      <c r="A1880" s="13"/>
      <c r="B1880" s="9" cm="1">
        <f t="array" ref="B1880">SUMPRODUCT((Tablo3[Personel Ad]=A1880)*(Tablo3[Ürün Kar Tutarı]))</f>
        <v>0</v>
      </c>
      <c r="D1880" s="14"/>
      <c r="F1880" s="9" cm="1">
        <f t="array" ref="F1880">SUMPRODUCT((Tablo3[Şehirler]=E1880)*(Tablo3[Ürün Kar Tutarı]))</f>
        <v>0</v>
      </c>
      <c r="H1880" s="14"/>
      <c r="J1880" s="9" cm="1">
        <f t="array" ref="J1880">SUMPRODUCT((Tablo3[Urun Ad]=I1880)*(Tablo3[Ürün Kar Tutarı]))</f>
        <v>0</v>
      </c>
      <c r="L1880" s="37"/>
    </row>
    <row r="1881" spans="1:12" x14ac:dyDescent="0.25">
      <c r="A1881" s="13"/>
      <c r="B1881" s="9" cm="1">
        <f t="array" ref="B1881">SUMPRODUCT((Tablo3[Personel Ad]=A1881)*(Tablo3[Ürün Kar Tutarı]))</f>
        <v>0</v>
      </c>
      <c r="D1881" s="14"/>
      <c r="F1881" s="9" cm="1">
        <f t="array" ref="F1881">SUMPRODUCT((Tablo3[Şehirler]=E1881)*(Tablo3[Ürün Kar Tutarı]))</f>
        <v>0</v>
      </c>
      <c r="H1881" s="14"/>
      <c r="J1881" s="9" cm="1">
        <f t="array" ref="J1881">SUMPRODUCT((Tablo3[Urun Ad]=I1881)*(Tablo3[Ürün Kar Tutarı]))</f>
        <v>0</v>
      </c>
      <c r="L1881" s="37"/>
    </row>
    <row r="1882" spans="1:12" x14ac:dyDescent="0.25">
      <c r="A1882" s="13"/>
      <c r="B1882" s="9" cm="1">
        <f t="array" ref="B1882">SUMPRODUCT((Tablo3[Personel Ad]=A1882)*(Tablo3[Ürün Kar Tutarı]))</f>
        <v>0</v>
      </c>
      <c r="D1882" s="14"/>
      <c r="F1882" s="9" cm="1">
        <f t="array" ref="F1882">SUMPRODUCT((Tablo3[Şehirler]=E1882)*(Tablo3[Ürün Kar Tutarı]))</f>
        <v>0</v>
      </c>
      <c r="H1882" s="14"/>
      <c r="J1882" s="9" cm="1">
        <f t="array" ref="J1882">SUMPRODUCT((Tablo3[Urun Ad]=I1882)*(Tablo3[Ürün Kar Tutarı]))</f>
        <v>0</v>
      </c>
      <c r="L1882" s="37"/>
    </row>
    <row r="1883" spans="1:12" x14ac:dyDescent="0.25">
      <c r="A1883" s="13"/>
      <c r="B1883" s="9" cm="1">
        <f t="array" ref="B1883">SUMPRODUCT((Tablo3[Personel Ad]=A1883)*(Tablo3[Ürün Kar Tutarı]))</f>
        <v>0</v>
      </c>
      <c r="D1883" s="14"/>
      <c r="F1883" s="9" cm="1">
        <f t="array" ref="F1883">SUMPRODUCT((Tablo3[Şehirler]=E1883)*(Tablo3[Ürün Kar Tutarı]))</f>
        <v>0</v>
      </c>
      <c r="H1883" s="14"/>
      <c r="J1883" s="9" cm="1">
        <f t="array" ref="J1883">SUMPRODUCT((Tablo3[Urun Ad]=I1883)*(Tablo3[Ürün Kar Tutarı]))</f>
        <v>0</v>
      </c>
      <c r="L1883" s="37"/>
    </row>
    <row r="1884" spans="1:12" x14ac:dyDescent="0.25">
      <c r="A1884" s="13"/>
      <c r="B1884" s="9" cm="1">
        <f t="array" ref="B1884">SUMPRODUCT((Tablo3[Personel Ad]=A1884)*(Tablo3[Ürün Kar Tutarı]))</f>
        <v>0</v>
      </c>
      <c r="D1884" s="14"/>
      <c r="F1884" s="9" cm="1">
        <f t="array" ref="F1884">SUMPRODUCT((Tablo3[Şehirler]=E1884)*(Tablo3[Ürün Kar Tutarı]))</f>
        <v>0</v>
      </c>
      <c r="H1884" s="14"/>
      <c r="J1884" s="9" cm="1">
        <f t="array" ref="J1884">SUMPRODUCT((Tablo3[Urun Ad]=I1884)*(Tablo3[Ürün Kar Tutarı]))</f>
        <v>0</v>
      </c>
      <c r="L1884" s="37"/>
    </row>
    <row r="1885" spans="1:12" x14ac:dyDescent="0.25">
      <c r="A1885" s="13"/>
      <c r="B1885" s="9" cm="1">
        <f t="array" ref="B1885">SUMPRODUCT((Tablo3[Personel Ad]=A1885)*(Tablo3[Ürün Kar Tutarı]))</f>
        <v>0</v>
      </c>
      <c r="D1885" s="14"/>
      <c r="F1885" s="9" cm="1">
        <f t="array" ref="F1885">SUMPRODUCT((Tablo3[Şehirler]=E1885)*(Tablo3[Ürün Kar Tutarı]))</f>
        <v>0</v>
      </c>
      <c r="H1885" s="14"/>
      <c r="J1885" s="9" cm="1">
        <f t="array" ref="J1885">SUMPRODUCT((Tablo3[Urun Ad]=I1885)*(Tablo3[Ürün Kar Tutarı]))</f>
        <v>0</v>
      </c>
      <c r="L1885" s="37"/>
    </row>
    <row r="1886" spans="1:12" x14ac:dyDescent="0.25">
      <c r="A1886" s="13"/>
      <c r="B1886" s="9" cm="1">
        <f t="array" ref="B1886">SUMPRODUCT((Tablo3[Personel Ad]=A1886)*(Tablo3[Ürün Kar Tutarı]))</f>
        <v>0</v>
      </c>
      <c r="D1886" s="14"/>
      <c r="F1886" s="9" cm="1">
        <f t="array" ref="F1886">SUMPRODUCT((Tablo3[Şehirler]=E1886)*(Tablo3[Ürün Kar Tutarı]))</f>
        <v>0</v>
      </c>
      <c r="H1886" s="14"/>
      <c r="J1886" s="9" cm="1">
        <f t="array" ref="J1886">SUMPRODUCT((Tablo3[Urun Ad]=I1886)*(Tablo3[Ürün Kar Tutarı]))</f>
        <v>0</v>
      </c>
      <c r="L1886" s="37"/>
    </row>
    <row r="1887" spans="1:12" x14ac:dyDescent="0.25">
      <c r="A1887" s="13"/>
      <c r="B1887" s="9" cm="1">
        <f t="array" ref="B1887">SUMPRODUCT((Tablo3[Personel Ad]=A1887)*(Tablo3[Ürün Kar Tutarı]))</f>
        <v>0</v>
      </c>
      <c r="D1887" s="14"/>
      <c r="F1887" s="9" cm="1">
        <f t="array" ref="F1887">SUMPRODUCT((Tablo3[Şehirler]=E1887)*(Tablo3[Ürün Kar Tutarı]))</f>
        <v>0</v>
      </c>
      <c r="H1887" s="14"/>
      <c r="J1887" s="9" cm="1">
        <f t="array" ref="J1887">SUMPRODUCT((Tablo3[Urun Ad]=I1887)*(Tablo3[Ürün Kar Tutarı]))</f>
        <v>0</v>
      </c>
      <c r="L1887" s="37"/>
    </row>
    <row r="1888" spans="1:12" x14ac:dyDescent="0.25">
      <c r="A1888" s="13"/>
      <c r="B1888" s="9" cm="1">
        <f t="array" ref="B1888">SUMPRODUCT((Tablo3[Personel Ad]=A1888)*(Tablo3[Ürün Kar Tutarı]))</f>
        <v>0</v>
      </c>
      <c r="D1888" s="14"/>
      <c r="F1888" s="9" cm="1">
        <f t="array" ref="F1888">SUMPRODUCT((Tablo3[Şehirler]=E1888)*(Tablo3[Ürün Kar Tutarı]))</f>
        <v>0</v>
      </c>
      <c r="H1888" s="14"/>
      <c r="J1888" s="9" cm="1">
        <f t="array" ref="J1888">SUMPRODUCT((Tablo3[Urun Ad]=I1888)*(Tablo3[Ürün Kar Tutarı]))</f>
        <v>0</v>
      </c>
      <c r="L1888" s="37"/>
    </row>
    <row r="1889" spans="1:12" x14ac:dyDescent="0.25">
      <c r="A1889" s="13"/>
      <c r="B1889" s="9" cm="1">
        <f t="array" ref="B1889">SUMPRODUCT((Tablo3[Personel Ad]=A1889)*(Tablo3[Ürün Kar Tutarı]))</f>
        <v>0</v>
      </c>
      <c r="D1889" s="14"/>
      <c r="F1889" s="9" cm="1">
        <f t="array" ref="F1889">SUMPRODUCT((Tablo3[Şehirler]=E1889)*(Tablo3[Ürün Kar Tutarı]))</f>
        <v>0</v>
      </c>
      <c r="H1889" s="14"/>
      <c r="J1889" s="9" cm="1">
        <f t="array" ref="J1889">SUMPRODUCT((Tablo3[Urun Ad]=I1889)*(Tablo3[Ürün Kar Tutarı]))</f>
        <v>0</v>
      </c>
      <c r="L1889" s="37"/>
    </row>
    <row r="1890" spans="1:12" x14ac:dyDescent="0.25">
      <c r="A1890" s="13"/>
      <c r="B1890" s="9" cm="1">
        <f t="array" ref="B1890">SUMPRODUCT((Tablo3[Personel Ad]=A1890)*(Tablo3[Ürün Kar Tutarı]))</f>
        <v>0</v>
      </c>
      <c r="D1890" s="14"/>
      <c r="F1890" s="9" cm="1">
        <f t="array" ref="F1890">SUMPRODUCT((Tablo3[Şehirler]=E1890)*(Tablo3[Ürün Kar Tutarı]))</f>
        <v>0</v>
      </c>
      <c r="H1890" s="14"/>
      <c r="J1890" s="9" cm="1">
        <f t="array" ref="J1890">SUMPRODUCT((Tablo3[Urun Ad]=I1890)*(Tablo3[Ürün Kar Tutarı]))</f>
        <v>0</v>
      </c>
      <c r="L1890" s="37"/>
    </row>
    <row r="1891" spans="1:12" x14ac:dyDescent="0.25">
      <c r="A1891" s="13"/>
      <c r="B1891" s="9" cm="1">
        <f t="array" ref="B1891">SUMPRODUCT((Tablo3[Personel Ad]=A1891)*(Tablo3[Ürün Kar Tutarı]))</f>
        <v>0</v>
      </c>
      <c r="D1891" s="14"/>
      <c r="F1891" s="9" cm="1">
        <f t="array" ref="F1891">SUMPRODUCT((Tablo3[Şehirler]=E1891)*(Tablo3[Ürün Kar Tutarı]))</f>
        <v>0</v>
      </c>
      <c r="H1891" s="14"/>
      <c r="J1891" s="9" cm="1">
        <f t="array" ref="J1891">SUMPRODUCT((Tablo3[Urun Ad]=I1891)*(Tablo3[Ürün Kar Tutarı]))</f>
        <v>0</v>
      </c>
      <c r="L1891" s="37"/>
    </row>
    <row r="1892" spans="1:12" x14ac:dyDescent="0.25">
      <c r="A1892" s="13"/>
      <c r="B1892" s="9" cm="1">
        <f t="array" ref="B1892">SUMPRODUCT((Tablo3[Personel Ad]=A1892)*(Tablo3[Ürün Kar Tutarı]))</f>
        <v>0</v>
      </c>
      <c r="D1892" s="14"/>
      <c r="F1892" s="9" cm="1">
        <f t="array" ref="F1892">SUMPRODUCT((Tablo3[Şehirler]=E1892)*(Tablo3[Ürün Kar Tutarı]))</f>
        <v>0</v>
      </c>
      <c r="H1892" s="14"/>
      <c r="J1892" s="9" cm="1">
        <f t="array" ref="J1892">SUMPRODUCT((Tablo3[Urun Ad]=I1892)*(Tablo3[Ürün Kar Tutarı]))</f>
        <v>0</v>
      </c>
      <c r="L1892" s="37"/>
    </row>
    <row r="1893" spans="1:12" x14ac:dyDescent="0.25">
      <c r="A1893" s="13"/>
      <c r="B1893" s="9" cm="1">
        <f t="array" ref="B1893">SUMPRODUCT((Tablo3[Personel Ad]=A1893)*(Tablo3[Ürün Kar Tutarı]))</f>
        <v>0</v>
      </c>
      <c r="D1893" s="14"/>
      <c r="F1893" s="9" cm="1">
        <f t="array" ref="F1893">SUMPRODUCT((Tablo3[Şehirler]=E1893)*(Tablo3[Ürün Kar Tutarı]))</f>
        <v>0</v>
      </c>
      <c r="H1893" s="14"/>
      <c r="J1893" s="9" cm="1">
        <f t="array" ref="J1893">SUMPRODUCT((Tablo3[Urun Ad]=I1893)*(Tablo3[Ürün Kar Tutarı]))</f>
        <v>0</v>
      </c>
      <c r="L1893" s="37"/>
    </row>
    <row r="1894" spans="1:12" x14ac:dyDescent="0.25">
      <c r="A1894" s="13"/>
      <c r="B1894" s="9" cm="1">
        <f t="array" ref="B1894">SUMPRODUCT((Tablo3[Personel Ad]=A1894)*(Tablo3[Ürün Kar Tutarı]))</f>
        <v>0</v>
      </c>
      <c r="D1894" s="14"/>
      <c r="F1894" s="9" cm="1">
        <f t="array" ref="F1894">SUMPRODUCT((Tablo3[Şehirler]=E1894)*(Tablo3[Ürün Kar Tutarı]))</f>
        <v>0</v>
      </c>
      <c r="H1894" s="14"/>
      <c r="J1894" s="9" cm="1">
        <f t="array" ref="J1894">SUMPRODUCT((Tablo3[Urun Ad]=I1894)*(Tablo3[Ürün Kar Tutarı]))</f>
        <v>0</v>
      </c>
      <c r="L1894" s="37"/>
    </row>
    <row r="1895" spans="1:12" x14ac:dyDescent="0.25">
      <c r="A1895" s="13"/>
      <c r="B1895" s="9" cm="1">
        <f t="array" ref="B1895">SUMPRODUCT((Tablo3[Personel Ad]=A1895)*(Tablo3[Ürün Kar Tutarı]))</f>
        <v>0</v>
      </c>
      <c r="D1895" s="14"/>
      <c r="F1895" s="9" cm="1">
        <f t="array" ref="F1895">SUMPRODUCT((Tablo3[Şehirler]=E1895)*(Tablo3[Ürün Kar Tutarı]))</f>
        <v>0</v>
      </c>
      <c r="H1895" s="14"/>
      <c r="J1895" s="9" cm="1">
        <f t="array" ref="J1895">SUMPRODUCT((Tablo3[Urun Ad]=I1895)*(Tablo3[Ürün Kar Tutarı]))</f>
        <v>0</v>
      </c>
      <c r="L1895" s="37"/>
    </row>
    <row r="1896" spans="1:12" x14ac:dyDescent="0.25">
      <c r="A1896" s="13"/>
      <c r="B1896" s="9" cm="1">
        <f t="array" ref="B1896">SUMPRODUCT((Tablo3[Personel Ad]=A1896)*(Tablo3[Ürün Kar Tutarı]))</f>
        <v>0</v>
      </c>
      <c r="D1896" s="14"/>
      <c r="F1896" s="9" cm="1">
        <f t="array" ref="F1896">SUMPRODUCT((Tablo3[Şehirler]=E1896)*(Tablo3[Ürün Kar Tutarı]))</f>
        <v>0</v>
      </c>
      <c r="H1896" s="14"/>
      <c r="J1896" s="9" cm="1">
        <f t="array" ref="J1896">SUMPRODUCT((Tablo3[Urun Ad]=I1896)*(Tablo3[Ürün Kar Tutarı]))</f>
        <v>0</v>
      </c>
      <c r="L1896" s="37"/>
    </row>
    <row r="1897" spans="1:12" x14ac:dyDescent="0.25">
      <c r="A1897" s="13"/>
      <c r="B1897" s="9" cm="1">
        <f t="array" ref="B1897">SUMPRODUCT((Tablo3[Personel Ad]=A1897)*(Tablo3[Ürün Kar Tutarı]))</f>
        <v>0</v>
      </c>
      <c r="D1897" s="14"/>
      <c r="F1897" s="9" cm="1">
        <f t="array" ref="F1897">SUMPRODUCT((Tablo3[Şehirler]=E1897)*(Tablo3[Ürün Kar Tutarı]))</f>
        <v>0</v>
      </c>
      <c r="H1897" s="14"/>
      <c r="J1897" s="9" cm="1">
        <f t="array" ref="J1897">SUMPRODUCT((Tablo3[Urun Ad]=I1897)*(Tablo3[Ürün Kar Tutarı]))</f>
        <v>0</v>
      </c>
      <c r="L1897" s="37"/>
    </row>
    <row r="1898" spans="1:12" x14ac:dyDescent="0.25">
      <c r="A1898" s="13"/>
      <c r="B1898" s="9" cm="1">
        <f t="array" ref="B1898">SUMPRODUCT((Tablo3[Personel Ad]=A1898)*(Tablo3[Ürün Kar Tutarı]))</f>
        <v>0</v>
      </c>
      <c r="D1898" s="14"/>
      <c r="F1898" s="9" cm="1">
        <f t="array" ref="F1898">SUMPRODUCT((Tablo3[Şehirler]=E1898)*(Tablo3[Ürün Kar Tutarı]))</f>
        <v>0</v>
      </c>
      <c r="H1898" s="14"/>
      <c r="J1898" s="9" cm="1">
        <f t="array" ref="J1898">SUMPRODUCT((Tablo3[Urun Ad]=I1898)*(Tablo3[Ürün Kar Tutarı]))</f>
        <v>0</v>
      </c>
      <c r="L1898" s="37"/>
    </row>
    <row r="1899" spans="1:12" x14ac:dyDescent="0.25">
      <c r="A1899" s="13"/>
      <c r="B1899" s="9" cm="1">
        <f t="array" ref="B1899">SUMPRODUCT((Tablo3[Personel Ad]=A1899)*(Tablo3[Ürün Kar Tutarı]))</f>
        <v>0</v>
      </c>
      <c r="D1899" s="14"/>
      <c r="F1899" s="9" cm="1">
        <f t="array" ref="F1899">SUMPRODUCT((Tablo3[Şehirler]=E1899)*(Tablo3[Ürün Kar Tutarı]))</f>
        <v>0</v>
      </c>
      <c r="H1899" s="14"/>
      <c r="J1899" s="9" cm="1">
        <f t="array" ref="J1899">SUMPRODUCT((Tablo3[Urun Ad]=I1899)*(Tablo3[Ürün Kar Tutarı]))</f>
        <v>0</v>
      </c>
      <c r="L1899" s="37"/>
    </row>
    <row r="1900" spans="1:12" x14ac:dyDescent="0.25">
      <c r="A1900" s="13"/>
      <c r="B1900" s="9" cm="1">
        <f t="array" ref="B1900">SUMPRODUCT((Tablo3[Personel Ad]=A1900)*(Tablo3[Ürün Kar Tutarı]))</f>
        <v>0</v>
      </c>
      <c r="D1900" s="14"/>
      <c r="F1900" s="9" cm="1">
        <f t="array" ref="F1900">SUMPRODUCT((Tablo3[Şehirler]=E1900)*(Tablo3[Ürün Kar Tutarı]))</f>
        <v>0</v>
      </c>
      <c r="H1900" s="14"/>
      <c r="J1900" s="9" cm="1">
        <f t="array" ref="J1900">SUMPRODUCT((Tablo3[Urun Ad]=I1900)*(Tablo3[Ürün Kar Tutarı]))</f>
        <v>0</v>
      </c>
      <c r="L1900" s="37"/>
    </row>
    <row r="1901" spans="1:12" x14ac:dyDescent="0.25">
      <c r="A1901" s="13"/>
      <c r="B1901" s="9" cm="1">
        <f t="array" ref="B1901">SUMPRODUCT((Tablo3[Personel Ad]=A1901)*(Tablo3[Ürün Kar Tutarı]))</f>
        <v>0</v>
      </c>
      <c r="D1901" s="14"/>
      <c r="F1901" s="9" cm="1">
        <f t="array" ref="F1901">SUMPRODUCT((Tablo3[Şehirler]=E1901)*(Tablo3[Ürün Kar Tutarı]))</f>
        <v>0</v>
      </c>
      <c r="H1901" s="14"/>
      <c r="J1901" s="9" cm="1">
        <f t="array" ref="J1901">SUMPRODUCT((Tablo3[Urun Ad]=I1901)*(Tablo3[Ürün Kar Tutarı]))</f>
        <v>0</v>
      </c>
      <c r="L1901" s="37"/>
    </row>
    <row r="1902" spans="1:12" x14ac:dyDescent="0.25">
      <c r="A1902" s="13"/>
      <c r="B1902" s="9" cm="1">
        <f t="array" ref="B1902">SUMPRODUCT((Tablo3[Personel Ad]=A1902)*(Tablo3[Ürün Kar Tutarı]))</f>
        <v>0</v>
      </c>
      <c r="D1902" s="14"/>
      <c r="F1902" s="9" cm="1">
        <f t="array" ref="F1902">SUMPRODUCT((Tablo3[Şehirler]=E1902)*(Tablo3[Ürün Kar Tutarı]))</f>
        <v>0</v>
      </c>
      <c r="H1902" s="14"/>
      <c r="J1902" s="9" cm="1">
        <f t="array" ref="J1902">SUMPRODUCT((Tablo3[Urun Ad]=I1902)*(Tablo3[Ürün Kar Tutarı]))</f>
        <v>0</v>
      </c>
      <c r="L1902" s="37"/>
    </row>
    <row r="1903" spans="1:12" x14ac:dyDescent="0.25">
      <c r="A1903" s="13"/>
      <c r="B1903" s="9" cm="1">
        <f t="array" ref="B1903">SUMPRODUCT((Tablo3[Personel Ad]=A1903)*(Tablo3[Ürün Kar Tutarı]))</f>
        <v>0</v>
      </c>
      <c r="D1903" s="14"/>
      <c r="F1903" s="9" cm="1">
        <f t="array" ref="F1903">SUMPRODUCT((Tablo3[Şehirler]=E1903)*(Tablo3[Ürün Kar Tutarı]))</f>
        <v>0</v>
      </c>
      <c r="H1903" s="14"/>
      <c r="J1903" s="9" cm="1">
        <f t="array" ref="J1903">SUMPRODUCT((Tablo3[Urun Ad]=I1903)*(Tablo3[Ürün Kar Tutarı]))</f>
        <v>0</v>
      </c>
      <c r="L1903" s="37"/>
    </row>
    <row r="1904" spans="1:12" x14ac:dyDescent="0.25">
      <c r="A1904" s="13"/>
      <c r="B1904" s="9" cm="1">
        <f t="array" ref="B1904">SUMPRODUCT((Tablo3[Personel Ad]=A1904)*(Tablo3[Ürün Kar Tutarı]))</f>
        <v>0</v>
      </c>
      <c r="D1904" s="14"/>
      <c r="F1904" s="9" cm="1">
        <f t="array" ref="F1904">SUMPRODUCT((Tablo3[Şehirler]=E1904)*(Tablo3[Ürün Kar Tutarı]))</f>
        <v>0</v>
      </c>
      <c r="H1904" s="14"/>
      <c r="J1904" s="9" cm="1">
        <f t="array" ref="J1904">SUMPRODUCT((Tablo3[Urun Ad]=I1904)*(Tablo3[Ürün Kar Tutarı]))</f>
        <v>0</v>
      </c>
      <c r="L1904" s="37"/>
    </row>
    <row r="1905" spans="1:12" x14ac:dyDescent="0.25">
      <c r="A1905" s="13"/>
      <c r="B1905" s="9" cm="1">
        <f t="array" ref="B1905">SUMPRODUCT((Tablo3[Personel Ad]=A1905)*(Tablo3[Ürün Kar Tutarı]))</f>
        <v>0</v>
      </c>
      <c r="D1905" s="14"/>
      <c r="F1905" s="9" cm="1">
        <f t="array" ref="F1905">SUMPRODUCT((Tablo3[Şehirler]=E1905)*(Tablo3[Ürün Kar Tutarı]))</f>
        <v>0</v>
      </c>
      <c r="H1905" s="14"/>
      <c r="J1905" s="9" cm="1">
        <f t="array" ref="J1905">SUMPRODUCT((Tablo3[Urun Ad]=I1905)*(Tablo3[Ürün Kar Tutarı]))</f>
        <v>0</v>
      </c>
      <c r="L1905" s="37"/>
    </row>
    <row r="1906" spans="1:12" x14ac:dyDescent="0.25">
      <c r="A1906" s="13"/>
      <c r="B1906" s="9" cm="1">
        <f t="array" ref="B1906">SUMPRODUCT((Tablo3[Personel Ad]=A1906)*(Tablo3[Ürün Kar Tutarı]))</f>
        <v>0</v>
      </c>
      <c r="D1906" s="14"/>
      <c r="F1906" s="9" cm="1">
        <f t="array" ref="F1906">SUMPRODUCT((Tablo3[Şehirler]=E1906)*(Tablo3[Ürün Kar Tutarı]))</f>
        <v>0</v>
      </c>
      <c r="H1906" s="14"/>
      <c r="J1906" s="9" cm="1">
        <f t="array" ref="J1906">SUMPRODUCT((Tablo3[Urun Ad]=I1906)*(Tablo3[Ürün Kar Tutarı]))</f>
        <v>0</v>
      </c>
      <c r="L1906" s="37"/>
    </row>
    <row r="1907" spans="1:12" x14ac:dyDescent="0.25">
      <c r="A1907" s="13"/>
      <c r="B1907" s="9" cm="1">
        <f t="array" ref="B1907">SUMPRODUCT((Tablo3[Personel Ad]=A1907)*(Tablo3[Ürün Kar Tutarı]))</f>
        <v>0</v>
      </c>
      <c r="D1907" s="14"/>
      <c r="F1907" s="9" cm="1">
        <f t="array" ref="F1907">SUMPRODUCT((Tablo3[Şehirler]=E1907)*(Tablo3[Ürün Kar Tutarı]))</f>
        <v>0</v>
      </c>
      <c r="H1907" s="14"/>
      <c r="J1907" s="9" cm="1">
        <f t="array" ref="J1907">SUMPRODUCT((Tablo3[Urun Ad]=I1907)*(Tablo3[Ürün Kar Tutarı]))</f>
        <v>0</v>
      </c>
      <c r="L1907" s="37"/>
    </row>
    <row r="1908" spans="1:12" x14ac:dyDescent="0.25">
      <c r="A1908" s="13"/>
      <c r="B1908" s="9" cm="1">
        <f t="array" ref="B1908">SUMPRODUCT((Tablo3[Personel Ad]=A1908)*(Tablo3[Ürün Kar Tutarı]))</f>
        <v>0</v>
      </c>
      <c r="D1908" s="14"/>
      <c r="F1908" s="9" cm="1">
        <f t="array" ref="F1908">SUMPRODUCT((Tablo3[Şehirler]=E1908)*(Tablo3[Ürün Kar Tutarı]))</f>
        <v>0</v>
      </c>
      <c r="H1908" s="14"/>
      <c r="J1908" s="9" cm="1">
        <f t="array" ref="J1908">SUMPRODUCT((Tablo3[Urun Ad]=I1908)*(Tablo3[Ürün Kar Tutarı]))</f>
        <v>0</v>
      </c>
      <c r="L1908" s="37"/>
    </row>
    <row r="1909" spans="1:12" x14ac:dyDescent="0.25">
      <c r="A1909" s="13"/>
      <c r="B1909" s="9" cm="1">
        <f t="array" ref="B1909">SUMPRODUCT((Tablo3[Personel Ad]=A1909)*(Tablo3[Ürün Kar Tutarı]))</f>
        <v>0</v>
      </c>
      <c r="D1909" s="14"/>
      <c r="F1909" s="9" cm="1">
        <f t="array" ref="F1909">SUMPRODUCT((Tablo3[Şehirler]=E1909)*(Tablo3[Ürün Kar Tutarı]))</f>
        <v>0</v>
      </c>
      <c r="H1909" s="14"/>
      <c r="J1909" s="9" cm="1">
        <f t="array" ref="J1909">SUMPRODUCT((Tablo3[Urun Ad]=I1909)*(Tablo3[Ürün Kar Tutarı]))</f>
        <v>0</v>
      </c>
      <c r="L1909" s="37"/>
    </row>
    <row r="1910" spans="1:12" x14ac:dyDescent="0.25">
      <c r="A1910" s="13"/>
      <c r="B1910" s="9" cm="1">
        <f t="array" ref="B1910">SUMPRODUCT((Tablo3[Personel Ad]=A1910)*(Tablo3[Ürün Kar Tutarı]))</f>
        <v>0</v>
      </c>
      <c r="D1910" s="14"/>
      <c r="F1910" s="9" cm="1">
        <f t="array" ref="F1910">SUMPRODUCT((Tablo3[Şehirler]=E1910)*(Tablo3[Ürün Kar Tutarı]))</f>
        <v>0</v>
      </c>
      <c r="H1910" s="14"/>
      <c r="J1910" s="9" cm="1">
        <f t="array" ref="J1910">SUMPRODUCT((Tablo3[Urun Ad]=I1910)*(Tablo3[Ürün Kar Tutarı]))</f>
        <v>0</v>
      </c>
      <c r="L1910" s="37"/>
    </row>
    <row r="1911" spans="1:12" x14ac:dyDescent="0.25">
      <c r="A1911" s="13"/>
      <c r="B1911" s="9" cm="1">
        <f t="array" ref="B1911">SUMPRODUCT((Tablo3[Personel Ad]=A1911)*(Tablo3[Ürün Kar Tutarı]))</f>
        <v>0</v>
      </c>
      <c r="D1911" s="14"/>
      <c r="F1911" s="9" cm="1">
        <f t="array" ref="F1911">SUMPRODUCT((Tablo3[Şehirler]=E1911)*(Tablo3[Ürün Kar Tutarı]))</f>
        <v>0</v>
      </c>
      <c r="H1911" s="14"/>
      <c r="J1911" s="9" cm="1">
        <f t="array" ref="J1911">SUMPRODUCT((Tablo3[Urun Ad]=I1911)*(Tablo3[Ürün Kar Tutarı]))</f>
        <v>0</v>
      </c>
      <c r="L1911" s="37"/>
    </row>
    <row r="1912" spans="1:12" x14ac:dyDescent="0.25">
      <c r="A1912" s="13"/>
      <c r="B1912" s="9" cm="1">
        <f t="array" ref="B1912">SUMPRODUCT((Tablo3[Personel Ad]=A1912)*(Tablo3[Ürün Kar Tutarı]))</f>
        <v>0</v>
      </c>
      <c r="D1912" s="14"/>
      <c r="F1912" s="9" cm="1">
        <f t="array" ref="F1912">SUMPRODUCT((Tablo3[Şehirler]=E1912)*(Tablo3[Ürün Kar Tutarı]))</f>
        <v>0</v>
      </c>
      <c r="H1912" s="14"/>
      <c r="J1912" s="9" cm="1">
        <f t="array" ref="J1912">SUMPRODUCT((Tablo3[Urun Ad]=I1912)*(Tablo3[Ürün Kar Tutarı]))</f>
        <v>0</v>
      </c>
      <c r="L1912" s="37"/>
    </row>
    <row r="1913" spans="1:12" x14ac:dyDescent="0.25">
      <c r="A1913" s="13"/>
      <c r="B1913" s="9" cm="1">
        <f t="array" ref="B1913">SUMPRODUCT((Tablo3[Personel Ad]=A1913)*(Tablo3[Ürün Kar Tutarı]))</f>
        <v>0</v>
      </c>
      <c r="D1913" s="14"/>
      <c r="F1913" s="9" cm="1">
        <f t="array" ref="F1913">SUMPRODUCT((Tablo3[Şehirler]=E1913)*(Tablo3[Ürün Kar Tutarı]))</f>
        <v>0</v>
      </c>
      <c r="H1913" s="14"/>
      <c r="J1913" s="9" cm="1">
        <f t="array" ref="J1913">SUMPRODUCT((Tablo3[Urun Ad]=I1913)*(Tablo3[Ürün Kar Tutarı]))</f>
        <v>0</v>
      </c>
      <c r="L1913" s="37"/>
    </row>
    <row r="1914" spans="1:12" x14ac:dyDescent="0.25">
      <c r="A1914" s="13"/>
      <c r="B1914" s="9" cm="1">
        <f t="array" ref="B1914">SUMPRODUCT((Tablo3[Personel Ad]=A1914)*(Tablo3[Ürün Kar Tutarı]))</f>
        <v>0</v>
      </c>
      <c r="D1914" s="14"/>
      <c r="F1914" s="9" cm="1">
        <f t="array" ref="F1914">SUMPRODUCT((Tablo3[Şehirler]=E1914)*(Tablo3[Ürün Kar Tutarı]))</f>
        <v>0</v>
      </c>
      <c r="H1914" s="14"/>
      <c r="J1914" s="9" cm="1">
        <f t="array" ref="J1914">SUMPRODUCT((Tablo3[Urun Ad]=I1914)*(Tablo3[Ürün Kar Tutarı]))</f>
        <v>0</v>
      </c>
      <c r="L1914" s="37"/>
    </row>
    <row r="1915" spans="1:12" x14ac:dyDescent="0.25">
      <c r="A1915" s="13"/>
      <c r="B1915" s="9" cm="1">
        <f t="array" ref="B1915">SUMPRODUCT((Tablo3[Personel Ad]=A1915)*(Tablo3[Ürün Kar Tutarı]))</f>
        <v>0</v>
      </c>
      <c r="D1915" s="14"/>
      <c r="F1915" s="9" cm="1">
        <f t="array" ref="F1915">SUMPRODUCT((Tablo3[Şehirler]=E1915)*(Tablo3[Ürün Kar Tutarı]))</f>
        <v>0</v>
      </c>
      <c r="H1915" s="14"/>
      <c r="J1915" s="9" cm="1">
        <f t="array" ref="J1915">SUMPRODUCT((Tablo3[Urun Ad]=I1915)*(Tablo3[Ürün Kar Tutarı]))</f>
        <v>0</v>
      </c>
      <c r="L1915" s="37"/>
    </row>
    <row r="1916" spans="1:12" x14ac:dyDescent="0.25">
      <c r="A1916" s="13"/>
      <c r="B1916" s="9" cm="1">
        <f t="array" ref="B1916">SUMPRODUCT((Tablo3[Personel Ad]=A1916)*(Tablo3[Ürün Kar Tutarı]))</f>
        <v>0</v>
      </c>
      <c r="D1916" s="14"/>
      <c r="F1916" s="9" cm="1">
        <f t="array" ref="F1916">SUMPRODUCT((Tablo3[Şehirler]=E1916)*(Tablo3[Ürün Kar Tutarı]))</f>
        <v>0</v>
      </c>
      <c r="H1916" s="14"/>
      <c r="J1916" s="9" cm="1">
        <f t="array" ref="J1916">SUMPRODUCT((Tablo3[Urun Ad]=I1916)*(Tablo3[Ürün Kar Tutarı]))</f>
        <v>0</v>
      </c>
      <c r="L1916" s="37"/>
    </row>
    <row r="1917" spans="1:12" x14ac:dyDescent="0.25">
      <c r="A1917" s="13"/>
      <c r="B1917" s="9" cm="1">
        <f t="array" ref="B1917">SUMPRODUCT((Tablo3[Personel Ad]=A1917)*(Tablo3[Ürün Kar Tutarı]))</f>
        <v>0</v>
      </c>
      <c r="D1917" s="14"/>
      <c r="F1917" s="9" cm="1">
        <f t="array" ref="F1917">SUMPRODUCT((Tablo3[Şehirler]=E1917)*(Tablo3[Ürün Kar Tutarı]))</f>
        <v>0</v>
      </c>
      <c r="H1917" s="14"/>
      <c r="J1917" s="9" cm="1">
        <f t="array" ref="J1917">SUMPRODUCT((Tablo3[Urun Ad]=I1917)*(Tablo3[Ürün Kar Tutarı]))</f>
        <v>0</v>
      </c>
      <c r="L1917" s="37"/>
    </row>
    <row r="1918" spans="1:12" x14ac:dyDescent="0.25">
      <c r="A1918" s="13"/>
      <c r="B1918" s="9" cm="1">
        <f t="array" ref="B1918">SUMPRODUCT((Tablo3[Personel Ad]=A1918)*(Tablo3[Ürün Kar Tutarı]))</f>
        <v>0</v>
      </c>
      <c r="D1918" s="14"/>
      <c r="F1918" s="9" cm="1">
        <f t="array" ref="F1918">SUMPRODUCT((Tablo3[Şehirler]=E1918)*(Tablo3[Ürün Kar Tutarı]))</f>
        <v>0</v>
      </c>
      <c r="H1918" s="14"/>
      <c r="J1918" s="9" cm="1">
        <f t="array" ref="J1918">SUMPRODUCT((Tablo3[Urun Ad]=I1918)*(Tablo3[Ürün Kar Tutarı]))</f>
        <v>0</v>
      </c>
      <c r="L1918" s="37"/>
    </row>
    <row r="1919" spans="1:12" x14ac:dyDescent="0.25">
      <c r="A1919" s="13"/>
      <c r="B1919" s="9" cm="1">
        <f t="array" ref="B1919">SUMPRODUCT((Tablo3[Personel Ad]=A1919)*(Tablo3[Ürün Kar Tutarı]))</f>
        <v>0</v>
      </c>
      <c r="D1919" s="14"/>
      <c r="F1919" s="9" cm="1">
        <f t="array" ref="F1919">SUMPRODUCT((Tablo3[Şehirler]=E1919)*(Tablo3[Ürün Kar Tutarı]))</f>
        <v>0</v>
      </c>
      <c r="H1919" s="14"/>
      <c r="J1919" s="9" cm="1">
        <f t="array" ref="J1919">SUMPRODUCT((Tablo3[Urun Ad]=I1919)*(Tablo3[Ürün Kar Tutarı]))</f>
        <v>0</v>
      </c>
      <c r="L1919" s="37"/>
    </row>
    <row r="1920" spans="1:12" x14ac:dyDescent="0.25">
      <c r="A1920" s="13"/>
      <c r="B1920" s="9" cm="1">
        <f t="array" ref="B1920">SUMPRODUCT((Tablo3[Personel Ad]=A1920)*(Tablo3[Ürün Kar Tutarı]))</f>
        <v>0</v>
      </c>
      <c r="D1920" s="14"/>
      <c r="F1920" s="9" cm="1">
        <f t="array" ref="F1920">SUMPRODUCT((Tablo3[Şehirler]=E1920)*(Tablo3[Ürün Kar Tutarı]))</f>
        <v>0</v>
      </c>
      <c r="H1920" s="14"/>
      <c r="J1920" s="9" cm="1">
        <f t="array" ref="J1920">SUMPRODUCT((Tablo3[Urun Ad]=I1920)*(Tablo3[Ürün Kar Tutarı]))</f>
        <v>0</v>
      </c>
      <c r="L1920" s="37"/>
    </row>
    <row r="1921" spans="1:12" x14ac:dyDescent="0.25">
      <c r="A1921" s="13"/>
      <c r="B1921" s="9" cm="1">
        <f t="array" ref="B1921">SUMPRODUCT((Tablo3[Personel Ad]=A1921)*(Tablo3[Ürün Kar Tutarı]))</f>
        <v>0</v>
      </c>
      <c r="D1921" s="14"/>
      <c r="F1921" s="9" cm="1">
        <f t="array" ref="F1921">SUMPRODUCT((Tablo3[Şehirler]=E1921)*(Tablo3[Ürün Kar Tutarı]))</f>
        <v>0</v>
      </c>
      <c r="H1921" s="14"/>
      <c r="J1921" s="9" cm="1">
        <f t="array" ref="J1921">SUMPRODUCT((Tablo3[Urun Ad]=I1921)*(Tablo3[Ürün Kar Tutarı]))</f>
        <v>0</v>
      </c>
      <c r="L1921" s="37"/>
    </row>
    <row r="1922" spans="1:12" x14ac:dyDescent="0.25">
      <c r="A1922" s="13"/>
      <c r="B1922" s="9" cm="1">
        <f t="array" ref="B1922">SUMPRODUCT((Tablo3[Personel Ad]=A1922)*(Tablo3[Ürün Kar Tutarı]))</f>
        <v>0</v>
      </c>
      <c r="D1922" s="14"/>
      <c r="F1922" s="9" cm="1">
        <f t="array" ref="F1922">SUMPRODUCT((Tablo3[Şehirler]=E1922)*(Tablo3[Ürün Kar Tutarı]))</f>
        <v>0</v>
      </c>
      <c r="H1922" s="14"/>
      <c r="J1922" s="9" cm="1">
        <f t="array" ref="J1922">SUMPRODUCT((Tablo3[Urun Ad]=I1922)*(Tablo3[Ürün Kar Tutarı]))</f>
        <v>0</v>
      </c>
      <c r="L1922" s="37"/>
    </row>
    <row r="1923" spans="1:12" x14ac:dyDescent="0.25">
      <c r="A1923" s="13"/>
      <c r="B1923" s="9" cm="1">
        <f t="array" ref="B1923">SUMPRODUCT((Tablo3[Personel Ad]=A1923)*(Tablo3[Ürün Kar Tutarı]))</f>
        <v>0</v>
      </c>
      <c r="D1923" s="14"/>
      <c r="F1923" s="9" cm="1">
        <f t="array" ref="F1923">SUMPRODUCT((Tablo3[Şehirler]=E1923)*(Tablo3[Ürün Kar Tutarı]))</f>
        <v>0</v>
      </c>
      <c r="H1923" s="14"/>
      <c r="J1923" s="9" cm="1">
        <f t="array" ref="J1923">SUMPRODUCT((Tablo3[Urun Ad]=I1923)*(Tablo3[Ürün Kar Tutarı]))</f>
        <v>0</v>
      </c>
      <c r="L1923" s="37"/>
    </row>
    <row r="1924" spans="1:12" x14ac:dyDescent="0.25">
      <c r="A1924" s="13"/>
      <c r="B1924" s="9" cm="1">
        <f t="array" ref="B1924">SUMPRODUCT((Tablo3[Personel Ad]=A1924)*(Tablo3[Ürün Kar Tutarı]))</f>
        <v>0</v>
      </c>
      <c r="D1924" s="14"/>
      <c r="F1924" s="9" cm="1">
        <f t="array" ref="F1924">SUMPRODUCT((Tablo3[Şehirler]=E1924)*(Tablo3[Ürün Kar Tutarı]))</f>
        <v>0</v>
      </c>
      <c r="H1924" s="14"/>
      <c r="J1924" s="9" cm="1">
        <f t="array" ref="J1924">SUMPRODUCT((Tablo3[Urun Ad]=I1924)*(Tablo3[Ürün Kar Tutarı]))</f>
        <v>0</v>
      </c>
      <c r="L1924" s="37"/>
    </row>
    <row r="1925" spans="1:12" x14ac:dyDescent="0.25">
      <c r="A1925" s="13"/>
      <c r="B1925" s="9" cm="1">
        <f t="array" ref="B1925">SUMPRODUCT((Tablo3[Personel Ad]=A1925)*(Tablo3[Ürün Kar Tutarı]))</f>
        <v>0</v>
      </c>
      <c r="D1925" s="14"/>
      <c r="F1925" s="9" cm="1">
        <f t="array" ref="F1925">SUMPRODUCT((Tablo3[Şehirler]=E1925)*(Tablo3[Ürün Kar Tutarı]))</f>
        <v>0</v>
      </c>
      <c r="H1925" s="14"/>
      <c r="J1925" s="9" cm="1">
        <f t="array" ref="J1925">SUMPRODUCT((Tablo3[Urun Ad]=I1925)*(Tablo3[Ürün Kar Tutarı]))</f>
        <v>0</v>
      </c>
      <c r="L1925" s="37"/>
    </row>
    <row r="1926" spans="1:12" x14ac:dyDescent="0.25">
      <c r="A1926" s="13"/>
      <c r="B1926" s="9" cm="1">
        <f t="array" ref="B1926">SUMPRODUCT((Tablo3[Personel Ad]=A1926)*(Tablo3[Ürün Kar Tutarı]))</f>
        <v>0</v>
      </c>
      <c r="D1926" s="14"/>
      <c r="F1926" s="9" cm="1">
        <f t="array" ref="F1926">SUMPRODUCT((Tablo3[Şehirler]=E1926)*(Tablo3[Ürün Kar Tutarı]))</f>
        <v>0</v>
      </c>
      <c r="H1926" s="14"/>
      <c r="J1926" s="9" cm="1">
        <f t="array" ref="J1926">SUMPRODUCT((Tablo3[Urun Ad]=I1926)*(Tablo3[Ürün Kar Tutarı]))</f>
        <v>0</v>
      </c>
      <c r="L1926" s="37"/>
    </row>
    <row r="1927" spans="1:12" x14ac:dyDescent="0.25">
      <c r="A1927" s="13"/>
      <c r="B1927" s="9" cm="1">
        <f t="array" ref="B1927">SUMPRODUCT((Tablo3[Personel Ad]=A1927)*(Tablo3[Ürün Kar Tutarı]))</f>
        <v>0</v>
      </c>
      <c r="D1927" s="14"/>
      <c r="F1927" s="9" cm="1">
        <f t="array" ref="F1927">SUMPRODUCT((Tablo3[Şehirler]=E1927)*(Tablo3[Ürün Kar Tutarı]))</f>
        <v>0</v>
      </c>
      <c r="H1927" s="14"/>
      <c r="J1927" s="9" cm="1">
        <f t="array" ref="J1927">SUMPRODUCT((Tablo3[Urun Ad]=I1927)*(Tablo3[Ürün Kar Tutarı]))</f>
        <v>0</v>
      </c>
      <c r="L1927" s="37"/>
    </row>
    <row r="1928" spans="1:12" x14ac:dyDescent="0.25">
      <c r="A1928" s="13"/>
      <c r="B1928" s="9" cm="1">
        <f t="array" ref="B1928">SUMPRODUCT((Tablo3[Personel Ad]=A1928)*(Tablo3[Ürün Kar Tutarı]))</f>
        <v>0</v>
      </c>
      <c r="D1928" s="14"/>
      <c r="F1928" s="9" cm="1">
        <f t="array" ref="F1928">SUMPRODUCT((Tablo3[Şehirler]=E1928)*(Tablo3[Ürün Kar Tutarı]))</f>
        <v>0</v>
      </c>
      <c r="H1928" s="14"/>
      <c r="J1928" s="9" cm="1">
        <f t="array" ref="J1928">SUMPRODUCT((Tablo3[Urun Ad]=I1928)*(Tablo3[Ürün Kar Tutarı]))</f>
        <v>0</v>
      </c>
      <c r="L1928" s="37"/>
    </row>
    <row r="1929" spans="1:12" x14ac:dyDescent="0.25">
      <c r="A1929" s="13"/>
      <c r="B1929" s="9" cm="1">
        <f t="array" ref="B1929">SUMPRODUCT((Tablo3[Personel Ad]=A1929)*(Tablo3[Ürün Kar Tutarı]))</f>
        <v>0</v>
      </c>
      <c r="D1929" s="14"/>
      <c r="F1929" s="9" cm="1">
        <f t="array" ref="F1929">SUMPRODUCT((Tablo3[Şehirler]=E1929)*(Tablo3[Ürün Kar Tutarı]))</f>
        <v>0</v>
      </c>
      <c r="H1929" s="14"/>
      <c r="J1929" s="9" cm="1">
        <f t="array" ref="J1929">SUMPRODUCT((Tablo3[Urun Ad]=I1929)*(Tablo3[Ürün Kar Tutarı]))</f>
        <v>0</v>
      </c>
      <c r="L1929" s="37"/>
    </row>
    <row r="1930" spans="1:12" x14ac:dyDescent="0.25">
      <c r="A1930" s="13"/>
      <c r="B1930" s="9" cm="1">
        <f t="array" ref="B1930">SUMPRODUCT((Tablo3[Personel Ad]=A1930)*(Tablo3[Ürün Kar Tutarı]))</f>
        <v>0</v>
      </c>
      <c r="D1930" s="14"/>
      <c r="F1930" s="9" cm="1">
        <f t="array" ref="F1930">SUMPRODUCT((Tablo3[Şehirler]=E1930)*(Tablo3[Ürün Kar Tutarı]))</f>
        <v>0</v>
      </c>
      <c r="H1930" s="14"/>
      <c r="J1930" s="9" cm="1">
        <f t="array" ref="J1930">SUMPRODUCT((Tablo3[Urun Ad]=I1930)*(Tablo3[Ürün Kar Tutarı]))</f>
        <v>0</v>
      </c>
      <c r="L1930" s="37"/>
    </row>
    <row r="1931" spans="1:12" x14ac:dyDescent="0.25">
      <c r="A1931" s="13"/>
      <c r="B1931" s="9" cm="1">
        <f t="array" ref="B1931">SUMPRODUCT((Tablo3[Personel Ad]=A1931)*(Tablo3[Ürün Kar Tutarı]))</f>
        <v>0</v>
      </c>
      <c r="D1931" s="14"/>
      <c r="F1931" s="9" cm="1">
        <f t="array" ref="F1931">SUMPRODUCT((Tablo3[Şehirler]=E1931)*(Tablo3[Ürün Kar Tutarı]))</f>
        <v>0</v>
      </c>
      <c r="H1931" s="14"/>
      <c r="J1931" s="9" cm="1">
        <f t="array" ref="J1931">SUMPRODUCT((Tablo3[Urun Ad]=I1931)*(Tablo3[Ürün Kar Tutarı]))</f>
        <v>0</v>
      </c>
      <c r="L1931" s="37"/>
    </row>
    <row r="1932" spans="1:12" x14ac:dyDescent="0.25">
      <c r="A1932" s="13"/>
      <c r="B1932" s="9" cm="1">
        <f t="array" ref="B1932">SUMPRODUCT((Tablo3[Personel Ad]=A1932)*(Tablo3[Ürün Kar Tutarı]))</f>
        <v>0</v>
      </c>
      <c r="D1932" s="14"/>
      <c r="F1932" s="9" cm="1">
        <f t="array" ref="F1932">SUMPRODUCT((Tablo3[Şehirler]=E1932)*(Tablo3[Ürün Kar Tutarı]))</f>
        <v>0</v>
      </c>
      <c r="H1932" s="14"/>
      <c r="J1932" s="9" cm="1">
        <f t="array" ref="J1932">SUMPRODUCT((Tablo3[Urun Ad]=I1932)*(Tablo3[Ürün Kar Tutarı]))</f>
        <v>0</v>
      </c>
      <c r="L1932" s="37"/>
    </row>
    <row r="1933" spans="1:12" x14ac:dyDescent="0.25">
      <c r="A1933" s="13"/>
      <c r="B1933" s="9" cm="1">
        <f t="array" ref="B1933">SUMPRODUCT((Tablo3[Personel Ad]=A1933)*(Tablo3[Ürün Kar Tutarı]))</f>
        <v>0</v>
      </c>
      <c r="D1933" s="14"/>
      <c r="F1933" s="9" cm="1">
        <f t="array" ref="F1933">SUMPRODUCT((Tablo3[Şehirler]=E1933)*(Tablo3[Ürün Kar Tutarı]))</f>
        <v>0</v>
      </c>
      <c r="H1933" s="14"/>
      <c r="J1933" s="9" cm="1">
        <f t="array" ref="J1933">SUMPRODUCT((Tablo3[Urun Ad]=I1933)*(Tablo3[Ürün Kar Tutarı]))</f>
        <v>0</v>
      </c>
      <c r="L1933" s="37"/>
    </row>
    <row r="1934" spans="1:12" x14ac:dyDescent="0.25">
      <c r="A1934" s="13"/>
      <c r="B1934" s="9" cm="1">
        <f t="array" ref="B1934">SUMPRODUCT((Tablo3[Personel Ad]=A1934)*(Tablo3[Ürün Kar Tutarı]))</f>
        <v>0</v>
      </c>
      <c r="D1934" s="14"/>
      <c r="F1934" s="9" cm="1">
        <f t="array" ref="F1934">SUMPRODUCT((Tablo3[Şehirler]=E1934)*(Tablo3[Ürün Kar Tutarı]))</f>
        <v>0</v>
      </c>
      <c r="H1934" s="14"/>
      <c r="J1934" s="9" cm="1">
        <f t="array" ref="J1934">SUMPRODUCT((Tablo3[Urun Ad]=I1934)*(Tablo3[Ürün Kar Tutarı]))</f>
        <v>0</v>
      </c>
      <c r="L1934" s="37"/>
    </row>
    <row r="1935" spans="1:12" x14ac:dyDescent="0.25">
      <c r="A1935" s="13"/>
      <c r="B1935" s="9" cm="1">
        <f t="array" ref="B1935">SUMPRODUCT((Tablo3[Personel Ad]=A1935)*(Tablo3[Ürün Kar Tutarı]))</f>
        <v>0</v>
      </c>
      <c r="D1935" s="14"/>
      <c r="F1935" s="9" cm="1">
        <f t="array" ref="F1935">SUMPRODUCT((Tablo3[Şehirler]=E1935)*(Tablo3[Ürün Kar Tutarı]))</f>
        <v>0</v>
      </c>
      <c r="H1935" s="14"/>
      <c r="J1935" s="9" cm="1">
        <f t="array" ref="J1935">SUMPRODUCT((Tablo3[Urun Ad]=I1935)*(Tablo3[Ürün Kar Tutarı]))</f>
        <v>0</v>
      </c>
      <c r="L1935" s="37"/>
    </row>
    <row r="1936" spans="1:12" x14ac:dyDescent="0.25">
      <c r="A1936" s="13"/>
      <c r="B1936" s="9" cm="1">
        <f t="array" ref="B1936">SUMPRODUCT((Tablo3[Personel Ad]=A1936)*(Tablo3[Ürün Kar Tutarı]))</f>
        <v>0</v>
      </c>
      <c r="D1936" s="14"/>
      <c r="F1936" s="9" cm="1">
        <f t="array" ref="F1936">SUMPRODUCT((Tablo3[Şehirler]=E1936)*(Tablo3[Ürün Kar Tutarı]))</f>
        <v>0</v>
      </c>
      <c r="H1936" s="14"/>
      <c r="J1936" s="9" cm="1">
        <f t="array" ref="J1936">SUMPRODUCT((Tablo3[Urun Ad]=I1936)*(Tablo3[Ürün Kar Tutarı]))</f>
        <v>0</v>
      </c>
      <c r="L1936" s="37"/>
    </row>
    <row r="1937" spans="1:12" x14ac:dyDescent="0.25">
      <c r="A1937" s="13"/>
      <c r="B1937" s="9" cm="1">
        <f t="array" ref="B1937">SUMPRODUCT((Tablo3[Personel Ad]=A1937)*(Tablo3[Ürün Kar Tutarı]))</f>
        <v>0</v>
      </c>
      <c r="D1937" s="14"/>
      <c r="F1937" s="9" cm="1">
        <f t="array" ref="F1937">SUMPRODUCT((Tablo3[Şehirler]=E1937)*(Tablo3[Ürün Kar Tutarı]))</f>
        <v>0</v>
      </c>
      <c r="H1937" s="14"/>
      <c r="J1937" s="9" cm="1">
        <f t="array" ref="J1937">SUMPRODUCT((Tablo3[Urun Ad]=I1937)*(Tablo3[Ürün Kar Tutarı]))</f>
        <v>0</v>
      </c>
      <c r="L1937" s="37"/>
    </row>
    <row r="1938" spans="1:12" x14ac:dyDescent="0.25">
      <c r="A1938" s="13"/>
      <c r="B1938" s="9" cm="1">
        <f t="array" ref="B1938">SUMPRODUCT((Tablo3[Personel Ad]=A1938)*(Tablo3[Ürün Kar Tutarı]))</f>
        <v>0</v>
      </c>
      <c r="D1938" s="14"/>
      <c r="F1938" s="9" cm="1">
        <f t="array" ref="F1938">SUMPRODUCT((Tablo3[Şehirler]=E1938)*(Tablo3[Ürün Kar Tutarı]))</f>
        <v>0</v>
      </c>
      <c r="H1938" s="14"/>
      <c r="J1938" s="9" cm="1">
        <f t="array" ref="J1938">SUMPRODUCT((Tablo3[Urun Ad]=I1938)*(Tablo3[Ürün Kar Tutarı]))</f>
        <v>0</v>
      </c>
      <c r="L1938" s="37"/>
    </row>
    <row r="1939" spans="1:12" x14ac:dyDescent="0.25">
      <c r="A1939" s="13"/>
      <c r="B1939" s="9" cm="1">
        <f t="array" ref="B1939">SUMPRODUCT((Tablo3[Personel Ad]=A1939)*(Tablo3[Ürün Kar Tutarı]))</f>
        <v>0</v>
      </c>
      <c r="D1939" s="14"/>
      <c r="F1939" s="9" cm="1">
        <f t="array" ref="F1939">SUMPRODUCT((Tablo3[Şehirler]=E1939)*(Tablo3[Ürün Kar Tutarı]))</f>
        <v>0</v>
      </c>
      <c r="H1939" s="14"/>
      <c r="J1939" s="9" cm="1">
        <f t="array" ref="J1939">SUMPRODUCT((Tablo3[Urun Ad]=I1939)*(Tablo3[Ürün Kar Tutarı]))</f>
        <v>0</v>
      </c>
      <c r="L1939" s="37"/>
    </row>
    <row r="1940" spans="1:12" x14ac:dyDescent="0.25">
      <c r="A1940" s="13"/>
      <c r="B1940" s="9" cm="1">
        <f t="array" ref="B1940">SUMPRODUCT((Tablo3[Personel Ad]=A1940)*(Tablo3[Ürün Kar Tutarı]))</f>
        <v>0</v>
      </c>
      <c r="D1940" s="14"/>
      <c r="F1940" s="9" cm="1">
        <f t="array" ref="F1940">SUMPRODUCT((Tablo3[Şehirler]=E1940)*(Tablo3[Ürün Kar Tutarı]))</f>
        <v>0</v>
      </c>
      <c r="H1940" s="14"/>
      <c r="J1940" s="9" cm="1">
        <f t="array" ref="J1940">SUMPRODUCT((Tablo3[Urun Ad]=I1940)*(Tablo3[Ürün Kar Tutarı]))</f>
        <v>0</v>
      </c>
      <c r="L1940" s="37"/>
    </row>
    <row r="1941" spans="1:12" x14ac:dyDescent="0.25">
      <c r="A1941" s="13"/>
      <c r="B1941" s="9" cm="1">
        <f t="array" ref="B1941">SUMPRODUCT((Tablo3[Personel Ad]=A1941)*(Tablo3[Ürün Kar Tutarı]))</f>
        <v>0</v>
      </c>
      <c r="D1941" s="14"/>
      <c r="F1941" s="9" cm="1">
        <f t="array" ref="F1941">SUMPRODUCT((Tablo3[Şehirler]=E1941)*(Tablo3[Ürün Kar Tutarı]))</f>
        <v>0</v>
      </c>
      <c r="H1941" s="14"/>
      <c r="J1941" s="9" cm="1">
        <f t="array" ref="J1941">SUMPRODUCT((Tablo3[Urun Ad]=I1941)*(Tablo3[Ürün Kar Tutarı]))</f>
        <v>0</v>
      </c>
      <c r="L1941" s="37"/>
    </row>
    <row r="1942" spans="1:12" x14ac:dyDescent="0.25">
      <c r="A1942" s="13"/>
      <c r="B1942" s="9" cm="1">
        <f t="array" ref="B1942">SUMPRODUCT((Tablo3[Personel Ad]=A1942)*(Tablo3[Ürün Kar Tutarı]))</f>
        <v>0</v>
      </c>
      <c r="D1942" s="14"/>
      <c r="F1942" s="9" cm="1">
        <f t="array" ref="F1942">SUMPRODUCT((Tablo3[Şehirler]=E1942)*(Tablo3[Ürün Kar Tutarı]))</f>
        <v>0</v>
      </c>
      <c r="H1942" s="14"/>
      <c r="J1942" s="9" cm="1">
        <f t="array" ref="J1942">SUMPRODUCT((Tablo3[Urun Ad]=I1942)*(Tablo3[Ürün Kar Tutarı]))</f>
        <v>0</v>
      </c>
      <c r="L1942" s="37"/>
    </row>
    <row r="1943" spans="1:12" x14ac:dyDescent="0.25">
      <c r="A1943" s="13"/>
      <c r="B1943" s="9" cm="1">
        <f t="array" ref="B1943">SUMPRODUCT((Tablo3[Personel Ad]=A1943)*(Tablo3[Ürün Kar Tutarı]))</f>
        <v>0</v>
      </c>
      <c r="D1943" s="14"/>
      <c r="F1943" s="9" cm="1">
        <f t="array" ref="F1943">SUMPRODUCT((Tablo3[Şehirler]=E1943)*(Tablo3[Ürün Kar Tutarı]))</f>
        <v>0</v>
      </c>
      <c r="H1943" s="14"/>
      <c r="J1943" s="9" cm="1">
        <f t="array" ref="J1943">SUMPRODUCT((Tablo3[Urun Ad]=I1943)*(Tablo3[Ürün Kar Tutarı]))</f>
        <v>0</v>
      </c>
      <c r="L1943" s="37"/>
    </row>
    <row r="1944" spans="1:12" x14ac:dyDescent="0.25">
      <c r="A1944" s="13"/>
      <c r="B1944" s="9" cm="1">
        <f t="array" ref="B1944">SUMPRODUCT((Tablo3[Personel Ad]=A1944)*(Tablo3[Ürün Kar Tutarı]))</f>
        <v>0</v>
      </c>
      <c r="D1944" s="14"/>
      <c r="F1944" s="9" cm="1">
        <f t="array" ref="F1944">SUMPRODUCT((Tablo3[Şehirler]=E1944)*(Tablo3[Ürün Kar Tutarı]))</f>
        <v>0</v>
      </c>
      <c r="H1944" s="14"/>
      <c r="J1944" s="9" cm="1">
        <f t="array" ref="J1944">SUMPRODUCT((Tablo3[Urun Ad]=I1944)*(Tablo3[Ürün Kar Tutarı]))</f>
        <v>0</v>
      </c>
      <c r="L1944" s="37"/>
    </row>
    <row r="1945" spans="1:12" x14ac:dyDescent="0.25">
      <c r="A1945" s="13"/>
      <c r="B1945" s="9" cm="1">
        <f t="array" ref="B1945">SUMPRODUCT((Tablo3[Personel Ad]=A1945)*(Tablo3[Ürün Kar Tutarı]))</f>
        <v>0</v>
      </c>
      <c r="D1945" s="14"/>
      <c r="F1945" s="9" cm="1">
        <f t="array" ref="F1945">SUMPRODUCT((Tablo3[Şehirler]=E1945)*(Tablo3[Ürün Kar Tutarı]))</f>
        <v>0</v>
      </c>
      <c r="H1945" s="14"/>
      <c r="J1945" s="9" cm="1">
        <f t="array" ref="J1945">SUMPRODUCT((Tablo3[Urun Ad]=I1945)*(Tablo3[Ürün Kar Tutarı]))</f>
        <v>0</v>
      </c>
      <c r="L1945" s="37"/>
    </row>
    <row r="1946" spans="1:12" x14ac:dyDescent="0.25">
      <c r="A1946" s="13"/>
      <c r="B1946" s="9" cm="1">
        <f t="array" ref="B1946">SUMPRODUCT((Tablo3[Personel Ad]=A1946)*(Tablo3[Ürün Kar Tutarı]))</f>
        <v>0</v>
      </c>
      <c r="D1946" s="14"/>
      <c r="F1946" s="9" cm="1">
        <f t="array" ref="F1946">SUMPRODUCT((Tablo3[Şehirler]=E1946)*(Tablo3[Ürün Kar Tutarı]))</f>
        <v>0</v>
      </c>
      <c r="H1946" s="14"/>
      <c r="J1946" s="9" cm="1">
        <f t="array" ref="J1946">SUMPRODUCT((Tablo3[Urun Ad]=I1946)*(Tablo3[Ürün Kar Tutarı]))</f>
        <v>0</v>
      </c>
      <c r="L1946" s="37"/>
    </row>
    <row r="1947" spans="1:12" x14ac:dyDescent="0.25">
      <c r="A1947" s="13"/>
      <c r="B1947" s="9" cm="1">
        <f t="array" ref="B1947">SUMPRODUCT((Tablo3[Personel Ad]=A1947)*(Tablo3[Ürün Kar Tutarı]))</f>
        <v>0</v>
      </c>
      <c r="D1947" s="14"/>
      <c r="F1947" s="9" cm="1">
        <f t="array" ref="F1947">SUMPRODUCT((Tablo3[Şehirler]=E1947)*(Tablo3[Ürün Kar Tutarı]))</f>
        <v>0</v>
      </c>
      <c r="H1947" s="14"/>
      <c r="J1947" s="9" cm="1">
        <f t="array" ref="J1947">SUMPRODUCT((Tablo3[Urun Ad]=I1947)*(Tablo3[Ürün Kar Tutarı]))</f>
        <v>0</v>
      </c>
      <c r="L1947" s="37"/>
    </row>
    <row r="1948" spans="1:12" x14ac:dyDescent="0.25">
      <c r="A1948" s="13"/>
      <c r="B1948" s="9" cm="1">
        <f t="array" ref="B1948">SUMPRODUCT((Tablo3[Personel Ad]=A1948)*(Tablo3[Ürün Kar Tutarı]))</f>
        <v>0</v>
      </c>
      <c r="D1948" s="14"/>
      <c r="F1948" s="9" cm="1">
        <f t="array" ref="F1948">SUMPRODUCT((Tablo3[Şehirler]=E1948)*(Tablo3[Ürün Kar Tutarı]))</f>
        <v>0</v>
      </c>
      <c r="H1948" s="14"/>
      <c r="J1948" s="9" cm="1">
        <f t="array" ref="J1948">SUMPRODUCT((Tablo3[Urun Ad]=I1948)*(Tablo3[Ürün Kar Tutarı]))</f>
        <v>0</v>
      </c>
      <c r="L1948" s="37"/>
    </row>
    <row r="1949" spans="1:12" x14ac:dyDescent="0.25">
      <c r="A1949" s="13"/>
      <c r="B1949" s="9" cm="1">
        <f t="array" ref="B1949">SUMPRODUCT((Tablo3[Personel Ad]=A1949)*(Tablo3[Ürün Kar Tutarı]))</f>
        <v>0</v>
      </c>
      <c r="D1949" s="14"/>
      <c r="F1949" s="9" cm="1">
        <f t="array" ref="F1949">SUMPRODUCT((Tablo3[Şehirler]=E1949)*(Tablo3[Ürün Kar Tutarı]))</f>
        <v>0</v>
      </c>
      <c r="H1949" s="14"/>
      <c r="J1949" s="9" cm="1">
        <f t="array" ref="J1949">SUMPRODUCT((Tablo3[Urun Ad]=I1949)*(Tablo3[Ürün Kar Tutarı]))</f>
        <v>0</v>
      </c>
      <c r="L1949" s="37"/>
    </row>
    <row r="1950" spans="1:12" x14ac:dyDescent="0.25">
      <c r="A1950" s="13"/>
      <c r="B1950" s="9" cm="1">
        <f t="array" ref="B1950">SUMPRODUCT((Tablo3[Personel Ad]=A1950)*(Tablo3[Ürün Kar Tutarı]))</f>
        <v>0</v>
      </c>
      <c r="D1950" s="14"/>
      <c r="F1950" s="9" cm="1">
        <f t="array" ref="F1950">SUMPRODUCT((Tablo3[Şehirler]=E1950)*(Tablo3[Ürün Kar Tutarı]))</f>
        <v>0</v>
      </c>
      <c r="H1950" s="14"/>
      <c r="J1950" s="9" cm="1">
        <f t="array" ref="J1950">SUMPRODUCT((Tablo3[Urun Ad]=I1950)*(Tablo3[Ürün Kar Tutarı]))</f>
        <v>0</v>
      </c>
      <c r="L1950" s="37"/>
    </row>
    <row r="1951" spans="1:12" x14ac:dyDescent="0.25">
      <c r="A1951" s="13"/>
      <c r="B1951" s="9" cm="1">
        <f t="array" ref="B1951">SUMPRODUCT((Tablo3[Personel Ad]=A1951)*(Tablo3[Ürün Kar Tutarı]))</f>
        <v>0</v>
      </c>
      <c r="D1951" s="14"/>
      <c r="F1951" s="9" cm="1">
        <f t="array" ref="F1951">SUMPRODUCT((Tablo3[Şehirler]=E1951)*(Tablo3[Ürün Kar Tutarı]))</f>
        <v>0</v>
      </c>
      <c r="H1951" s="14"/>
      <c r="J1951" s="9" cm="1">
        <f t="array" ref="J1951">SUMPRODUCT((Tablo3[Urun Ad]=I1951)*(Tablo3[Ürün Kar Tutarı]))</f>
        <v>0</v>
      </c>
      <c r="L1951" s="37"/>
    </row>
    <row r="1952" spans="1:12" x14ac:dyDescent="0.25">
      <c r="A1952" s="13"/>
      <c r="B1952" s="9" cm="1">
        <f t="array" ref="B1952">SUMPRODUCT((Tablo3[Personel Ad]=A1952)*(Tablo3[Ürün Kar Tutarı]))</f>
        <v>0</v>
      </c>
      <c r="D1952" s="14"/>
      <c r="F1952" s="9" cm="1">
        <f t="array" ref="F1952">SUMPRODUCT((Tablo3[Şehirler]=E1952)*(Tablo3[Ürün Kar Tutarı]))</f>
        <v>0</v>
      </c>
      <c r="H1952" s="14"/>
      <c r="J1952" s="9" cm="1">
        <f t="array" ref="J1952">SUMPRODUCT((Tablo3[Urun Ad]=I1952)*(Tablo3[Ürün Kar Tutarı]))</f>
        <v>0</v>
      </c>
      <c r="L1952" s="37"/>
    </row>
    <row r="1953" spans="1:12" x14ac:dyDescent="0.25">
      <c r="A1953" s="13"/>
      <c r="B1953" s="9" cm="1">
        <f t="array" ref="B1953">SUMPRODUCT((Tablo3[Personel Ad]=A1953)*(Tablo3[Ürün Kar Tutarı]))</f>
        <v>0</v>
      </c>
      <c r="D1953" s="14"/>
      <c r="F1953" s="9" cm="1">
        <f t="array" ref="F1953">SUMPRODUCT((Tablo3[Şehirler]=E1953)*(Tablo3[Ürün Kar Tutarı]))</f>
        <v>0</v>
      </c>
      <c r="H1953" s="14"/>
      <c r="J1953" s="9" cm="1">
        <f t="array" ref="J1953">SUMPRODUCT((Tablo3[Urun Ad]=I1953)*(Tablo3[Ürün Kar Tutarı]))</f>
        <v>0</v>
      </c>
      <c r="L1953" s="37"/>
    </row>
    <row r="1954" spans="1:12" x14ac:dyDescent="0.25">
      <c r="A1954" s="13"/>
      <c r="B1954" s="9" cm="1">
        <f t="array" ref="B1954">SUMPRODUCT((Tablo3[Personel Ad]=A1954)*(Tablo3[Ürün Kar Tutarı]))</f>
        <v>0</v>
      </c>
      <c r="D1954" s="14"/>
      <c r="F1954" s="9" cm="1">
        <f t="array" ref="F1954">SUMPRODUCT((Tablo3[Şehirler]=E1954)*(Tablo3[Ürün Kar Tutarı]))</f>
        <v>0</v>
      </c>
      <c r="H1954" s="14"/>
      <c r="J1954" s="9" cm="1">
        <f t="array" ref="J1954">SUMPRODUCT((Tablo3[Urun Ad]=I1954)*(Tablo3[Ürün Kar Tutarı]))</f>
        <v>0</v>
      </c>
      <c r="L1954" s="37"/>
    </row>
    <row r="1955" spans="1:12" x14ac:dyDescent="0.25">
      <c r="A1955" s="13"/>
      <c r="B1955" s="9" cm="1">
        <f t="array" ref="B1955">SUMPRODUCT((Tablo3[Personel Ad]=A1955)*(Tablo3[Ürün Kar Tutarı]))</f>
        <v>0</v>
      </c>
      <c r="D1955" s="14"/>
      <c r="F1955" s="9" cm="1">
        <f t="array" ref="F1955">SUMPRODUCT((Tablo3[Şehirler]=E1955)*(Tablo3[Ürün Kar Tutarı]))</f>
        <v>0</v>
      </c>
      <c r="H1955" s="14"/>
      <c r="J1955" s="9" cm="1">
        <f t="array" ref="J1955">SUMPRODUCT((Tablo3[Urun Ad]=I1955)*(Tablo3[Ürün Kar Tutarı]))</f>
        <v>0</v>
      </c>
      <c r="L1955" s="37"/>
    </row>
    <row r="1956" spans="1:12" x14ac:dyDescent="0.25">
      <c r="A1956" s="13"/>
      <c r="B1956" s="9" cm="1">
        <f t="array" ref="B1956">SUMPRODUCT((Tablo3[Personel Ad]=A1956)*(Tablo3[Ürün Kar Tutarı]))</f>
        <v>0</v>
      </c>
      <c r="D1956" s="14"/>
      <c r="F1956" s="9" cm="1">
        <f t="array" ref="F1956">SUMPRODUCT((Tablo3[Şehirler]=E1956)*(Tablo3[Ürün Kar Tutarı]))</f>
        <v>0</v>
      </c>
      <c r="H1956" s="14"/>
      <c r="J1956" s="9" cm="1">
        <f t="array" ref="J1956">SUMPRODUCT((Tablo3[Urun Ad]=I1956)*(Tablo3[Ürün Kar Tutarı]))</f>
        <v>0</v>
      </c>
      <c r="L1956" s="37"/>
    </row>
    <row r="1957" spans="1:12" x14ac:dyDescent="0.25">
      <c r="A1957" s="13"/>
      <c r="B1957" s="9" cm="1">
        <f t="array" ref="B1957">SUMPRODUCT((Tablo3[Personel Ad]=A1957)*(Tablo3[Ürün Kar Tutarı]))</f>
        <v>0</v>
      </c>
      <c r="D1957" s="14"/>
      <c r="F1957" s="9" cm="1">
        <f t="array" ref="F1957">SUMPRODUCT((Tablo3[Şehirler]=E1957)*(Tablo3[Ürün Kar Tutarı]))</f>
        <v>0</v>
      </c>
      <c r="H1957" s="14"/>
      <c r="J1957" s="9" cm="1">
        <f t="array" ref="J1957">SUMPRODUCT((Tablo3[Urun Ad]=I1957)*(Tablo3[Ürün Kar Tutarı]))</f>
        <v>0</v>
      </c>
      <c r="L1957" s="37"/>
    </row>
    <row r="1958" spans="1:12" x14ac:dyDescent="0.25">
      <c r="A1958" s="13"/>
      <c r="B1958" s="9" cm="1">
        <f t="array" ref="B1958">SUMPRODUCT((Tablo3[Personel Ad]=A1958)*(Tablo3[Ürün Kar Tutarı]))</f>
        <v>0</v>
      </c>
      <c r="D1958" s="14"/>
      <c r="F1958" s="9" cm="1">
        <f t="array" ref="F1958">SUMPRODUCT((Tablo3[Şehirler]=E1958)*(Tablo3[Ürün Kar Tutarı]))</f>
        <v>0</v>
      </c>
      <c r="H1958" s="14"/>
      <c r="J1958" s="9" cm="1">
        <f t="array" ref="J1958">SUMPRODUCT((Tablo3[Urun Ad]=I1958)*(Tablo3[Ürün Kar Tutarı]))</f>
        <v>0</v>
      </c>
      <c r="L1958" s="37"/>
    </row>
    <row r="1959" spans="1:12" x14ac:dyDescent="0.25">
      <c r="A1959" s="13"/>
      <c r="B1959" s="9" cm="1">
        <f t="array" ref="B1959">SUMPRODUCT((Tablo3[Personel Ad]=A1959)*(Tablo3[Ürün Kar Tutarı]))</f>
        <v>0</v>
      </c>
      <c r="D1959" s="14"/>
      <c r="F1959" s="9" cm="1">
        <f t="array" ref="F1959">SUMPRODUCT((Tablo3[Şehirler]=E1959)*(Tablo3[Ürün Kar Tutarı]))</f>
        <v>0</v>
      </c>
      <c r="H1959" s="14"/>
      <c r="J1959" s="9" cm="1">
        <f t="array" ref="J1959">SUMPRODUCT((Tablo3[Urun Ad]=I1959)*(Tablo3[Ürün Kar Tutarı]))</f>
        <v>0</v>
      </c>
      <c r="L1959" s="37"/>
    </row>
    <row r="1960" spans="1:12" x14ac:dyDescent="0.25">
      <c r="A1960" s="13"/>
      <c r="B1960" s="9" cm="1">
        <f t="array" ref="B1960">SUMPRODUCT((Tablo3[Personel Ad]=A1960)*(Tablo3[Ürün Kar Tutarı]))</f>
        <v>0</v>
      </c>
      <c r="D1960" s="14"/>
      <c r="F1960" s="9" cm="1">
        <f t="array" ref="F1960">SUMPRODUCT((Tablo3[Şehirler]=E1960)*(Tablo3[Ürün Kar Tutarı]))</f>
        <v>0</v>
      </c>
      <c r="H1960" s="14"/>
      <c r="J1960" s="9" cm="1">
        <f t="array" ref="J1960">SUMPRODUCT((Tablo3[Urun Ad]=I1960)*(Tablo3[Ürün Kar Tutarı]))</f>
        <v>0</v>
      </c>
      <c r="L1960" s="37"/>
    </row>
    <row r="1961" spans="1:12" x14ac:dyDescent="0.25">
      <c r="A1961" s="13"/>
      <c r="B1961" s="9" cm="1">
        <f t="array" ref="B1961">SUMPRODUCT((Tablo3[Personel Ad]=A1961)*(Tablo3[Ürün Kar Tutarı]))</f>
        <v>0</v>
      </c>
      <c r="D1961" s="14"/>
      <c r="F1961" s="9" cm="1">
        <f t="array" ref="F1961">SUMPRODUCT((Tablo3[Şehirler]=E1961)*(Tablo3[Ürün Kar Tutarı]))</f>
        <v>0</v>
      </c>
      <c r="H1961" s="14"/>
      <c r="J1961" s="9" cm="1">
        <f t="array" ref="J1961">SUMPRODUCT((Tablo3[Urun Ad]=I1961)*(Tablo3[Ürün Kar Tutarı]))</f>
        <v>0</v>
      </c>
      <c r="L1961" s="37"/>
    </row>
    <row r="1962" spans="1:12" x14ac:dyDescent="0.25">
      <c r="A1962" s="13"/>
      <c r="B1962" s="9" cm="1">
        <f t="array" ref="B1962">SUMPRODUCT((Tablo3[Personel Ad]=A1962)*(Tablo3[Ürün Kar Tutarı]))</f>
        <v>0</v>
      </c>
      <c r="D1962" s="14"/>
      <c r="F1962" s="9" cm="1">
        <f t="array" ref="F1962">SUMPRODUCT((Tablo3[Şehirler]=E1962)*(Tablo3[Ürün Kar Tutarı]))</f>
        <v>0</v>
      </c>
      <c r="H1962" s="14"/>
      <c r="J1962" s="9" cm="1">
        <f t="array" ref="J1962">SUMPRODUCT((Tablo3[Urun Ad]=I1962)*(Tablo3[Ürün Kar Tutarı]))</f>
        <v>0</v>
      </c>
      <c r="L1962" s="37"/>
    </row>
    <row r="1963" spans="1:12" x14ac:dyDescent="0.25">
      <c r="A1963" s="13"/>
      <c r="B1963" s="9" cm="1">
        <f t="array" ref="B1963">SUMPRODUCT((Tablo3[Personel Ad]=A1963)*(Tablo3[Ürün Kar Tutarı]))</f>
        <v>0</v>
      </c>
      <c r="D1963" s="14"/>
      <c r="F1963" s="9" cm="1">
        <f t="array" ref="F1963">SUMPRODUCT((Tablo3[Şehirler]=E1963)*(Tablo3[Ürün Kar Tutarı]))</f>
        <v>0</v>
      </c>
      <c r="H1963" s="14"/>
      <c r="J1963" s="9" cm="1">
        <f t="array" ref="J1963">SUMPRODUCT((Tablo3[Urun Ad]=I1963)*(Tablo3[Ürün Kar Tutarı]))</f>
        <v>0</v>
      </c>
      <c r="L1963" s="37"/>
    </row>
    <row r="1964" spans="1:12" x14ac:dyDescent="0.25">
      <c r="A1964" s="13"/>
      <c r="B1964" s="9" cm="1">
        <f t="array" ref="B1964">SUMPRODUCT((Tablo3[Personel Ad]=A1964)*(Tablo3[Ürün Kar Tutarı]))</f>
        <v>0</v>
      </c>
      <c r="D1964" s="14"/>
      <c r="F1964" s="9" cm="1">
        <f t="array" ref="F1964">SUMPRODUCT((Tablo3[Şehirler]=E1964)*(Tablo3[Ürün Kar Tutarı]))</f>
        <v>0</v>
      </c>
      <c r="H1964" s="14"/>
      <c r="J1964" s="9" cm="1">
        <f t="array" ref="J1964">SUMPRODUCT((Tablo3[Urun Ad]=I1964)*(Tablo3[Ürün Kar Tutarı]))</f>
        <v>0</v>
      </c>
      <c r="L1964" s="37"/>
    </row>
    <row r="1965" spans="1:12" x14ac:dyDescent="0.25">
      <c r="A1965" s="13"/>
      <c r="B1965" s="9" cm="1">
        <f t="array" ref="B1965">SUMPRODUCT((Tablo3[Personel Ad]=A1965)*(Tablo3[Ürün Kar Tutarı]))</f>
        <v>0</v>
      </c>
      <c r="D1965" s="14"/>
      <c r="F1965" s="9" cm="1">
        <f t="array" ref="F1965">SUMPRODUCT((Tablo3[Şehirler]=E1965)*(Tablo3[Ürün Kar Tutarı]))</f>
        <v>0</v>
      </c>
      <c r="H1965" s="14"/>
      <c r="J1965" s="9" cm="1">
        <f t="array" ref="J1965">SUMPRODUCT((Tablo3[Urun Ad]=I1965)*(Tablo3[Ürün Kar Tutarı]))</f>
        <v>0</v>
      </c>
      <c r="L1965" s="37"/>
    </row>
    <row r="1966" spans="1:12" x14ac:dyDescent="0.25">
      <c r="A1966" s="13"/>
      <c r="B1966" s="9" cm="1">
        <f t="array" ref="B1966">SUMPRODUCT((Tablo3[Personel Ad]=A1966)*(Tablo3[Ürün Kar Tutarı]))</f>
        <v>0</v>
      </c>
      <c r="D1966" s="14"/>
      <c r="F1966" s="9" cm="1">
        <f t="array" ref="F1966">SUMPRODUCT((Tablo3[Şehirler]=E1966)*(Tablo3[Ürün Kar Tutarı]))</f>
        <v>0</v>
      </c>
      <c r="H1966" s="14"/>
      <c r="J1966" s="9" cm="1">
        <f t="array" ref="J1966">SUMPRODUCT((Tablo3[Urun Ad]=I1966)*(Tablo3[Ürün Kar Tutarı]))</f>
        <v>0</v>
      </c>
      <c r="L1966" s="37"/>
    </row>
    <row r="1967" spans="1:12" x14ac:dyDescent="0.25">
      <c r="A1967" s="13"/>
      <c r="B1967" s="9" cm="1">
        <f t="array" ref="B1967">SUMPRODUCT((Tablo3[Personel Ad]=A1967)*(Tablo3[Ürün Kar Tutarı]))</f>
        <v>0</v>
      </c>
      <c r="D1967" s="14"/>
      <c r="F1967" s="9" cm="1">
        <f t="array" ref="F1967">SUMPRODUCT((Tablo3[Şehirler]=E1967)*(Tablo3[Ürün Kar Tutarı]))</f>
        <v>0</v>
      </c>
      <c r="H1967" s="14"/>
      <c r="J1967" s="9" cm="1">
        <f t="array" ref="J1967">SUMPRODUCT((Tablo3[Urun Ad]=I1967)*(Tablo3[Ürün Kar Tutarı]))</f>
        <v>0</v>
      </c>
      <c r="L1967" s="37"/>
    </row>
    <row r="1968" spans="1:12" x14ac:dyDescent="0.25">
      <c r="A1968" s="13"/>
      <c r="B1968" s="9" cm="1">
        <f t="array" ref="B1968">SUMPRODUCT((Tablo3[Personel Ad]=A1968)*(Tablo3[Ürün Kar Tutarı]))</f>
        <v>0</v>
      </c>
      <c r="D1968" s="14"/>
      <c r="F1968" s="9" cm="1">
        <f t="array" ref="F1968">SUMPRODUCT((Tablo3[Şehirler]=E1968)*(Tablo3[Ürün Kar Tutarı]))</f>
        <v>0</v>
      </c>
      <c r="H1968" s="14"/>
      <c r="J1968" s="9" cm="1">
        <f t="array" ref="J1968">SUMPRODUCT((Tablo3[Urun Ad]=I1968)*(Tablo3[Ürün Kar Tutarı]))</f>
        <v>0</v>
      </c>
      <c r="L1968" s="37"/>
    </row>
    <row r="1969" spans="1:12" x14ac:dyDescent="0.25">
      <c r="A1969" s="13"/>
      <c r="B1969" s="9" cm="1">
        <f t="array" ref="B1969">SUMPRODUCT((Tablo3[Personel Ad]=A1969)*(Tablo3[Ürün Kar Tutarı]))</f>
        <v>0</v>
      </c>
      <c r="D1969" s="14"/>
      <c r="F1969" s="9" cm="1">
        <f t="array" ref="F1969">SUMPRODUCT((Tablo3[Şehirler]=E1969)*(Tablo3[Ürün Kar Tutarı]))</f>
        <v>0</v>
      </c>
      <c r="H1969" s="14"/>
      <c r="J1969" s="9" cm="1">
        <f t="array" ref="J1969">SUMPRODUCT((Tablo3[Urun Ad]=I1969)*(Tablo3[Ürün Kar Tutarı]))</f>
        <v>0</v>
      </c>
      <c r="L1969" s="37"/>
    </row>
    <row r="1970" spans="1:12" x14ac:dyDescent="0.25">
      <c r="A1970" s="13"/>
      <c r="B1970" s="9" cm="1">
        <f t="array" ref="B1970">SUMPRODUCT((Tablo3[Personel Ad]=A1970)*(Tablo3[Ürün Kar Tutarı]))</f>
        <v>0</v>
      </c>
      <c r="D1970" s="14"/>
      <c r="F1970" s="9" cm="1">
        <f t="array" ref="F1970">SUMPRODUCT((Tablo3[Şehirler]=E1970)*(Tablo3[Ürün Kar Tutarı]))</f>
        <v>0</v>
      </c>
      <c r="H1970" s="14"/>
      <c r="J1970" s="9" cm="1">
        <f t="array" ref="J1970">SUMPRODUCT((Tablo3[Urun Ad]=I1970)*(Tablo3[Ürün Kar Tutarı]))</f>
        <v>0</v>
      </c>
      <c r="L1970" s="37"/>
    </row>
    <row r="1971" spans="1:12" x14ac:dyDescent="0.25">
      <c r="A1971" s="13"/>
      <c r="B1971" s="9" cm="1">
        <f t="array" ref="B1971">SUMPRODUCT((Tablo3[Personel Ad]=A1971)*(Tablo3[Ürün Kar Tutarı]))</f>
        <v>0</v>
      </c>
      <c r="D1971" s="14"/>
      <c r="F1971" s="9" cm="1">
        <f t="array" ref="F1971">SUMPRODUCT((Tablo3[Şehirler]=E1971)*(Tablo3[Ürün Kar Tutarı]))</f>
        <v>0</v>
      </c>
      <c r="H1971" s="14"/>
      <c r="J1971" s="9" cm="1">
        <f t="array" ref="J1971">SUMPRODUCT((Tablo3[Urun Ad]=I1971)*(Tablo3[Ürün Kar Tutarı]))</f>
        <v>0</v>
      </c>
      <c r="L1971" s="37"/>
    </row>
    <row r="1972" spans="1:12" x14ac:dyDescent="0.25">
      <c r="A1972" s="13"/>
      <c r="B1972" s="9" cm="1">
        <f t="array" ref="B1972">SUMPRODUCT((Tablo3[Personel Ad]=A1972)*(Tablo3[Ürün Kar Tutarı]))</f>
        <v>0</v>
      </c>
      <c r="D1972" s="14"/>
      <c r="F1972" s="9" cm="1">
        <f t="array" ref="F1972">SUMPRODUCT((Tablo3[Şehirler]=E1972)*(Tablo3[Ürün Kar Tutarı]))</f>
        <v>0</v>
      </c>
      <c r="H1972" s="14"/>
      <c r="J1972" s="9" cm="1">
        <f t="array" ref="J1972">SUMPRODUCT((Tablo3[Urun Ad]=I1972)*(Tablo3[Ürün Kar Tutarı]))</f>
        <v>0</v>
      </c>
      <c r="L1972" s="37"/>
    </row>
    <row r="1973" spans="1:12" x14ac:dyDescent="0.25">
      <c r="A1973" s="13"/>
      <c r="B1973" s="9" cm="1">
        <f t="array" ref="B1973">SUMPRODUCT((Tablo3[Personel Ad]=A1973)*(Tablo3[Ürün Kar Tutarı]))</f>
        <v>0</v>
      </c>
      <c r="D1973" s="14"/>
      <c r="F1973" s="9" cm="1">
        <f t="array" ref="F1973">SUMPRODUCT((Tablo3[Şehirler]=E1973)*(Tablo3[Ürün Kar Tutarı]))</f>
        <v>0</v>
      </c>
      <c r="H1973" s="14"/>
      <c r="J1973" s="9" cm="1">
        <f t="array" ref="J1973">SUMPRODUCT((Tablo3[Urun Ad]=I1973)*(Tablo3[Ürün Kar Tutarı]))</f>
        <v>0</v>
      </c>
      <c r="L1973" s="37"/>
    </row>
    <row r="1974" spans="1:12" x14ac:dyDescent="0.25">
      <c r="A1974" s="13"/>
      <c r="B1974" s="9" cm="1">
        <f t="array" ref="B1974">SUMPRODUCT((Tablo3[Personel Ad]=A1974)*(Tablo3[Ürün Kar Tutarı]))</f>
        <v>0</v>
      </c>
      <c r="D1974" s="14"/>
      <c r="F1974" s="9" cm="1">
        <f t="array" ref="F1974">SUMPRODUCT((Tablo3[Şehirler]=E1974)*(Tablo3[Ürün Kar Tutarı]))</f>
        <v>0</v>
      </c>
      <c r="H1974" s="14"/>
      <c r="J1974" s="9" cm="1">
        <f t="array" ref="J1974">SUMPRODUCT((Tablo3[Urun Ad]=I1974)*(Tablo3[Ürün Kar Tutarı]))</f>
        <v>0</v>
      </c>
      <c r="L1974" s="37"/>
    </row>
    <row r="1975" spans="1:12" x14ac:dyDescent="0.25">
      <c r="A1975" s="13"/>
      <c r="B1975" s="9" cm="1">
        <f t="array" ref="B1975">SUMPRODUCT((Tablo3[Personel Ad]=A1975)*(Tablo3[Ürün Kar Tutarı]))</f>
        <v>0</v>
      </c>
      <c r="D1975" s="14"/>
      <c r="F1975" s="9" cm="1">
        <f t="array" ref="F1975">SUMPRODUCT((Tablo3[Şehirler]=E1975)*(Tablo3[Ürün Kar Tutarı]))</f>
        <v>0</v>
      </c>
      <c r="H1975" s="14"/>
      <c r="J1975" s="9" cm="1">
        <f t="array" ref="J1975">SUMPRODUCT((Tablo3[Urun Ad]=I1975)*(Tablo3[Ürün Kar Tutarı]))</f>
        <v>0</v>
      </c>
      <c r="L1975" s="37"/>
    </row>
    <row r="1976" spans="1:12" x14ac:dyDescent="0.25">
      <c r="A1976" s="13"/>
      <c r="B1976" s="9" cm="1">
        <f t="array" ref="B1976">SUMPRODUCT((Tablo3[Personel Ad]=A1976)*(Tablo3[Ürün Kar Tutarı]))</f>
        <v>0</v>
      </c>
      <c r="D1976" s="14"/>
      <c r="F1976" s="9" cm="1">
        <f t="array" ref="F1976">SUMPRODUCT((Tablo3[Şehirler]=E1976)*(Tablo3[Ürün Kar Tutarı]))</f>
        <v>0</v>
      </c>
      <c r="H1976" s="14"/>
      <c r="J1976" s="9" cm="1">
        <f t="array" ref="J1976">SUMPRODUCT((Tablo3[Urun Ad]=I1976)*(Tablo3[Ürün Kar Tutarı]))</f>
        <v>0</v>
      </c>
      <c r="L1976" s="37"/>
    </row>
    <row r="1977" spans="1:12" x14ac:dyDescent="0.25">
      <c r="A1977" s="13"/>
      <c r="B1977" s="9" cm="1">
        <f t="array" ref="B1977">SUMPRODUCT((Tablo3[Personel Ad]=A1977)*(Tablo3[Ürün Kar Tutarı]))</f>
        <v>0</v>
      </c>
      <c r="D1977" s="14"/>
      <c r="F1977" s="9" cm="1">
        <f t="array" ref="F1977">SUMPRODUCT((Tablo3[Şehirler]=E1977)*(Tablo3[Ürün Kar Tutarı]))</f>
        <v>0</v>
      </c>
      <c r="H1977" s="14"/>
      <c r="J1977" s="9" cm="1">
        <f t="array" ref="J1977">SUMPRODUCT((Tablo3[Urun Ad]=I1977)*(Tablo3[Ürün Kar Tutarı]))</f>
        <v>0</v>
      </c>
      <c r="L1977" s="37"/>
    </row>
    <row r="1978" spans="1:12" x14ac:dyDescent="0.25">
      <c r="A1978" s="13"/>
      <c r="B1978" s="9" cm="1">
        <f t="array" ref="B1978">SUMPRODUCT((Tablo3[Personel Ad]=A1978)*(Tablo3[Ürün Kar Tutarı]))</f>
        <v>0</v>
      </c>
      <c r="D1978" s="14"/>
      <c r="F1978" s="9" cm="1">
        <f t="array" ref="F1978">SUMPRODUCT((Tablo3[Şehirler]=E1978)*(Tablo3[Ürün Kar Tutarı]))</f>
        <v>0</v>
      </c>
      <c r="H1978" s="14"/>
      <c r="J1978" s="9" cm="1">
        <f t="array" ref="J1978">SUMPRODUCT((Tablo3[Urun Ad]=I1978)*(Tablo3[Ürün Kar Tutarı]))</f>
        <v>0</v>
      </c>
      <c r="L1978" s="37"/>
    </row>
    <row r="1979" spans="1:12" x14ac:dyDescent="0.25">
      <c r="A1979" s="13"/>
      <c r="B1979" s="9" cm="1">
        <f t="array" ref="B1979">SUMPRODUCT((Tablo3[Personel Ad]=A1979)*(Tablo3[Ürün Kar Tutarı]))</f>
        <v>0</v>
      </c>
      <c r="D1979" s="14"/>
      <c r="F1979" s="9" cm="1">
        <f t="array" ref="F1979">SUMPRODUCT((Tablo3[Şehirler]=E1979)*(Tablo3[Ürün Kar Tutarı]))</f>
        <v>0</v>
      </c>
      <c r="H1979" s="14"/>
      <c r="J1979" s="9" cm="1">
        <f t="array" ref="J1979">SUMPRODUCT((Tablo3[Urun Ad]=I1979)*(Tablo3[Ürün Kar Tutarı]))</f>
        <v>0</v>
      </c>
      <c r="L1979" s="37"/>
    </row>
    <row r="1980" spans="1:12" x14ac:dyDescent="0.25">
      <c r="A1980" s="13"/>
      <c r="B1980" s="9" cm="1">
        <f t="array" ref="B1980">SUMPRODUCT((Tablo3[Personel Ad]=A1980)*(Tablo3[Ürün Kar Tutarı]))</f>
        <v>0</v>
      </c>
      <c r="D1980" s="14"/>
      <c r="F1980" s="9" cm="1">
        <f t="array" ref="F1980">SUMPRODUCT((Tablo3[Şehirler]=E1980)*(Tablo3[Ürün Kar Tutarı]))</f>
        <v>0</v>
      </c>
      <c r="H1980" s="14"/>
      <c r="J1980" s="9" cm="1">
        <f t="array" ref="J1980">SUMPRODUCT((Tablo3[Urun Ad]=I1980)*(Tablo3[Ürün Kar Tutarı]))</f>
        <v>0</v>
      </c>
      <c r="L1980" s="37"/>
    </row>
    <row r="1981" spans="1:12" x14ac:dyDescent="0.25">
      <c r="A1981" s="13"/>
      <c r="B1981" s="9" cm="1">
        <f t="array" ref="B1981">SUMPRODUCT((Tablo3[Personel Ad]=A1981)*(Tablo3[Ürün Kar Tutarı]))</f>
        <v>0</v>
      </c>
      <c r="D1981" s="14"/>
      <c r="F1981" s="9" cm="1">
        <f t="array" ref="F1981">SUMPRODUCT((Tablo3[Şehirler]=E1981)*(Tablo3[Ürün Kar Tutarı]))</f>
        <v>0</v>
      </c>
      <c r="H1981" s="14"/>
      <c r="J1981" s="9" cm="1">
        <f t="array" ref="J1981">SUMPRODUCT((Tablo3[Urun Ad]=I1981)*(Tablo3[Ürün Kar Tutarı]))</f>
        <v>0</v>
      </c>
      <c r="L1981" s="37"/>
    </row>
    <row r="1982" spans="1:12" x14ac:dyDescent="0.25">
      <c r="A1982" s="13"/>
      <c r="B1982" s="9" cm="1">
        <f t="array" ref="B1982">SUMPRODUCT((Tablo3[Personel Ad]=A1982)*(Tablo3[Ürün Kar Tutarı]))</f>
        <v>0</v>
      </c>
      <c r="D1982" s="14"/>
      <c r="F1982" s="9" cm="1">
        <f t="array" ref="F1982">SUMPRODUCT((Tablo3[Şehirler]=E1982)*(Tablo3[Ürün Kar Tutarı]))</f>
        <v>0</v>
      </c>
      <c r="H1982" s="14"/>
      <c r="J1982" s="9" cm="1">
        <f t="array" ref="J1982">SUMPRODUCT((Tablo3[Urun Ad]=I1982)*(Tablo3[Ürün Kar Tutarı]))</f>
        <v>0</v>
      </c>
      <c r="L1982" s="37"/>
    </row>
    <row r="1983" spans="1:12" x14ac:dyDescent="0.25">
      <c r="A1983" s="13"/>
      <c r="B1983" s="9" cm="1">
        <f t="array" ref="B1983">SUMPRODUCT((Tablo3[Personel Ad]=A1983)*(Tablo3[Ürün Kar Tutarı]))</f>
        <v>0</v>
      </c>
      <c r="D1983" s="14"/>
      <c r="F1983" s="9" cm="1">
        <f t="array" ref="F1983">SUMPRODUCT((Tablo3[Şehirler]=E1983)*(Tablo3[Ürün Kar Tutarı]))</f>
        <v>0</v>
      </c>
      <c r="H1983" s="14"/>
      <c r="J1983" s="9" cm="1">
        <f t="array" ref="J1983">SUMPRODUCT((Tablo3[Urun Ad]=I1983)*(Tablo3[Ürün Kar Tutarı]))</f>
        <v>0</v>
      </c>
      <c r="L1983" s="37"/>
    </row>
    <row r="1984" spans="1:12" x14ac:dyDescent="0.25">
      <c r="A1984" s="13"/>
      <c r="B1984" s="9" cm="1">
        <f t="array" ref="B1984">SUMPRODUCT((Tablo3[Personel Ad]=A1984)*(Tablo3[Ürün Kar Tutarı]))</f>
        <v>0</v>
      </c>
      <c r="D1984" s="14"/>
      <c r="F1984" s="9" cm="1">
        <f t="array" ref="F1984">SUMPRODUCT((Tablo3[Şehirler]=E1984)*(Tablo3[Ürün Kar Tutarı]))</f>
        <v>0</v>
      </c>
      <c r="H1984" s="14"/>
      <c r="J1984" s="9" cm="1">
        <f t="array" ref="J1984">SUMPRODUCT((Tablo3[Urun Ad]=I1984)*(Tablo3[Ürün Kar Tutarı]))</f>
        <v>0</v>
      </c>
      <c r="L1984" s="37"/>
    </row>
    <row r="1985" spans="1:12" x14ac:dyDescent="0.25">
      <c r="A1985" s="13"/>
      <c r="B1985" s="9" cm="1">
        <f t="array" ref="B1985">SUMPRODUCT((Tablo3[Personel Ad]=A1985)*(Tablo3[Ürün Kar Tutarı]))</f>
        <v>0</v>
      </c>
      <c r="D1985" s="14"/>
      <c r="F1985" s="9" cm="1">
        <f t="array" ref="F1985">SUMPRODUCT((Tablo3[Şehirler]=E1985)*(Tablo3[Ürün Kar Tutarı]))</f>
        <v>0</v>
      </c>
      <c r="H1985" s="14"/>
      <c r="J1985" s="9" cm="1">
        <f t="array" ref="J1985">SUMPRODUCT((Tablo3[Urun Ad]=I1985)*(Tablo3[Ürün Kar Tutarı]))</f>
        <v>0</v>
      </c>
      <c r="L1985" s="37"/>
    </row>
    <row r="1986" spans="1:12" x14ac:dyDescent="0.25">
      <c r="A1986" s="13"/>
      <c r="B1986" s="9" cm="1">
        <f t="array" ref="B1986">SUMPRODUCT((Tablo3[Personel Ad]=A1986)*(Tablo3[Ürün Kar Tutarı]))</f>
        <v>0</v>
      </c>
      <c r="D1986" s="14"/>
      <c r="F1986" s="9" cm="1">
        <f t="array" ref="F1986">SUMPRODUCT((Tablo3[Şehirler]=E1986)*(Tablo3[Ürün Kar Tutarı]))</f>
        <v>0</v>
      </c>
      <c r="H1986" s="14"/>
      <c r="J1986" s="9" cm="1">
        <f t="array" ref="J1986">SUMPRODUCT((Tablo3[Urun Ad]=I1986)*(Tablo3[Ürün Kar Tutarı]))</f>
        <v>0</v>
      </c>
      <c r="L1986" s="37"/>
    </row>
    <row r="1987" spans="1:12" x14ac:dyDescent="0.25">
      <c r="A1987" s="13"/>
      <c r="B1987" s="9" cm="1">
        <f t="array" ref="B1987">SUMPRODUCT((Tablo3[Personel Ad]=A1987)*(Tablo3[Ürün Kar Tutarı]))</f>
        <v>0</v>
      </c>
      <c r="D1987" s="14"/>
      <c r="F1987" s="9" cm="1">
        <f t="array" ref="F1987">SUMPRODUCT((Tablo3[Şehirler]=E1987)*(Tablo3[Ürün Kar Tutarı]))</f>
        <v>0</v>
      </c>
      <c r="H1987" s="14"/>
      <c r="J1987" s="9" cm="1">
        <f t="array" ref="J1987">SUMPRODUCT((Tablo3[Urun Ad]=I1987)*(Tablo3[Ürün Kar Tutarı]))</f>
        <v>0</v>
      </c>
      <c r="L1987" s="37"/>
    </row>
    <row r="1988" spans="1:12" x14ac:dyDescent="0.25">
      <c r="A1988" s="13"/>
      <c r="B1988" s="9" cm="1">
        <f t="array" ref="B1988">SUMPRODUCT((Tablo3[Personel Ad]=A1988)*(Tablo3[Ürün Kar Tutarı]))</f>
        <v>0</v>
      </c>
      <c r="D1988" s="14"/>
      <c r="F1988" s="9" cm="1">
        <f t="array" ref="F1988">SUMPRODUCT((Tablo3[Şehirler]=E1988)*(Tablo3[Ürün Kar Tutarı]))</f>
        <v>0</v>
      </c>
      <c r="H1988" s="14"/>
      <c r="J1988" s="9" cm="1">
        <f t="array" ref="J1988">SUMPRODUCT((Tablo3[Urun Ad]=I1988)*(Tablo3[Ürün Kar Tutarı]))</f>
        <v>0</v>
      </c>
      <c r="L1988" s="37"/>
    </row>
    <row r="1989" spans="1:12" x14ac:dyDescent="0.25">
      <c r="A1989" s="13"/>
      <c r="B1989" s="9" cm="1">
        <f t="array" ref="B1989">SUMPRODUCT((Tablo3[Personel Ad]=A1989)*(Tablo3[Ürün Kar Tutarı]))</f>
        <v>0</v>
      </c>
      <c r="D1989" s="14"/>
      <c r="F1989" s="9" cm="1">
        <f t="array" ref="F1989">SUMPRODUCT((Tablo3[Şehirler]=E1989)*(Tablo3[Ürün Kar Tutarı]))</f>
        <v>0</v>
      </c>
      <c r="H1989" s="14"/>
      <c r="J1989" s="9" cm="1">
        <f t="array" ref="J1989">SUMPRODUCT((Tablo3[Urun Ad]=I1989)*(Tablo3[Ürün Kar Tutarı]))</f>
        <v>0</v>
      </c>
      <c r="L1989" s="37"/>
    </row>
    <row r="1990" spans="1:12" x14ac:dyDescent="0.25">
      <c r="A1990" s="13"/>
      <c r="B1990" s="9" cm="1">
        <f t="array" ref="B1990">SUMPRODUCT((Tablo3[Personel Ad]=A1990)*(Tablo3[Ürün Kar Tutarı]))</f>
        <v>0</v>
      </c>
      <c r="D1990" s="14"/>
      <c r="F1990" s="9" cm="1">
        <f t="array" ref="F1990">SUMPRODUCT((Tablo3[Şehirler]=E1990)*(Tablo3[Ürün Kar Tutarı]))</f>
        <v>0</v>
      </c>
      <c r="H1990" s="14"/>
      <c r="J1990" s="9" cm="1">
        <f t="array" ref="J1990">SUMPRODUCT((Tablo3[Urun Ad]=I1990)*(Tablo3[Ürün Kar Tutarı]))</f>
        <v>0</v>
      </c>
      <c r="L1990" s="37"/>
    </row>
    <row r="1991" spans="1:12" x14ac:dyDescent="0.25">
      <c r="A1991" s="13"/>
      <c r="B1991" s="9" cm="1">
        <f t="array" ref="B1991">SUMPRODUCT((Tablo3[Personel Ad]=A1991)*(Tablo3[Ürün Kar Tutarı]))</f>
        <v>0</v>
      </c>
      <c r="D1991" s="14"/>
      <c r="F1991" s="9" cm="1">
        <f t="array" ref="F1991">SUMPRODUCT((Tablo3[Şehirler]=E1991)*(Tablo3[Ürün Kar Tutarı]))</f>
        <v>0</v>
      </c>
      <c r="H1991" s="14"/>
      <c r="J1991" s="9" cm="1">
        <f t="array" ref="J1991">SUMPRODUCT((Tablo3[Urun Ad]=I1991)*(Tablo3[Ürün Kar Tutarı]))</f>
        <v>0</v>
      </c>
      <c r="L1991" s="37"/>
    </row>
    <row r="1992" spans="1:12" x14ac:dyDescent="0.25">
      <c r="A1992" s="13"/>
      <c r="B1992" s="9" cm="1">
        <f t="array" ref="B1992">SUMPRODUCT((Tablo3[Personel Ad]=A1992)*(Tablo3[Ürün Kar Tutarı]))</f>
        <v>0</v>
      </c>
      <c r="D1992" s="14"/>
      <c r="F1992" s="9" cm="1">
        <f t="array" ref="F1992">SUMPRODUCT((Tablo3[Şehirler]=E1992)*(Tablo3[Ürün Kar Tutarı]))</f>
        <v>0</v>
      </c>
      <c r="H1992" s="14"/>
      <c r="J1992" s="9" cm="1">
        <f t="array" ref="J1992">SUMPRODUCT((Tablo3[Urun Ad]=I1992)*(Tablo3[Ürün Kar Tutarı]))</f>
        <v>0</v>
      </c>
      <c r="L1992" s="37"/>
    </row>
    <row r="1993" spans="1:12" x14ac:dyDescent="0.25">
      <c r="A1993" s="13"/>
      <c r="B1993" s="9" cm="1">
        <f t="array" ref="B1993">SUMPRODUCT((Tablo3[Personel Ad]=A1993)*(Tablo3[Ürün Kar Tutarı]))</f>
        <v>0</v>
      </c>
      <c r="D1993" s="14"/>
      <c r="F1993" s="9" cm="1">
        <f t="array" ref="F1993">SUMPRODUCT((Tablo3[Şehirler]=E1993)*(Tablo3[Ürün Kar Tutarı]))</f>
        <v>0</v>
      </c>
      <c r="H1993" s="14"/>
      <c r="J1993" s="9" cm="1">
        <f t="array" ref="J1993">SUMPRODUCT((Tablo3[Urun Ad]=I1993)*(Tablo3[Ürün Kar Tutarı]))</f>
        <v>0</v>
      </c>
      <c r="L1993" s="37"/>
    </row>
    <row r="1994" spans="1:12" x14ac:dyDescent="0.25">
      <c r="A1994" s="13"/>
      <c r="B1994" s="9" cm="1">
        <f t="array" ref="B1994">SUMPRODUCT((Tablo3[Personel Ad]=A1994)*(Tablo3[Ürün Kar Tutarı]))</f>
        <v>0</v>
      </c>
      <c r="D1994" s="14"/>
      <c r="F1994" s="9" cm="1">
        <f t="array" ref="F1994">SUMPRODUCT((Tablo3[Şehirler]=E1994)*(Tablo3[Ürün Kar Tutarı]))</f>
        <v>0</v>
      </c>
      <c r="H1994" s="14"/>
      <c r="J1994" s="9" cm="1">
        <f t="array" ref="J1994">SUMPRODUCT((Tablo3[Urun Ad]=I1994)*(Tablo3[Ürün Kar Tutarı]))</f>
        <v>0</v>
      </c>
      <c r="L1994" s="37"/>
    </row>
    <row r="1995" spans="1:12" x14ac:dyDescent="0.25">
      <c r="A1995" s="13"/>
      <c r="B1995" s="9" cm="1">
        <f t="array" ref="B1995">SUMPRODUCT((Tablo3[Personel Ad]=A1995)*(Tablo3[Ürün Kar Tutarı]))</f>
        <v>0</v>
      </c>
      <c r="D1995" s="14"/>
      <c r="F1995" s="9" cm="1">
        <f t="array" ref="F1995">SUMPRODUCT((Tablo3[Şehirler]=E1995)*(Tablo3[Ürün Kar Tutarı]))</f>
        <v>0</v>
      </c>
      <c r="H1995" s="14"/>
      <c r="J1995" s="9" cm="1">
        <f t="array" ref="J1995">SUMPRODUCT((Tablo3[Urun Ad]=I1995)*(Tablo3[Ürün Kar Tutarı]))</f>
        <v>0</v>
      </c>
      <c r="L1995" s="37"/>
    </row>
    <row r="1996" spans="1:12" x14ac:dyDescent="0.25">
      <c r="A1996" s="13"/>
      <c r="B1996" s="9" cm="1">
        <f t="array" ref="B1996">SUMPRODUCT((Tablo3[Personel Ad]=A1996)*(Tablo3[Ürün Kar Tutarı]))</f>
        <v>0</v>
      </c>
      <c r="D1996" s="14"/>
      <c r="F1996" s="9" cm="1">
        <f t="array" ref="F1996">SUMPRODUCT((Tablo3[Şehirler]=E1996)*(Tablo3[Ürün Kar Tutarı]))</f>
        <v>0</v>
      </c>
      <c r="H1996" s="14"/>
      <c r="J1996" s="9" cm="1">
        <f t="array" ref="J1996">SUMPRODUCT((Tablo3[Urun Ad]=I1996)*(Tablo3[Ürün Kar Tutarı]))</f>
        <v>0</v>
      </c>
      <c r="L1996" s="37"/>
    </row>
    <row r="1997" spans="1:12" x14ac:dyDescent="0.25">
      <c r="A1997" s="13"/>
      <c r="B1997" s="9" cm="1">
        <f t="array" ref="B1997">SUMPRODUCT((Tablo3[Personel Ad]=A1997)*(Tablo3[Ürün Kar Tutarı]))</f>
        <v>0</v>
      </c>
      <c r="D1997" s="14"/>
      <c r="F1997" s="9" cm="1">
        <f t="array" ref="F1997">SUMPRODUCT((Tablo3[Şehirler]=E1997)*(Tablo3[Ürün Kar Tutarı]))</f>
        <v>0</v>
      </c>
      <c r="H1997" s="14"/>
      <c r="J1997" s="9" cm="1">
        <f t="array" ref="J1997">SUMPRODUCT((Tablo3[Urun Ad]=I1997)*(Tablo3[Ürün Kar Tutarı]))</f>
        <v>0</v>
      </c>
      <c r="L1997" s="37"/>
    </row>
    <row r="1998" spans="1:12" x14ac:dyDescent="0.25">
      <c r="A1998" s="13"/>
      <c r="B1998" s="9" cm="1">
        <f t="array" ref="B1998">SUMPRODUCT((Tablo3[Personel Ad]=A1998)*(Tablo3[Ürün Kar Tutarı]))</f>
        <v>0</v>
      </c>
      <c r="D1998" s="14"/>
      <c r="F1998" s="9" cm="1">
        <f t="array" ref="F1998">SUMPRODUCT((Tablo3[Şehirler]=E1998)*(Tablo3[Ürün Kar Tutarı]))</f>
        <v>0</v>
      </c>
      <c r="H1998" s="14"/>
      <c r="J1998" s="9" cm="1">
        <f t="array" ref="J1998">SUMPRODUCT((Tablo3[Urun Ad]=I1998)*(Tablo3[Ürün Kar Tutarı]))</f>
        <v>0</v>
      </c>
      <c r="L1998" s="37"/>
    </row>
    <row r="1999" spans="1:12" x14ac:dyDescent="0.25">
      <c r="A1999" s="13"/>
      <c r="B1999" s="9" cm="1">
        <f t="array" ref="B1999">SUMPRODUCT((Tablo3[Personel Ad]=A1999)*(Tablo3[Ürün Kar Tutarı]))</f>
        <v>0</v>
      </c>
      <c r="D1999" s="14"/>
      <c r="F1999" s="9" cm="1">
        <f t="array" ref="F1999">SUMPRODUCT((Tablo3[Şehirler]=E1999)*(Tablo3[Ürün Kar Tutarı]))</f>
        <v>0</v>
      </c>
      <c r="H1999" s="14"/>
      <c r="J1999" s="9" cm="1">
        <f t="array" ref="J1999">SUMPRODUCT((Tablo3[Urun Ad]=I1999)*(Tablo3[Ürün Kar Tutarı]))</f>
        <v>0</v>
      </c>
      <c r="L1999" s="37"/>
    </row>
    <row r="2000" spans="1:12" x14ac:dyDescent="0.25">
      <c r="A2000" s="13"/>
      <c r="B2000" s="9" cm="1">
        <f t="array" ref="B2000">SUMPRODUCT((Tablo3[Personel Ad]=A2000)*(Tablo3[Ürün Kar Tutarı]))</f>
        <v>0</v>
      </c>
      <c r="D2000" s="14"/>
      <c r="F2000" s="9" cm="1">
        <f t="array" ref="F2000">SUMPRODUCT((Tablo3[Şehirler]=E2000)*(Tablo3[Ürün Kar Tutarı]))</f>
        <v>0</v>
      </c>
      <c r="H2000" s="14"/>
      <c r="J2000" s="9" cm="1">
        <f t="array" ref="J2000">SUMPRODUCT((Tablo3[Urun Ad]=I2000)*(Tablo3[Ürün Kar Tutarı]))</f>
        <v>0</v>
      </c>
      <c r="L2000" s="37"/>
    </row>
    <row r="2001" spans="1:12" x14ac:dyDescent="0.25">
      <c r="A2001" s="13"/>
      <c r="B2001" s="9" cm="1">
        <f t="array" ref="B2001">SUMPRODUCT((Tablo3[Personel Ad]=A2001)*(Tablo3[Ürün Kar Tutarı]))</f>
        <v>0</v>
      </c>
      <c r="D2001" s="14"/>
      <c r="F2001" s="9" cm="1">
        <f t="array" ref="F2001">SUMPRODUCT((Tablo3[Şehirler]=E2001)*(Tablo3[Ürün Kar Tutarı]))</f>
        <v>0</v>
      </c>
      <c r="H2001" s="14"/>
      <c r="J2001" s="9" cm="1">
        <f t="array" ref="J2001">SUMPRODUCT((Tablo3[Urun Ad]=I2001)*(Tablo3[Ürün Kar Tutarı]))</f>
        <v>0</v>
      </c>
      <c r="L2001" s="37"/>
    </row>
    <row r="2002" spans="1:12" x14ac:dyDescent="0.25">
      <c r="A2002" s="13"/>
      <c r="B2002" s="9" cm="1">
        <f t="array" ref="B2002">SUMPRODUCT((Tablo3[Personel Ad]=A2002)*(Tablo3[Ürün Kar Tutarı]))</f>
        <v>0</v>
      </c>
      <c r="D2002" s="14"/>
      <c r="F2002" s="9" cm="1">
        <f t="array" ref="F2002">SUMPRODUCT((Tablo3[Şehirler]=E2002)*(Tablo3[Ürün Kar Tutarı]))</f>
        <v>0</v>
      </c>
      <c r="H2002" s="14"/>
      <c r="J2002" s="9" cm="1">
        <f t="array" ref="J2002">SUMPRODUCT((Tablo3[Urun Ad]=I2002)*(Tablo3[Ürün Kar Tutarı]))</f>
        <v>0</v>
      </c>
      <c r="L2002" s="37"/>
    </row>
    <row r="2003" spans="1:12" x14ac:dyDescent="0.25">
      <c r="A2003" s="13"/>
      <c r="B2003" s="9" cm="1">
        <f t="array" ref="B2003">SUMPRODUCT((Tablo3[Personel Ad]=A2003)*(Tablo3[Ürün Kar Tutarı]))</f>
        <v>0</v>
      </c>
      <c r="D2003" s="14"/>
      <c r="F2003" s="9" cm="1">
        <f t="array" ref="F2003">SUMPRODUCT((Tablo3[Şehirler]=E2003)*(Tablo3[Ürün Kar Tutarı]))</f>
        <v>0</v>
      </c>
      <c r="H2003" s="14"/>
      <c r="J2003" s="9" cm="1">
        <f t="array" ref="J2003">SUMPRODUCT((Tablo3[Urun Ad]=I2003)*(Tablo3[Ürün Kar Tutarı]))</f>
        <v>0</v>
      </c>
      <c r="L2003" s="37"/>
    </row>
    <row r="2004" spans="1:12" x14ac:dyDescent="0.25">
      <c r="A2004" s="13"/>
      <c r="B2004" s="9" cm="1">
        <f t="array" ref="B2004">SUMPRODUCT((Tablo3[Personel Ad]=A2004)*(Tablo3[Ürün Kar Tutarı]))</f>
        <v>0</v>
      </c>
      <c r="D2004" s="14"/>
      <c r="F2004" s="9" cm="1">
        <f t="array" ref="F2004">SUMPRODUCT((Tablo3[Şehirler]=E2004)*(Tablo3[Ürün Kar Tutarı]))</f>
        <v>0</v>
      </c>
      <c r="H2004" s="14"/>
      <c r="J2004" s="9" cm="1">
        <f t="array" ref="J2004">SUMPRODUCT((Tablo3[Urun Ad]=I2004)*(Tablo3[Ürün Kar Tutarı]))</f>
        <v>0</v>
      </c>
      <c r="L2004" s="37"/>
    </row>
    <row r="2005" spans="1:12" x14ac:dyDescent="0.25">
      <c r="A2005" s="13"/>
      <c r="B2005" s="9" cm="1">
        <f t="array" ref="B2005">SUMPRODUCT((Tablo3[Personel Ad]=A2005)*(Tablo3[Ürün Kar Tutarı]))</f>
        <v>0</v>
      </c>
      <c r="D2005" s="14"/>
      <c r="F2005" s="9" cm="1">
        <f t="array" ref="F2005">SUMPRODUCT((Tablo3[Şehirler]=E2005)*(Tablo3[Ürün Kar Tutarı]))</f>
        <v>0</v>
      </c>
      <c r="H2005" s="14"/>
      <c r="J2005" s="9" cm="1">
        <f t="array" ref="J2005">SUMPRODUCT((Tablo3[Urun Ad]=I2005)*(Tablo3[Ürün Kar Tutarı]))</f>
        <v>0</v>
      </c>
      <c r="L2005" s="37"/>
    </row>
    <row r="2006" spans="1:12" x14ac:dyDescent="0.25">
      <c r="A2006" s="13"/>
      <c r="B2006" s="9" cm="1">
        <f t="array" ref="B2006">SUMPRODUCT((Tablo3[Personel Ad]=A2006)*(Tablo3[Ürün Kar Tutarı]))</f>
        <v>0</v>
      </c>
      <c r="D2006" s="14"/>
      <c r="F2006" s="9" cm="1">
        <f t="array" ref="F2006">SUMPRODUCT((Tablo3[Şehirler]=E2006)*(Tablo3[Ürün Kar Tutarı]))</f>
        <v>0</v>
      </c>
      <c r="H2006" s="14"/>
      <c r="J2006" s="9" cm="1">
        <f t="array" ref="J2006">SUMPRODUCT((Tablo3[Urun Ad]=I2006)*(Tablo3[Ürün Kar Tutarı]))</f>
        <v>0</v>
      </c>
      <c r="L2006" s="37"/>
    </row>
    <row r="2007" spans="1:12" x14ac:dyDescent="0.25">
      <c r="A2007" s="13"/>
      <c r="B2007" s="9" cm="1">
        <f t="array" ref="B2007">SUMPRODUCT((Tablo3[Personel Ad]=A2007)*(Tablo3[Ürün Kar Tutarı]))</f>
        <v>0</v>
      </c>
      <c r="D2007" s="14"/>
      <c r="F2007" s="9" cm="1">
        <f t="array" ref="F2007">SUMPRODUCT((Tablo3[Şehirler]=E2007)*(Tablo3[Ürün Kar Tutarı]))</f>
        <v>0</v>
      </c>
      <c r="H2007" s="14"/>
      <c r="J2007" s="9" cm="1">
        <f t="array" ref="J2007">SUMPRODUCT((Tablo3[Urun Ad]=I2007)*(Tablo3[Ürün Kar Tutarı]))</f>
        <v>0</v>
      </c>
      <c r="L2007" s="37"/>
    </row>
    <row r="2008" spans="1:12" x14ac:dyDescent="0.25">
      <c r="A2008" s="13"/>
      <c r="B2008" s="9" cm="1">
        <f t="array" ref="B2008">SUMPRODUCT((Tablo3[Personel Ad]=A2008)*(Tablo3[Ürün Kar Tutarı]))</f>
        <v>0</v>
      </c>
      <c r="D2008" s="14"/>
      <c r="F2008" s="9" cm="1">
        <f t="array" ref="F2008">SUMPRODUCT((Tablo3[Şehirler]=E2008)*(Tablo3[Ürün Kar Tutarı]))</f>
        <v>0</v>
      </c>
      <c r="H2008" s="14"/>
      <c r="J2008" s="9" cm="1">
        <f t="array" ref="J2008">SUMPRODUCT((Tablo3[Urun Ad]=I2008)*(Tablo3[Ürün Kar Tutarı]))</f>
        <v>0</v>
      </c>
      <c r="L2008" s="37"/>
    </row>
    <row r="2009" spans="1:12" x14ac:dyDescent="0.25">
      <c r="A2009" s="13"/>
      <c r="B2009" s="9" cm="1">
        <f t="array" ref="B2009">SUMPRODUCT((Tablo3[Personel Ad]=A2009)*(Tablo3[Ürün Kar Tutarı]))</f>
        <v>0</v>
      </c>
      <c r="D2009" s="14"/>
      <c r="F2009" s="9" cm="1">
        <f t="array" ref="F2009">SUMPRODUCT((Tablo3[Şehirler]=E2009)*(Tablo3[Ürün Kar Tutarı]))</f>
        <v>0</v>
      </c>
      <c r="H2009" s="14"/>
      <c r="J2009" s="9" cm="1">
        <f t="array" ref="J2009">SUMPRODUCT((Tablo3[Urun Ad]=I2009)*(Tablo3[Ürün Kar Tutarı]))</f>
        <v>0</v>
      </c>
      <c r="L2009" s="37"/>
    </row>
    <row r="2010" spans="1:12" x14ac:dyDescent="0.25">
      <c r="A2010" s="13"/>
      <c r="B2010" s="9" cm="1">
        <f t="array" ref="B2010">SUMPRODUCT((Tablo3[Personel Ad]=A2010)*(Tablo3[Ürün Kar Tutarı]))</f>
        <v>0</v>
      </c>
      <c r="D2010" s="14"/>
      <c r="F2010" s="9" cm="1">
        <f t="array" ref="F2010">SUMPRODUCT((Tablo3[Şehirler]=E2010)*(Tablo3[Ürün Kar Tutarı]))</f>
        <v>0</v>
      </c>
      <c r="H2010" s="14"/>
      <c r="J2010" s="9" cm="1">
        <f t="array" ref="J2010">SUMPRODUCT((Tablo3[Urun Ad]=I2010)*(Tablo3[Ürün Kar Tutarı]))</f>
        <v>0</v>
      </c>
      <c r="L2010" s="37"/>
    </row>
    <row r="2011" spans="1:12" x14ac:dyDescent="0.25">
      <c r="A2011" s="13"/>
      <c r="B2011" s="9" cm="1">
        <f t="array" ref="B2011">SUMPRODUCT((Tablo3[Personel Ad]=A2011)*(Tablo3[Ürün Kar Tutarı]))</f>
        <v>0</v>
      </c>
      <c r="D2011" s="14"/>
      <c r="F2011" s="9" cm="1">
        <f t="array" ref="F2011">SUMPRODUCT((Tablo3[Şehirler]=E2011)*(Tablo3[Ürün Kar Tutarı]))</f>
        <v>0</v>
      </c>
      <c r="H2011" s="14"/>
      <c r="J2011" s="9" cm="1">
        <f t="array" ref="J2011">SUMPRODUCT((Tablo3[Urun Ad]=I2011)*(Tablo3[Ürün Kar Tutarı]))</f>
        <v>0</v>
      </c>
      <c r="L2011" s="37"/>
    </row>
    <row r="2012" spans="1:12" x14ac:dyDescent="0.25">
      <c r="A2012" s="13"/>
      <c r="B2012" s="9" cm="1">
        <f t="array" ref="B2012">SUMPRODUCT((Tablo3[Personel Ad]=A2012)*(Tablo3[Ürün Kar Tutarı]))</f>
        <v>0</v>
      </c>
      <c r="D2012" s="14"/>
      <c r="F2012" s="9" cm="1">
        <f t="array" ref="F2012">SUMPRODUCT((Tablo3[Şehirler]=E2012)*(Tablo3[Ürün Kar Tutarı]))</f>
        <v>0</v>
      </c>
      <c r="H2012" s="14"/>
      <c r="J2012" s="9" cm="1">
        <f t="array" ref="J2012">SUMPRODUCT((Tablo3[Urun Ad]=I2012)*(Tablo3[Ürün Kar Tutarı]))</f>
        <v>0</v>
      </c>
      <c r="L2012" s="37"/>
    </row>
    <row r="2013" spans="1:12" x14ac:dyDescent="0.25">
      <c r="A2013" s="13"/>
      <c r="B2013" s="9" cm="1">
        <f t="array" ref="B2013">SUMPRODUCT((Tablo3[Personel Ad]=A2013)*(Tablo3[Ürün Kar Tutarı]))</f>
        <v>0</v>
      </c>
      <c r="D2013" s="14"/>
      <c r="F2013" s="9" cm="1">
        <f t="array" ref="F2013">SUMPRODUCT((Tablo3[Şehirler]=E2013)*(Tablo3[Ürün Kar Tutarı]))</f>
        <v>0</v>
      </c>
      <c r="H2013" s="14"/>
      <c r="J2013" s="9" cm="1">
        <f t="array" ref="J2013">SUMPRODUCT((Tablo3[Urun Ad]=I2013)*(Tablo3[Ürün Kar Tutarı]))</f>
        <v>0</v>
      </c>
      <c r="L2013" s="37"/>
    </row>
    <row r="2014" spans="1:12" x14ac:dyDescent="0.25">
      <c r="A2014" s="13"/>
      <c r="B2014" s="9" cm="1">
        <f t="array" ref="B2014">SUMPRODUCT((Tablo3[Personel Ad]=A2014)*(Tablo3[Ürün Kar Tutarı]))</f>
        <v>0</v>
      </c>
      <c r="D2014" s="14"/>
      <c r="F2014" s="9" cm="1">
        <f t="array" ref="F2014">SUMPRODUCT((Tablo3[Şehirler]=E2014)*(Tablo3[Ürün Kar Tutarı]))</f>
        <v>0</v>
      </c>
      <c r="H2014" s="14"/>
      <c r="J2014" s="9" cm="1">
        <f t="array" ref="J2014">SUMPRODUCT((Tablo3[Urun Ad]=I2014)*(Tablo3[Ürün Kar Tutarı]))</f>
        <v>0</v>
      </c>
      <c r="L2014" s="37"/>
    </row>
    <row r="2015" spans="1:12" x14ac:dyDescent="0.25">
      <c r="A2015" s="13"/>
      <c r="B2015" s="9" cm="1">
        <f t="array" ref="B2015">SUMPRODUCT((Tablo3[Personel Ad]=A2015)*(Tablo3[Ürün Kar Tutarı]))</f>
        <v>0</v>
      </c>
      <c r="D2015" s="14"/>
      <c r="F2015" s="9" cm="1">
        <f t="array" ref="F2015">SUMPRODUCT((Tablo3[Şehirler]=E2015)*(Tablo3[Ürün Kar Tutarı]))</f>
        <v>0</v>
      </c>
      <c r="H2015" s="14"/>
      <c r="J2015" s="9" cm="1">
        <f t="array" ref="J2015">SUMPRODUCT((Tablo3[Urun Ad]=I2015)*(Tablo3[Ürün Kar Tutarı]))</f>
        <v>0</v>
      </c>
      <c r="L2015" s="37"/>
    </row>
    <row r="2016" spans="1:12" x14ac:dyDescent="0.25">
      <c r="A2016" s="13"/>
      <c r="B2016" s="9" cm="1">
        <f t="array" ref="B2016">SUMPRODUCT((Tablo3[Personel Ad]=A2016)*(Tablo3[Ürün Kar Tutarı]))</f>
        <v>0</v>
      </c>
      <c r="D2016" s="14"/>
      <c r="F2016" s="9" cm="1">
        <f t="array" ref="F2016">SUMPRODUCT((Tablo3[Şehirler]=E2016)*(Tablo3[Ürün Kar Tutarı]))</f>
        <v>0</v>
      </c>
      <c r="H2016" s="14"/>
      <c r="J2016" s="9" cm="1">
        <f t="array" ref="J2016">SUMPRODUCT((Tablo3[Urun Ad]=I2016)*(Tablo3[Ürün Kar Tutarı]))</f>
        <v>0</v>
      </c>
      <c r="L2016" s="37"/>
    </row>
    <row r="2017" spans="1:12" x14ac:dyDescent="0.25">
      <c r="A2017" s="13"/>
      <c r="B2017" s="9" cm="1">
        <f t="array" ref="B2017">SUMPRODUCT((Tablo3[Personel Ad]=A2017)*(Tablo3[Ürün Kar Tutarı]))</f>
        <v>0</v>
      </c>
      <c r="D2017" s="14"/>
      <c r="F2017" s="9" cm="1">
        <f t="array" ref="F2017">SUMPRODUCT((Tablo3[Şehirler]=E2017)*(Tablo3[Ürün Kar Tutarı]))</f>
        <v>0</v>
      </c>
      <c r="H2017" s="14"/>
      <c r="J2017" s="9" cm="1">
        <f t="array" ref="J2017">SUMPRODUCT((Tablo3[Urun Ad]=I2017)*(Tablo3[Ürün Kar Tutarı]))</f>
        <v>0</v>
      </c>
      <c r="L2017" s="37"/>
    </row>
    <row r="2018" spans="1:12" x14ac:dyDescent="0.25">
      <c r="A2018" s="13"/>
      <c r="B2018" s="9" cm="1">
        <f t="array" ref="B2018">SUMPRODUCT((Tablo3[Personel Ad]=A2018)*(Tablo3[Ürün Kar Tutarı]))</f>
        <v>0</v>
      </c>
      <c r="D2018" s="14"/>
      <c r="F2018" s="9" cm="1">
        <f t="array" ref="F2018">SUMPRODUCT((Tablo3[Şehirler]=E2018)*(Tablo3[Ürün Kar Tutarı]))</f>
        <v>0</v>
      </c>
      <c r="H2018" s="14"/>
      <c r="J2018" s="9" cm="1">
        <f t="array" ref="J2018">SUMPRODUCT((Tablo3[Urun Ad]=I2018)*(Tablo3[Ürün Kar Tutarı]))</f>
        <v>0</v>
      </c>
      <c r="L2018" s="37"/>
    </row>
    <row r="2019" spans="1:12" x14ac:dyDescent="0.25">
      <c r="A2019" s="13"/>
      <c r="B2019" s="9" cm="1">
        <f t="array" ref="B2019">SUMPRODUCT((Tablo3[Personel Ad]=A2019)*(Tablo3[Ürün Kar Tutarı]))</f>
        <v>0</v>
      </c>
      <c r="D2019" s="14"/>
      <c r="F2019" s="9" cm="1">
        <f t="array" ref="F2019">SUMPRODUCT((Tablo3[Şehirler]=E2019)*(Tablo3[Ürün Kar Tutarı]))</f>
        <v>0</v>
      </c>
      <c r="H2019" s="14"/>
      <c r="J2019" s="9" cm="1">
        <f t="array" ref="J2019">SUMPRODUCT((Tablo3[Urun Ad]=I2019)*(Tablo3[Ürün Kar Tutarı]))</f>
        <v>0</v>
      </c>
      <c r="L2019" s="37"/>
    </row>
    <row r="2020" spans="1:12" x14ac:dyDescent="0.25">
      <c r="A2020" s="13"/>
      <c r="B2020" s="9" cm="1">
        <f t="array" ref="B2020">SUMPRODUCT((Tablo3[Personel Ad]=A2020)*(Tablo3[Ürün Kar Tutarı]))</f>
        <v>0</v>
      </c>
      <c r="D2020" s="14"/>
      <c r="F2020" s="9" cm="1">
        <f t="array" ref="F2020">SUMPRODUCT((Tablo3[Şehirler]=E2020)*(Tablo3[Ürün Kar Tutarı]))</f>
        <v>0</v>
      </c>
      <c r="H2020" s="14"/>
      <c r="J2020" s="9" cm="1">
        <f t="array" ref="J2020">SUMPRODUCT((Tablo3[Urun Ad]=I2020)*(Tablo3[Ürün Kar Tutarı]))</f>
        <v>0</v>
      </c>
      <c r="L2020" s="37"/>
    </row>
    <row r="2021" spans="1:12" x14ac:dyDescent="0.25">
      <c r="A2021" s="13"/>
      <c r="B2021" s="9" cm="1">
        <f t="array" ref="B2021">SUMPRODUCT((Tablo3[Personel Ad]=A2021)*(Tablo3[Ürün Kar Tutarı]))</f>
        <v>0</v>
      </c>
      <c r="D2021" s="14"/>
      <c r="F2021" s="9" cm="1">
        <f t="array" ref="F2021">SUMPRODUCT((Tablo3[Şehirler]=E2021)*(Tablo3[Ürün Kar Tutarı]))</f>
        <v>0</v>
      </c>
      <c r="H2021" s="14"/>
      <c r="J2021" s="9" cm="1">
        <f t="array" ref="J2021">SUMPRODUCT((Tablo3[Urun Ad]=I2021)*(Tablo3[Ürün Kar Tutarı]))</f>
        <v>0</v>
      </c>
      <c r="L2021" s="37"/>
    </row>
    <row r="2022" spans="1:12" x14ac:dyDescent="0.25">
      <c r="A2022" s="13"/>
      <c r="B2022" s="9" cm="1">
        <f t="array" ref="B2022">SUMPRODUCT((Tablo3[Personel Ad]=A2022)*(Tablo3[Ürün Kar Tutarı]))</f>
        <v>0</v>
      </c>
      <c r="D2022" s="14"/>
      <c r="F2022" s="9" cm="1">
        <f t="array" ref="F2022">SUMPRODUCT((Tablo3[Şehirler]=E2022)*(Tablo3[Ürün Kar Tutarı]))</f>
        <v>0</v>
      </c>
      <c r="H2022" s="14"/>
      <c r="J2022" s="9" cm="1">
        <f t="array" ref="J2022">SUMPRODUCT((Tablo3[Urun Ad]=I2022)*(Tablo3[Ürün Kar Tutarı]))</f>
        <v>0</v>
      </c>
      <c r="L2022" s="37"/>
    </row>
    <row r="2023" spans="1:12" x14ac:dyDescent="0.25">
      <c r="A2023" s="13"/>
      <c r="B2023" s="9" cm="1">
        <f t="array" ref="B2023">SUMPRODUCT((Tablo3[Personel Ad]=A2023)*(Tablo3[Ürün Kar Tutarı]))</f>
        <v>0</v>
      </c>
      <c r="D2023" s="14"/>
      <c r="F2023" s="9" cm="1">
        <f t="array" ref="F2023">SUMPRODUCT((Tablo3[Şehirler]=E2023)*(Tablo3[Ürün Kar Tutarı]))</f>
        <v>0</v>
      </c>
      <c r="H2023" s="14"/>
      <c r="J2023" s="9" cm="1">
        <f t="array" ref="J2023">SUMPRODUCT((Tablo3[Urun Ad]=I2023)*(Tablo3[Ürün Kar Tutarı]))</f>
        <v>0</v>
      </c>
      <c r="L2023" s="37"/>
    </row>
    <row r="2024" spans="1:12" x14ac:dyDescent="0.25">
      <c r="A2024" s="13"/>
      <c r="B2024" s="9" cm="1">
        <f t="array" ref="B2024">SUMPRODUCT((Tablo3[Personel Ad]=A2024)*(Tablo3[Ürün Kar Tutarı]))</f>
        <v>0</v>
      </c>
      <c r="D2024" s="14"/>
      <c r="F2024" s="9" cm="1">
        <f t="array" ref="F2024">SUMPRODUCT((Tablo3[Şehirler]=E2024)*(Tablo3[Ürün Kar Tutarı]))</f>
        <v>0</v>
      </c>
      <c r="H2024" s="14"/>
      <c r="J2024" s="9" cm="1">
        <f t="array" ref="J2024">SUMPRODUCT((Tablo3[Urun Ad]=I2024)*(Tablo3[Ürün Kar Tutarı]))</f>
        <v>0</v>
      </c>
      <c r="L2024" s="37"/>
    </row>
    <row r="2025" spans="1:12" x14ac:dyDescent="0.25">
      <c r="A2025" s="13"/>
      <c r="B2025" s="9" cm="1">
        <f t="array" ref="B2025">SUMPRODUCT((Tablo3[Personel Ad]=A2025)*(Tablo3[Ürün Kar Tutarı]))</f>
        <v>0</v>
      </c>
      <c r="D2025" s="14"/>
      <c r="F2025" s="9" cm="1">
        <f t="array" ref="F2025">SUMPRODUCT((Tablo3[Şehirler]=E2025)*(Tablo3[Ürün Kar Tutarı]))</f>
        <v>0</v>
      </c>
      <c r="H2025" s="14"/>
      <c r="J2025" s="9" cm="1">
        <f t="array" ref="J2025">SUMPRODUCT((Tablo3[Urun Ad]=I2025)*(Tablo3[Ürün Kar Tutarı]))</f>
        <v>0</v>
      </c>
      <c r="L2025" s="37"/>
    </row>
    <row r="2026" spans="1:12" x14ac:dyDescent="0.25">
      <c r="A2026" s="13"/>
      <c r="B2026" s="9" cm="1">
        <f t="array" ref="B2026">SUMPRODUCT((Tablo3[Personel Ad]=A2026)*(Tablo3[Ürün Kar Tutarı]))</f>
        <v>0</v>
      </c>
      <c r="D2026" s="14"/>
      <c r="F2026" s="9" cm="1">
        <f t="array" ref="F2026">SUMPRODUCT((Tablo3[Şehirler]=E2026)*(Tablo3[Ürün Kar Tutarı]))</f>
        <v>0</v>
      </c>
      <c r="H2026" s="14"/>
      <c r="J2026" s="9" cm="1">
        <f t="array" ref="J2026">SUMPRODUCT((Tablo3[Urun Ad]=I2026)*(Tablo3[Ürün Kar Tutarı]))</f>
        <v>0</v>
      </c>
      <c r="L2026" s="37"/>
    </row>
    <row r="2027" spans="1:12" x14ac:dyDescent="0.25">
      <c r="A2027" s="13"/>
      <c r="B2027" s="9" cm="1">
        <f t="array" ref="B2027">SUMPRODUCT((Tablo3[Personel Ad]=A2027)*(Tablo3[Ürün Kar Tutarı]))</f>
        <v>0</v>
      </c>
      <c r="D2027" s="14"/>
      <c r="F2027" s="9" cm="1">
        <f t="array" ref="F2027">SUMPRODUCT((Tablo3[Şehirler]=E2027)*(Tablo3[Ürün Kar Tutarı]))</f>
        <v>0</v>
      </c>
      <c r="H2027" s="14"/>
      <c r="J2027" s="9" cm="1">
        <f t="array" ref="J2027">SUMPRODUCT((Tablo3[Urun Ad]=I2027)*(Tablo3[Ürün Kar Tutarı]))</f>
        <v>0</v>
      </c>
      <c r="L2027" s="37"/>
    </row>
    <row r="2028" spans="1:12" x14ac:dyDescent="0.25">
      <c r="A2028" s="13"/>
      <c r="B2028" s="9" cm="1">
        <f t="array" ref="B2028">SUMPRODUCT((Tablo3[Personel Ad]=A2028)*(Tablo3[Ürün Kar Tutarı]))</f>
        <v>0</v>
      </c>
      <c r="D2028" s="14"/>
      <c r="F2028" s="9" cm="1">
        <f t="array" ref="F2028">SUMPRODUCT((Tablo3[Şehirler]=E2028)*(Tablo3[Ürün Kar Tutarı]))</f>
        <v>0</v>
      </c>
      <c r="H2028" s="14"/>
      <c r="J2028" s="9" cm="1">
        <f t="array" ref="J2028">SUMPRODUCT((Tablo3[Urun Ad]=I2028)*(Tablo3[Ürün Kar Tutarı]))</f>
        <v>0</v>
      </c>
      <c r="L2028" s="37"/>
    </row>
    <row r="2029" spans="1:12" x14ac:dyDescent="0.25">
      <c r="A2029" s="13"/>
      <c r="B2029" s="9" cm="1">
        <f t="array" ref="B2029">SUMPRODUCT((Tablo3[Personel Ad]=A2029)*(Tablo3[Ürün Kar Tutarı]))</f>
        <v>0</v>
      </c>
      <c r="D2029" s="14"/>
      <c r="F2029" s="9" cm="1">
        <f t="array" ref="F2029">SUMPRODUCT((Tablo3[Şehirler]=E2029)*(Tablo3[Ürün Kar Tutarı]))</f>
        <v>0</v>
      </c>
      <c r="H2029" s="14"/>
      <c r="J2029" s="9" cm="1">
        <f t="array" ref="J2029">SUMPRODUCT((Tablo3[Urun Ad]=I2029)*(Tablo3[Ürün Kar Tutarı]))</f>
        <v>0</v>
      </c>
      <c r="L2029" s="37"/>
    </row>
    <row r="2030" spans="1:12" x14ac:dyDescent="0.25">
      <c r="A2030" s="13"/>
      <c r="B2030" s="9" cm="1">
        <f t="array" ref="B2030">SUMPRODUCT((Tablo3[Personel Ad]=A2030)*(Tablo3[Ürün Kar Tutarı]))</f>
        <v>0</v>
      </c>
      <c r="D2030" s="14"/>
      <c r="F2030" s="9" cm="1">
        <f t="array" ref="F2030">SUMPRODUCT((Tablo3[Şehirler]=E2030)*(Tablo3[Ürün Kar Tutarı]))</f>
        <v>0</v>
      </c>
      <c r="H2030" s="14"/>
      <c r="J2030" s="9" cm="1">
        <f t="array" ref="J2030">SUMPRODUCT((Tablo3[Urun Ad]=I2030)*(Tablo3[Ürün Kar Tutarı]))</f>
        <v>0</v>
      </c>
      <c r="L2030" s="37"/>
    </row>
    <row r="2031" spans="1:12" x14ac:dyDescent="0.25">
      <c r="A2031" s="13"/>
      <c r="B2031" s="9" cm="1">
        <f t="array" ref="B2031">SUMPRODUCT((Tablo3[Personel Ad]=A2031)*(Tablo3[Ürün Kar Tutarı]))</f>
        <v>0</v>
      </c>
      <c r="D2031" s="14"/>
      <c r="F2031" s="9" cm="1">
        <f t="array" ref="F2031">SUMPRODUCT((Tablo3[Şehirler]=E2031)*(Tablo3[Ürün Kar Tutarı]))</f>
        <v>0</v>
      </c>
      <c r="H2031" s="14"/>
      <c r="J2031" s="9" cm="1">
        <f t="array" ref="J2031">SUMPRODUCT((Tablo3[Urun Ad]=I2031)*(Tablo3[Ürün Kar Tutarı]))</f>
        <v>0</v>
      </c>
      <c r="L2031" s="37"/>
    </row>
    <row r="2032" spans="1:12" x14ac:dyDescent="0.25">
      <c r="A2032" s="13"/>
      <c r="B2032" s="9" cm="1">
        <f t="array" ref="B2032">SUMPRODUCT((Tablo3[Personel Ad]=A2032)*(Tablo3[Ürün Kar Tutarı]))</f>
        <v>0</v>
      </c>
      <c r="D2032" s="14"/>
      <c r="F2032" s="9" cm="1">
        <f t="array" ref="F2032">SUMPRODUCT((Tablo3[Şehirler]=E2032)*(Tablo3[Ürün Kar Tutarı]))</f>
        <v>0</v>
      </c>
      <c r="H2032" s="14"/>
      <c r="J2032" s="9" cm="1">
        <f t="array" ref="J2032">SUMPRODUCT((Tablo3[Urun Ad]=I2032)*(Tablo3[Ürün Kar Tutarı]))</f>
        <v>0</v>
      </c>
      <c r="L2032" s="37"/>
    </row>
    <row r="2033" spans="1:12" x14ac:dyDescent="0.25">
      <c r="A2033" s="13"/>
      <c r="B2033" s="9" cm="1">
        <f t="array" ref="B2033">SUMPRODUCT((Tablo3[Personel Ad]=A2033)*(Tablo3[Ürün Kar Tutarı]))</f>
        <v>0</v>
      </c>
      <c r="D2033" s="14"/>
      <c r="F2033" s="9" cm="1">
        <f t="array" ref="F2033">SUMPRODUCT((Tablo3[Şehirler]=E2033)*(Tablo3[Ürün Kar Tutarı]))</f>
        <v>0</v>
      </c>
      <c r="H2033" s="14"/>
      <c r="J2033" s="9" cm="1">
        <f t="array" ref="J2033">SUMPRODUCT((Tablo3[Urun Ad]=I2033)*(Tablo3[Ürün Kar Tutarı]))</f>
        <v>0</v>
      </c>
      <c r="L2033" s="37"/>
    </row>
    <row r="2034" spans="1:12" x14ac:dyDescent="0.25">
      <c r="A2034" s="13"/>
      <c r="B2034" s="9" cm="1">
        <f t="array" ref="B2034">SUMPRODUCT((Tablo3[Personel Ad]=A2034)*(Tablo3[Ürün Kar Tutarı]))</f>
        <v>0</v>
      </c>
      <c r="D2034" s="14"/>
      <c r="F2034" s="9" cm="1">
        <f t="array" ref="F2034">SUMPRODUCT((Tablo3[Şehirler]=E2034)*(Tablo3[Ürün Kar Tutarı]))</f>
        <v>0</v>
      </c>
      <c r="H2034" s="14"/>
      <c r="J2034" s="9" cm="1">
        <f t="array" ref="J2034">SUMPRODUCT((Tablo3[Urun Ad]=I2034)*(Tablo3[Ürün Kar Tutarı]))</f>
        <v>0</v>
      </c>
      <c r="L2034" s="37"/>
    </row>
    <row r="2035" spans="1:12" x14ac:dyDescent="0.25">
      <c r="A2035" s="13"/>
      <c r="B2035" s="9" cm="1">
        <f t="array" ref="B2035">SUMPRODUCT((Tablo3[Personel Ad]=A2035)*(Tablo3[Ürün Kar Tutarı]))</f>
        <v>0</v>
      </c>
      <c r="D2035" s="14"/>
      <c r="F2035" s="9" cm="1">
        <f t="array" ref="F2035">SUMPRODUCT((Tablo3[Şehirler]=E2035)*(Tablo3[Ürün Kar Tutarı]))</f>
        <v>0</v>
      </c>
      <c r="H2035" s="14"/>
      <c r="J2035" s="9" cm="1">
        <f t="array" ref="J2035">SUMPRODUCT((Tablo3[Urun Ad]=I2035)*(Tablo3[Ürün Kar Tutarı]))</f>
        <v>0</v>
      </c>
      <c r="L2035" s="37"/>
    </row>
    <row r="2036" spans="1:12" x14ac:dyDescent="0.25">
      <c r="A2036" s="13"/>
      <c r="B2036" s="9" cm="1">
        <f t="array" ref="B2036">SUMPRODUCT((Tablo3[Personel Ad]=A2036)*(Tablo3[Ürün Kar Tutarı]))</f>
        <v>0</v>
      </c>
      <c r="D2036" s="14"/>
      <c r="F2036" s="9" cm="1">
        <f t="array" ref="F2036">SUMPRODUCT((Tablo3[Şehirler]=E2036)*(Tablo3[Ürün Kar Tutarı]))</f>
        <v>0</v>
      </c>
      <c r="H2036" s="14"/>
      <c r="J2036" s="9" cm="1">
        <f t="array" ref="J2036">SUMPRODUCT((Tablo3[Urun Ad]=I2036)*(Tablo3[Ürün Kar Tutarı]))</f>
        <v>0</v>
      </c>
      <c r="L2036" s="37"/>
    </row>
    <row r="2037" spans="1:12" x14ac:dyDescent="0.25">
      <c r="A2037" s="13"/>
      <c r="B2037" s="9" cm="1">
        <f t="array" ref="B2037">SUMPRODUCT((Tablo3[Personel Ad]=A2037)*(Tablo3[Ürün Kar Tutarı]))</f>
        <v>0</v>
      </c>
      <c r="D2037" s="14"/>
      <c r="F2037" s="9" cm="1">
        <f t="array" ref="F2037">SUMPRODUCT((Tablo3[Şehirler]=E2037)*(Tablo3[Ürün Kar Tutarı]))</f>
        <v>0</v>
      </c>
      <c r="H2037" s="14"/>
      <c r="J2037" s="9" cm="1">
        <f t="array" ref="J2037">SUMPRODUCT((Tablo3[Urun Ad]=I2037)*(Tablo3[Ürün Kar Tutarı]))</f>
        <v>0</v>
      </c>
      <c r="L2037" s="37"/>
    </row>
    <row r="2038" spans="1:12" x14ac:dyDescent="0.25">
      <c r="A2038" s="13"/>
      <c r="B2038" s="9" cm="1">
        <f t="array" ref="B2038">SUMPRODUCT((Tablo3[Personel Ad]=A2038)*(Tablo3[Ürün Kar Tutarı]))</f>
        <v>0</v>
      </c>
      <c r="D2038" s="14"/>
      <c r="F2038" s="9" cm="1">
        <f t="array" ref="F2038">SUMPRODUCT((Tablo3[Şehirler]=E2038)*(Tablo3[Ürün Kar Tutarı]))</f>
        <v>0</v>
      </c>
      <c r="H2038" s="14"/>
      <c r="J2038" s="9" cm="1">
        <f t="array" ref="J2038">SUMPRODUCT((Tablo3[Urun Ad]=I2038)*(Tablo3[Ürün Kar Tutarı]))</f>
        <v>0</v>
      </c>
      <c r="L2038" s="37"/>
    </row>
    <row r="2039" spans="1:12" x14ac:dyDescent="0.25">
      <c r="A2039" s="13"/>
      <c r="B2039" s="9" cm="1">
        <f t="array" ref="B2039">SUMPRODUCT((Tablo3[Personel Ad]=A2039)*(Tablo3[Ürün Kar Tutarı]))</f>
        <v>0</v>
      </c>
      <c r="D2039" s="14"/>
      <c r="F2039" s="9" cm="1">
        <f t="array" ref="F2039">SUMPRODUCT((Tablo3[Şehirler]=E2039)*(Tablo3[Ürün Kar Tutarı]))</f>
        <v>0</v>
      </c>
      <c r="H2039" s="14"/>
      <c r="J2039" s="9" cm="1">
        <f t="array" ref="J2039">SUMPRODUCT((Tablo3[Urun Ad]=I2039)*(Tablo3[Ürün Kar Tutarı]))</f>
        <v>0</v>
      </c>
      <c r="L2039" s="37"/>
    </row>
    <row r="2040" spans="1:12" x14ac:dyDescent="0.25">
      <c r="A2040" s="13"/>
      <c r="B2040" s="9" cm="1">
        <f t="array" ref="B2040">SUMPRODUCT((Tablo3[Personel Ad]=A2040)*(Tablo3[Ürün Kar Tutarı]))</f>
        <v>0</v>
      </c>
      <c r="D2040" s="14"/>
      <c r="F2040" s="9" cm="1">
        <f t="array" ref="F2040">SUMPRODUCT((Tablo3[Şehirler]=E2040)*(Tablo3[Ürün Kar Tutarı]))</f>
        <v>0</v>
      </c>
      <c r="H2040" s="14"/>
      <c r="J2040" s="9" cm="1">
        <f t="array" ref="J2040">SUMPRODUCT((Tablo3[Urun Ad]=I2040)*(Tablo3[Ürün Kar Tutarı]))</f>
        <v>0</v>
      </c>
      <c r="L2040" s="37"/>
    </row>
    <row r="2041" spans="1:12" x14ac:dyDescent="0.25">
      <c r="A2041" s="13"/>
      <c r="B2041" s="9" cm="1">
        <f t="array" ref="B2041">SUMPRODUCT((Tablo3[Personel Ad]=A2041)*(Tablo3[Ürün Kar Tutarı]))</f>
        <v>0</v>
      </c>
      <c r="D2041" s="14"/>
      <c r="F2041" s="9" cm="1">
        <f t="array" ref="F2041">SUMPRODUCT((Tablo3[Şehirler]=E2041)*(Tablo3[Ürün Kar Tutarı]))</f>
        <v>0</v>
      </c>
      <c r="H2041" s="14"/>
      <c r="J2041" s="9" cm="1">
        <f t="array" ref="J2041">SUMPRODUCT((Tablo3[Urun Ad]=I2041)*(Tablo3[Ürün Kar Tutarı]))</f>
        <v>0</v>
      </c>
      <c r="L2041" s="37"/>
    </row>
    <row r="2042" spans="1:12" x14ac:dyDescent="0.25">
      <c r="A2042" s="13"/>
      <c r="B2042" s="9" cm="1">
        <f t="array" ref="B2042">SUMPRODUCT((Tablo3[Personel Ad]=A2042)*(Tablo3[Ürün Kar Tutarı]))</f>
        <v>0</v>
      </c>
      <c r="D2042" s="14"/>
      <c r="F2042" s="9" cm="1">
        <f t="array" ref="F2042">SUMPRODUCT((Tablo3[Şehirler]=E2042)*(Tablo3[Ürün Kar Tutarı]))</f>
        <v>0</v>
      </c>
      <c r="H2042" s="14"/>
      <c r="J2042" s="9" cm="1">
        <f t="array" ref="J2042">SUMPRODUCT((Tablo3[Urun Ad]=I2042)*(Tablo3[Ürün Kar Tutarı]))</f>
        <v>0</v>
      </c>
      <c r="L2042" s="37"/>
    </row>
    <row r="2043" spans="1:12" x14ac:dyDescent="0.25">
      <c r="A2043" s="13"/>
      <c r="B2043" s="9" cm="1">
        <f t="array" ref="B2043">SUMPRODUCT((Tablo3[Personel Ad]=A2043)*(Tablo3[Ürün Kar Tutarı]))</f>
        <v>0</v>
      </c>
      <c r="D2043" s="14"/>
      <c r="F2043" s="9" cm="1">
        <f t="array" ref="F2043">SUMPRODUCT((Tablo3[Şehirler]=E2043)*(Tablo3[Ürün Kar Tutarı]))</f>
        <v>0</v>
      </c>
      <c r="H2043" s="14"/>
      <c r="J2043" s="9" cm="1">
        <f t="array" ref="J2043">SUMPRODUCT((Tablo3[Urun Ad]=I2043)*(Tablo3[Ürün Kar Tutarı]))</f>
        <v>0</v>
      </c>
      <c r="L2043" s="37"/>
    </row>
    <row r="2044" spans="1:12" x14ac:dyDescent="0.25">
      <c r="A2044" s="13"/>
      <c r="B2044" s="9" cm="1">
        <f t="array" ref="B2044">SUMPRODUCT((Tablo3[Personel Ad]=A2044)*(Tablo3[Ürün Kar Tutarı]))</f>
        <v>0</v>
      </c>
      <c r="D2044" s="14"/>
      <c r="F2044" s="9" cm="1">
        <f t="array" ref="F2044">SUMPRODUCT((Tablo3[Şehirler]=E2044)*(Tablo3[Ürün Kar Tutarı]))</f>
        <v>0</v>
      </c>
      <c r="H2044" s="14"/>
      <c r="J2044" s="9" cm="1">
        <f t="array" ref="J2044">SUMPRODUCT((Tablo3[Urun Ad]=I2044)*(Tablo3[Ürün Kar Tutarı]))</f>
        <v>0</v>
      </c>
      <c r="L2044" s="37"/>
    </row>
    <row r="2045" spans="1:12" x14ac:dyDescent="0.25">
      <c r="A2045" s="13"/>
      <c r="B2045" s="9" cm="1">
        <f t="array" ref="B2045">SUMPRODUCT((Tablo3[Personel Ad]=A2045)*(Tablo3[Ürün Kar Tutarı]))</f>
        <v>0</v>
      </c>
      <c r="D2045" s="14"/>
      <c r="F2045" s="9" cm="1">
        <f t="array" ref="F2045">SUMPRODUCT((Tablo3[Şehirler]=E2045)*(Tablo3[Ürün Kar Tutarı]))</f>
        <v>0</v>
      </c>
      <c r="H2045" s="14"/>
      <c r="J2045" s="9" cm="1">
        <f t="array" ref="J2045">SUMPRODUCT((Tablo3[Urun Ad]=I2045)*(Tablo3[Ürün Kar Tutarı]))</f>
        <v>0</v>
      </c>
      <c r="L2045" s="37"/>
    </row>
    <row r="2046" spans="1:12" x14ac:dyDescent="0.25">
      <c r="A2046" s="13"/>
      <c r="B2046" s="9" cm="1">
        <f t="array" ref="B2046">SUMPRODUCT((Tablo3[Personel Ad]=A2046)*(Tablo3[Ürün Kar Tutarı]))</f>
        <v>0</v>
      </c>
      <c r="D2046" s="14"/>
      <c r="F2046" s="9" cm="1">
        <f t="array" ref="F2046">SUMPRODUCT((Tablo3[Şehirler]=E2046)*(Tablo3[Ürün Kar Tutarı]))</f>
        <v>0</v>
      </c>
      <c r="H2046" s="14"/>
      <c r="J2046" s="9" cm="1">
        <f t="array" ref="J2046">SUMPRODUCT((Tablo3[Urun Ad]=I2046)*(Tablo3[Ürün Kar Tutarı]))</f>
        <v>0</v>
      </c>
      <c r="L2046" s="37"/>
    </row>
    <row r="2047" spans="1:12" x14ac:dyDescent="0.25">
      <c r="A2047" s="13"/>
      <c r="B2047" s="9" cm="1">
        <f t="array" ref="B2047">SUMPRODUCT((Tablo3[Personel Ad]=A2047)*(Tablo3[Ürün Kar Tutarı]))</f>
        <v>0</v>
      </c>
      <c r="D2047" s="14"/>
      <c r="F2047" s="9" cm="1">
        <f t="array" ref="F2047">SUMPRODUCT((Tablo3[Şehirler]=E2047)*(Tablo3[Ürün Kar Tutarı]))</f>
        <v>0</v>
      </c>
      <c r="H2047" s="14"/>
      <c r="J2047" s="9" cm="1">
        <f t="array" ref="J2047">SUMPRODUCT((Tablo3[Urun Ad]=I2047)*(Tablo3[Ürün Kar Tutarı]))</f>
        <v>0</v>
      </c>
      <c r="L2047" s="37"/>
    </row>
    <row r="2048" spans="1:12" x14ac:dyDescent="0.25">
      <c r="A2048" s="13"/>
      <c r="B2048" s="9" cm="1">
        <f t="array" ref="B2048">SUMPRODUCT((Tablo3[Personel Ad]=A2048)*(Tablo3[Ürün Kar Tutarı]))</f>
        <v>0</v>
      </c>
      <c r="D2048" s="14"/>
      <c r="F2048" s="9" cm="1">
        <f t="array" ref="F2048">SUMPRODUCT((Tablo3[Şehirler]=E2048)*(Tablo3[Ürün Kar Tutarı]))</f>
        <v>0</v>
      </c>
      <c r="H2048" s="14"/>
      <c r="J2048" s="9" cm="1">
        <f t="array" ref="J2048">SUMPRODUCT((Tablo3[Urun Ad]=I2048)*(Tablo3[Ürün Kar Tutarı]))</f>
        <v>0</v>
      </c>
      <c r="L2048" s="37"/>
    </row>
    <row r="2049" spans="1:12" x14ac:dyDescent="0.25">
      <c r="A2049" s="13"/>
      <c r="B2049" s="9" cm="1">
        <f t="array" ref="B2049">SUMPRODUCT((Tablo3[Personel Ad]=A2049)*(Tablo3[Ürün Kar Tutarı]))</f>
        <v>0</v>
      </c>
      <c r="D2049" s="14"/>
      <c r="F2049" s="9" cm="1">
        <f t="array" ref="F2049">SUMPRODUCT((Tablo3[Şehirler]=E2049)*(Tablo3[Ürün Kar Tutarı]))</f>
        <v>0</v>
      </c>
      <c r="H2049" s="14"/>
      <c r="J2049" s="9" cm="1">
        <f t="array" ref="J2049">SUMPRODUCT((Tablo3[Urun Ad]=I2049)*(Tablo3[Ürün Kar Tutarı]))</f>
        <v>0</v>
      </c>
      <c r="L2049" s="37"/>
    </row>
    <row r="2050" spans="1:12" x14ac:dyDescent="0.25">
      <c r="A2050" s="13"/>
      <c r="B2050" s="9" cm="1">
        <f t="array" ref="B2050">SUMPRODUCT((Tablo3[Personel Ad]=A2050)*(Tablo3[Ürün Kar Tutarı]))</f>
        <v>0</v>
      </c>
      <c r="D2050" s="14"/>
      <c r="F2050" s="9" cm="1">
        <f t="array" ref="F2050">SUMPRODUCT((Tablo3[Şehirler]=E2050)*(Tablo3[Ürün Kar Tutarı]))</f>
        <v>0</v>
      </c>
      <c r="H2050" s="14"/>
      <c r="J2050" s="9" cm="1">
        <f t="array" ref="J2050">SUMPRODUCT((Tablo3[Urun Ad]=I2050)*(Tablo3[Ürün Kar Tutarı]))</f>
        <v>0</v>
      </c>
      <c r="L2050" s="37"/>
    </row>
    <row r="2051" spans="1:12" x14ac:dyDescent="0.25">
      <c r="A2051" s="13"/>
      <c r="B2051" s="9" cm="1">
        <f t="array" ref="B2051">SUMPRODUCT((Tablo3[Personel Ad]=A2051)*(Tablo3[Ürün Kar Tutarı]))</f>
        <v>0</v>
      </c>
      <c r="D2051" s="14"/>
      <c r="F2051" s="9" cm="1">
        <f t="array" ref="F2051">SUMPRODUCT((Tablo3[Şehirler]=E2051)*(Tablo3[Ürün Kar Tutarı]))</f>
        <v>0</v>
      </c>
      <c r="H2051" s="14"/>
      <c r="J2051" s="9" cm="1">
        <f t="array" ref="J2051">SUMPRODUCT((Tablo3[Urun Ad]=I2051)*(Tablo3[Ürün Kar Tutarı]))</f>
        <v>0</v>
      </c>
      <c r="L2051" s="37"/>
    </row>
    <row r="2052" spans="1:12" x14ac:dyDescent="0.25">
      <c r="A2052" s="13"/>
      <c r="B2052" s="9" cm="1">
        <f t="array" ref="B2052">SUMPRODUCT((Tablo3[Personel Ad]=A2052)*(Tablo3[Ürün Kar Tutarı]))</f>
        <v>0</v>
      </c>
      <c r="D2052" s="14"/>
      <c r="F2052" s="9" cm="1">
        <f t="array" ref="F2052">SUMPRODUCT((Tablo3[Şehirler]=E2052)*(Tablo3[Ürün Kar Tutarı]))</f>
        <v>0</v>
      </c>
      <c r="H2052" s="14"/>
      <c r="J2052" s="9" cm="1">
        <f t="array" ref="J2052">SUMPRODUCT((Tablo3[Urun Ad]=I2052)*(Tablo3[Ürün Kar Tutarı]))</f>
        <v>0</v>
      </c>
      <c r="L2052" s="37"/>
    </row>
    <row r="2053" spans="1:12" x14ac:dyDescent="0.25">
      <c r="A2053" s="13"/>
      <c r="B2053" s="9" cm="1">
        <f t="array" ref="B2053">SUMPRODUCT((Tablo3[Personel Ad]=A2053)*(Tablo3[Ürün Kar Tutarı]))</f>
        <v>0</v>
      </c>
      <c r="D2053" s="14"/>
      <c r="F2053" s="9" cm="1">
        <f t="array" ref="F2053">SUMPRODUCT((Tablo3[Şehirler]=E2053)*(Tablo3[Ürün Kar Tutarı]))</f>
        <v>0</v>
      </c>
      <c r="H2053" s="14"/>
      <c r="J2053" s="9" cm="1">
        <f t="array" ref="J2053">SUMPRODUCT((Tablo3[Urun Ad]=I2053)*(Tablo3[Ürün Kar Tutarı]))</f>
        <v>0</v>
      </c>
      <c r="L2053" s="37"/>
    </row>
    <row r="2054" spans="1:12" x14ac:dyDescent="0.25">
      <c r="A2054" s="13"/>
      <c r="B2054" s="9" cm="1">
        <f t="array" ref="B2054">SUMPRODUCT((Tablo3[Personel Ad]=A2054)*(Tablo3[Ürün Kar Tutarı]))</f>
        <v>0</v>
      </c>
      <c r="D2054" s="14"/>
      <c r="F2054" s="9" cm="1">
        <f t="array" ref="F2054">SUMPRODUCT((Tablo3[Şehirler]=E2054)*(Tablo3[Ürün Kar Tutarı]))</f>
        <v>0</v>
      </c>
      <c r="H2054" s="14"/>
      <c r="J2054" s="9" cm="1">
        <f t="array" ref="J2054">SUMPRODUCT((Tablo3[Urun Ad]=I2054)*(Tablo3[Ürün Kar Tutarı]))</f>
        <v>0</v>
      </c>
      <c r="L2054" s="37"/>
    </row>
    <row r="2055" spans="1:12" x14ac:dyDescent="0.25">
      <c r="A2055" s="13"/>
      <c r="B2055" s="9" cm="1">
        <f t="array" ref="B2055">SUMPRODUCT((Tablo3[Personel Ad]=A2055)*(Tablo3[Ürün Kar Tutarı]))</f>
        <v>0</v>
      </c>
      <c r="D2055" s="14"/>
      <c r="F2055" s="9" cm="1">
        <f t="array" ref="F2055">SUMPRODUCT((Tablo3[Şehirler]=E2055)*(Tablo3[Ürün Kar Tutarı]))</f>
        <v>0</v>
      </c>
      <c r="H2055" s="14"/>
      <c r="J2055" s="9" cm="1">
        <f t="array" ref="J2055">SUMPRODUCT((Tablo3[Urun Ad]=I2055)*(Tablo3[Ürün Kar Tutarı]))</f>
        <v>0</v>
      </c>
      <c r="L2055" s="37"/>
    </row>
    <row r="2056" spans="1:12" x14ac:dyDescent="0.25">
      <c r="A2056" s="13"/>
      <c r="B2056" s="9" cm="1">
        <f t="array" ref="B2056">SUMPRODUCT((Tablo3[Personel Ad]=A2056)*(Tablo3[Ürün Kar Tutarı]))</f>
        <v>0</v>
      </c>
      <c r="D2056" s="14"/>
      <c r="F2056" s="9" cm="1">
        <f t="array" ref="F2056">SUMPRODUCT((Tablo3[Şehirler]=E2056)*(Tablo3[Ürün Kar Tutarı]))</f>
        <v>0</v>
      </c>
      <c r="H2056" s="14"/>
      <c r="J2056" s="9" cm="1">
        <f t="array" ref="J2056">SUMPRODUCT((Tablo3[Urun Ad]=I2056)*(Tablo3[Ürün Kar Tutarı]))</f>
        <v>0</v>
      </c>
      <c r="L2056" s="37"/>
    </row>
    <row r="2057" spans="1:12" x14ac:dyDescent="0.25">
      <c r="A2057" s="13"/>
      <c r="B2057" s="9" cm="1">
        <f t="array" ref="B2057">SUMPRODUCT((Tablo3[Personel Ad]=A2057)*(Tablo3[Ürün Kar Tutarı]))</f>
        <v>0</v>
      </c>
      <c r="D2057" s="14"/>
      <c r="F2057" s="9" cm="1">
        <f t="array" ref="F2057">SUMPRODUCT((Tablo3[Şehirler]=E2057)*(Tablo3[Ürün Kar Tutarı]))</f>
        <v>0</v>
      </c>
      <c r="H2057" s="14"/>
      <c r="J2057" s="9" cm="1">
        <f t="array" ref="J2057">SUMPRODUCT((Tablo3[Urun Ad]=I2057)*(Tablo3[Ürün Kar Tutarı]))</f>
        <v>0</v>
      </c>
      <c r="L2057" s="37"/>
    </row>
    <row r="2058" spans="1:12" x14ac:dyDescent="0.25">
      <c r="A2058" s="13"/>
      <c r="B2058" s="9" cm="1">
        <f t="array" ref="B2058">SUMPRODUCT((Tablo3[Personel Ad]=A2058)*(Tablo3[Ürün Kar Tutarı]))</f>
        <v>0</v>
      </c>
      <c r="D2058" s="14"/>
      <c r="F2058" s="9" cm="1">
        <f t="array" ref="F2058">SUMPRODUCT((Tablo3[Şehirler]=E2058)*(Tablo3[Ürün Kar Tutarı]))</f>
        <v>0</v>
      </c>
      <c r="H2058" s="14"/>
      <c r="J2058" s="9" cm="1">
        <f t="array" ref="J2058">SUMPRODUCT((Tablo3[Urun Ad]=I2058)*(Tablo3[Ürün Kar Tutarı]))</f>
        <v>0</v>
      </c>
      <c r="L2058" s="37"/>
    </row>
    <row r="2059" spans="1:12" x14ac:dyDescent="0.25">
      <c r="A2059" s="13"/>
      <c r="B2059" s="9" cm="1">
        <f t="array" ref="B2059">SUMPRODUCT((Tablo3[Personel Ad]=A2059)*(Tablo3[Ürün Kar Tutarı]))</f>
        <v>0</v>
      </c>
      <c r="D2059" s="14"/>
      <c r="F2059" s="9" cm="1">
        <f t="array" ref="F2059">SUMPRODUCT((Tablo3[Şehirler]=E2059)*(Tablo3[Ürün Kar Tutarı]))</f>
        <v>0</v>
      </c>
      <c r="H2059" s="14"/>
      <c r="J2059" s="9" cm="1">
        <f t="array" ref="J2059">SUMPRODUCT((Tablo3[Urun Ad]=I2059)*(Tablo3[Ürün Kar Tutarı]))</f>
        <v>0</v>
      </c>
      <c r="L2059" s="37"/>
    </row>
    <row r="2060" spans="1:12" x14ac:dyDescent="0.25">
      <c r="A2060" s="13"/>
      <c r="B2060" s="9" cm="1">
        <f t="array" ref="B2060">SUMPRODUCT((Tablo3[Personel Ad]=A2060)*(Tablo3[Ürün Kar Tutarı]))</f>
        <v>0</v>
      </c>
      <c r="D2060" s="14"/>
      <c r="F2060" s="9" cm="1">
        <f t="array" ref="F2060">SUMPRODUCT((Tablo3[Şehirler]=E2060)*(Tablo3[Ürün Kar Tutarı]))</f>
        <v>0</v>
      </c>
      <c r="H2060" s="14"/>
      <c r="J2060" s="9" cm="1">
        <f t="array" ref="J2060">SUMPRODUCT((Tablo3[Urun Ad]=I2060)*(Tablo3[Ürün Kar Tutarı]))</f>
        <v>0</v>
      </c>
      <c r="L2060" s="37"/>
    </row>
    <row r="2061" spans="1:12" x14ac:dyDescent="0.25">
      <c r="A2061" s="13"/>
      <c r="B2061" s="9" cm="1">
        <f t="array" ref="B2061">SUMPRODUCT((Tablo3[Personel Ad]=A2061)*(Tablo3[Ürün Kar Tutarı]))</f>
        <v>0</v>
      </c>
      <c r="D2061" s="14"/>
      <c r="F2061" s="9" cm="1">
        <f t="array" ref="F2061">SUMPRODUCT((Tablo3[Şehirler]=E2061)*(Tablo3[Ürün Kar Tutarı]))</f>
        <v>0</v>
      </c>
      <c r="H2061" s="14"/>
      <c r="J2061" s="9" cm="1">
        <f t="array" ref="J2061">SUMPRODUCT((Tablo3[Urun Ad]=I2061)*(Tablo3[Ürün Kar Tutarı]))</f>
        <v>0</v>
      </c>
      <c r="L2061" s="37"/>
    </row>
    <row r="2062" spans="1:12" x14ac:dyDescent="0.25">
      <c r="A2062" s="13"/>
      <c r="B2062" s="9" cm="1">
        <f t="array" ref="B2062">SUMPRODUCT((Tablo3[Personel Ad]=A2062)*(Tablo3[Ürün Kar Tutarı]))</f>
        <v>0</v>
      </c>
      <c r="D2062" s="14"/>
      <c r="F2062" s="9" cm="1">
        <f t="array" ref="F2062">SUMPRODUCT((Tablo3[Şehirler]=E2062)*(Tablo3[Ürün Kar Tutarı]))</f>
        <v>0</v>
      </c>
      <c r="H2062" s="14"/>
      <c r="J2062" s="9" cm="1">
        <f t="array" ref="J2062">SUMPRODUCT((Tablo3[Urun Ad]=I2062)*(Tablo3[Ürün Kar Tutarı]))</f>
        <v>0</v>
      </c>
      <c r="L2062" s="37"/>
    </row>
    <row r="2063" spans="1:12" x14ac:dyDescent="0.25">
      <c r="A2063" s="13"/>
      <c r="B2063" s="9" cm="1">
        <f t="array" ref="B2063">SUMPRODUCT((Tablo3[Personel Ad]=A2063)*(Tablo3[Ürün Kar Tutarı]))</f>
        <v>0</v>
      </c>
      <c r="D2063" s="14"/>
      <c r="F2063" s="9" cm="1">
        <f t="array" ref="F2063">SUMPRODUCT((Tablo3[Şehirler]=E2063)*(Tablo3[Ürün Kar Tutarı]))</f>
        <v>0</v>
      </c>
      <c r="H2063" s="14"/>
      <c r="J2063" s="9" cm="1">
        <f t="array" ref="J2063">SUMPRODUCT((Tablo3[Urun Ad]=I2063)*(Tablo3[Ürün Kar Tutarı]))</f>
        <v>0</v>
      </c>
      <c r="L2063" s="37"/>
    </row>
    <row r="2064" spans="1:12" x14ac:dyDescent="0.25">
      <c r="A2064" s="13"/>
      <c r="B2064" s="9" cm="1">
        <f t="array" ref="B2064">SUMPRODUCT((Tablo3[Personel Ad]=A2064)*(Tablo3[Ürün Kar Tutarı]))</f>
        <v>0</v>
      </c>
      <c r="D2064" s="14"/>
      <c r="F2064" s="9" cm="1">
        <f t="array" ref="F2064">SUMPRODUCT((Tablo3[Şehirler]=E2064)*(Tablo3[Ürün Kar Tutarı]))</f>
        <v>0</v>
      </c>
      <c r="H2064" s="14"/>
      <c r="J2064" s="9" cm="1">
        <f t="array" ref="J2064">SUMPRODUCT((Tablo3[Urun Ad]=I2064)*(Tablo3[Ürün Kar Tutarı]))</f>
        <v>0</v>
      </c>
      <c r="L2064" s="37"/>
    </row>
    <row r="2065" spans="1:12" x14ac:dyDescent="0.25">
      <c r="A2065" s="13"/>
      <c r="B2065" s="9" cm="1">
        <f t="array" ref="B2065">SUMPRODUCT((Tablo3[Personel Ad]=A2065)*(Tablo3[Ürün Kar Tutarı]))</f>
        <v>0</v>
      </c>
      <c r="D2065" s="14"/>
      <c r="F2065" s="9" cm="1">
        <f t="array" ref="F2065">SUMPRODUCT((Tablo3[Şehirler]=E2065)*(Tablo3[Ürün Kar Tutarı]))</f>
        <v>0</v>
      </c>
      <c r="H2065" s="14"/>
      <c r="J2065" s="9" cm="1">
        <f t="array" ref="J2065">SUMPRODUCT((Tablo3[Urun Ad]=I2065)*(Tablo3[Ürün Kar Tutarı]))</f>
        <v>0</v>
      </c>
      <c r="L2065" s="37"/>
    </row>
    <row r="2066" spans="1:12" x14ac:dyDescent="0.25">
      <c r="A2066" s="13"/>
      <c r="B2066" s="9" cm="1">
        <f t="array" ref="B2066">SUMPRODUCT((Tablo3[Personel Ad]=A2066)*(Tablo3[Ürün Kar Tutarı]))</f>
        <v>0</v>
      </c>
      <c r="D2066" s="14"/>
      <c r="F2066" s="9" cm="1">
        <f t="array" ref="F2066">SUMPRODUCT((Tablo3[Şehirler]=E2066)*(Tablo3[Ürün Kar Tutarı]))</f>
        <v>0</v>
      </c>
      <c r="H2066" s="14"/>
      <c r="J2066" s="9" cm="1">
        <f t="array" ref="J2066">SUMPRODUCT((Tablo3[Urun Ad]=I2066)*(Tablo3[Ürün Kar Tutarı]))</f>
        <v>0</v>
      </c>
      <c r="L2066" s="37"/>
    </row>
    <row r="2067" spans="1:12" x14ac:dyDescent="0.25">
      <c r="A2067" s="13"/>
      <c r="B2067" s="9" cm="1">
        <f t="array" ref="B2067">SUMPRODUCT((Tablo3[Personel Ad]=A2067)*(Tablo3[Ürün Kar Tutarı]))</f>
        <v>0</v>
      </c>
      <c r="D2067" s="14"/>
      <c r="F2067" s="9" cm="1">
        <f t="array" ref="F2067">SUMPRODUCT((Tablo3[Şehirler]=E2067)*(Tablo3[Ürün Kar Tutarı]))</f>
        <v>0</v>
      </c>
      <c r="H2067" s="14"/>
      <c r="J2067" s="9" cm="1">
        <f t="array" ref="J2067">SUMPRODUCT((Tablo3[Urun Ad]=I2067)*(Tablo3[Ürün Kar Tutarı]))</f>
        <v>0</v>
      </c>
      <c r="L2067" s="37"/>
    </row>
    <row r="2068" spans="1:12" x14ac:dyDescent="0.25">
      <c r="A2068" s="13"/>
      <c r="B2068" s="9" cm="1">
        <f t="array" ref="B2068">SUMPRODUCT((Tablo3[Personel Ad]=A2068)*(Tablo3[Ürün Kar Tutarı]))</f>
        <v>0</v>
      </c>
      <c r="D2068" s="14"/>
      <c r="F2068" s="9" cm="1">
        <f t="array" ref="F2068">SUMPRODUCT((Tablo3[Şehirler]=E2068)*(Tablo3[Ürün Kar Tutarı]))</f>
        <v>0</v>
      </c>
      <c r="H2068" s="14"/>
      <c r="J2068" s="9" cm="1">
        <f t="array" ref="J2068">SUMPRODUCT((Tablo3[Urun Ad]=I2068)*(Tablo3[Ürün Kar Tutarı]))</f>
        <v>0</v>
      </c>
      <c r="L2068" s="37"/>
    </row>
    <row r="2069" spans="1:12" x14ac:dyDescent="0.25">
      <c r="A2069" s="13"/>
      <c r="B2069" s="9" cm="1">
        <f t="array" ref="B2069">SUMPRODUCT((Tablo3[Personel Ad]=A2069)*(Tablo3[Ürün Kar Tutarı]))</f>
        <v>0</v>
      </c>
      <c r="D2069" s="14"/>
      <c r="F2069" s="9" cm="1">
        <f t="array" ref="F2069">SUMPRODUCT((Tablo3[Şehirler]=E2069)*(Tablo3[Ürün Kar Tutarı]))</f>
        <v>0</v>
      </c>
      <c r="H2069" s="14"/>
      <c r="J2069" s="9" cm="1">
        <f t="array" ref="J2069">SUMPRODUCT((Tablo3[Urun Ad]=I2069)*(Tablo3[Ürün Kar Tutarı]))</f>
        <v>0</v>
      </c>
      <c r="L2069" s="37"/>
    </row>
    <row r="2070" spans="1:12" x14ac:dyDescent="0.25">
      <c r="A2070" s="13"/>
      <c r="B2070" s="9" cm="1">
        <f t="array" ref="B2070">SUMPRODUCT((Tablo3[Personel Ad]=A2070)*(Tablo3[Ürün Kar Tutarı]))</f>
        <v>0</v>
      </c>
      <c r="D2070" s="14"/>
      <c r="F2070" s="9" cm="1">
        <f t="array" ref="F2070">SUMPRODUCT((Tablo3[Şehirler]=E2070)*(Tablo3[Ürün Kar Tutarı]))</f>
        <v>0</v>
      </c>
      <c r="H2070" s="14"/>
      <c r="J2070" s="9" cm="1">
        <f t="array" ref="J2070">SUMPRODUCT((Tablo3[Urun Ad]=I2070)*(Tablo3[Ürün Kar Tutarı]))</f>
        <v>0</v>
      </c>
      <c r="L2070" s="37"/>
    </row>
    <row r="2071" spans="1:12" x14ac:dyDescent="0.25">
      <c r="A2071" s="13"/>
      <c r="B2071" s="9" cm="1">
        <f t="array" ref="B2071">SUMPRODUCT((Tablo3[Personel Ad]=A2071)*(Tablo3[Ürün Kar Tutarı]))</f>
        <v>0</v>
      </c>
      <c r="D2071" s="14"/>
      <c r="F2071" s="9" cm="1">
        <f t="array" ref="F2071">SUMPRODUCT((Tablo3[Şehirler]=E2071)*(Tablo3[Ürün Kar Tutarı]))</f>
        <v>0</v>
      </c>
      <c r="H2071" s="14"/>
      <c r="J2071" s="9" cm="1">
        <f t="array" ref="J2071">SUMPRODUCT((Tablo3[Urun Ad]=I2071)*(Tablo3[Ürün Kar Tutarı]))</f>
        <v>0</v>
      </c>
      <c r="L2071" s="37"/>
    </row>
    <row r="2072" spans="1:12" x14ac:dyDescent="0.25">
      <c r="A2072" s="13"/>
      <c r="B2072" s="9" cm="1">
        <f t="array" ref="B2072">SUMPRODUCT((Tablo3[Personel Ad]=A2072)*(Tablo3[Ürün Kar Tutarı]))</f>
        <v>0</v>
      </c>
      <c r="D2072" s="14"/>
      <c r="F2072" s="9" cm="1">
        <f t="array" ref="F2072">SUMPRODUCT((Tablo3[Şehirler]=E2072)*(Tablo3[Ürün Kar Tutarı]))</f>
        <v>0</v>
      </c>
      <c r="H2072" s="14"/>
      <c r="J2072" s="9" cm="1">
        <f t="array" ref="J2072">SUMPRODUCT((Tablo3[Urun Ad]=I2072)*(Tablo3[Ürün Kar Tutarı]))</f>
        <v>0</v>
      </c>
      <c r="L2072" s="37"/>
    </row>
    <row r="2073" spans="1:12" x14ac:dyDescent="0.25">
      <c r="A2073" s="13"/>
      <c r="B2073" s="9" cm="1">
        <f t="array" ref="B2073">SUMPRODUCT((Tablo3[Personel Ad]=A2073)*(Tablo3[Ürün Kar Tutarı]))</f>
        <v>0</v>
      </c>
      <c r="D2073" s="14"/>
      <c r="F2073" s="9" cm="1">
        <f t="array" ref="F2073">SUMPRODUCT((Tablo3[Şehirler]=E2073)*(Tablo3[Ürün Kar Tutarı]))</f>
        <v>0</v>
      </c>
      <c r="H2073" s="14"/>
      <c r="J2073" s="9" cm="1">
        <f t="array" ref="J2073">SUMPRODUCT((Tablo3[Urun Ad]=I2073)*(Tablo3[Ürün Kar Tutarı]))</f>
        <v>0</v>
      </c>
      <c r="L2073" s="37"/>
    </row>
    <row r="2074" spans="1:12" x14ac:dyDescent="0.25">
      <c r="A2074" s="13"/>
      <c r="B2074" s="9" cm="1">
        <f t="array" ref="B2074">SUMPRODUCT((Tablo3[Personel Ad]=A2074)*(Tablo3[Ürün Kar Tutarı]))</f>
        <v>0</v>
      </c>
      <c r="D2074" s="14"/>
      <c r="F2074" s="9" cm="1">
        <f t="array" ref="F2074">SUMPRODUCT((Tablo3[Şehirler]=E2074)*(Tablo3[Ürün Kar Tutarı]))</f>
        <v>0</v>
      </c>
      <c r="H2074" s="14"/>
      <c r="J2074" s="9" cm="1">
        <f t="array" ref="J2074">SUMPRODUCT((Tablo3[Urun Ad]=I2074)*(Tablo3[Ürün Kar Tutarı]))</f>
        <v>0</v>
      </c>
      <c r="L2074" s="37"/>
    </row>
    <row r="2075" spans="1:12" x14ac:dyDescent="0.25">
      <c r="A2075" s="13"/>
      <c r="B2075" s="9" cm="1">
        <f t="array" ref="B2075">SUMPRODUCT((Tablo3[Personel Ad]=A2075)*(Tablo3[Ürün Kar Tutarı]))</f>
        <v>0</v>
      </c>
      <c r="D2075" s="14"/>
      <c r="F2075" s="9" cm="1">
        <f t="array" ref="F2075">SUMPRODUCT((Tablo3[Şehirler]=E2075)*(Tablo3[Ürün Kar Tutarı]))</f>
        <v>0</v>
      </c>
      <c r="H2075" s="14"/>
      <c r="J2075" s="9" cm="1">
        <f t="array" ref="J2075">SUMPRODUCT((Tablo3[Urun Ad]=I2075)*(Tablo3[Ürün Kar Tutarı]))</f>
        <v>0</v>
      </c>
      <c r="L2075" s="37"/>
    </row>
    <row r="2076" spans="1:12" x14ac:dyDescent="0.25">
      <c r="A2076" s="13"/>
      <c r="B2076" s="9" cm="1">
        <f t="array" ref="B2076">SUMPRODUCT((Tablo3[Personel Ad]=A2076)*(Tablo3[Ürün Kar Tutarı]))</f>
        <v>0</v>
      </c>
      <c r="D2076" s="14"/>
      <c r="F2076" s="9" cm="1">
        <f t="array" ref="F2076">SUMPRODUCT((Tablo3[Şehirler]=E2076)*(Tablo3[Ürün Kar Tutarı]))</f>
        <v>0</v>
      </c>
      <c r="H2076" s="14"/>
      <c r="J2076" s="9" cm="1">
        <f t="array" ref="J2076">SUMPRODUCT((Tablo3[Urun Ad]=I2076)*(Tablo3[Ürün Kar Tutarı]))</f>
        <v>0</v>
      </c>
      <c r="L2076" s="37"/>
    </row>
    <row r="2077" spans="1:12" x14ac:dyDescent="0.25">
      <c r="A2077" s="13"/>
      <c r="B2077" s="9" cm="1">
        <f t="array" ref="B2077">SUMPRODUCT((Tablo3[Personel Ad]=A2077)*(Tablo3[Ürün Kar Tutarı]))</f>
        <v>0</v>
      </c>
      <c r="D2077" s="14"/>
      <c r="F2077" s="9" cm="1">
        <f t="array" ref="F2077">SUMPRODUCT((Tablo3[Şehirler]=E2077)*(Tablo3[Ürün Kar Tutarı]))</f>
        <v>0</v>
      </c>
      <c r="H2077" s="14"/>
      <c r="J2077" s="9" cm="1">
        <f t="array" ref="J2077">SUMPRODUCT((Tablo3[Urun Ad]=I2077)*(Tablo3[Ürün Kar Tutarı]))</f>
        <v>0</v>
      </c>
      <c r="L2077" s="37"/>
    </row>
    <row r="2078" spans="1:12" x14ac:dyDescent="0.25">
      <c r="A2078" s="13"/>
      <c r="B2078" s="9" cm="1">
        <f t="array" ref="B2078">SUMPRODUCT((Tablo3[Personel Ad]=A2078)*(Tablo3[Ürün Kar Tutarı]))</f>
        <v>0</v>
      </c>
      <c r="D2078" s="14"/>
      <c r="F2078" s="9" cm="1">
        <f t="array" ref="F2078">SUMPRODUCT((Tablo3[Şehirler]=E2078)*(Tablo3[Ürün Kar Tutarı]))</f>
        <v>0</v>
      </c>
      <c r="H2078" s="14"/>
      <c r="J2078" s="9" cm="1">
        <f t="array" ref="J2078">SUMPRODUCT((Tablo3[Urun Ad]=I2078)*(Tablo3[Ürün Kar Tutarı]))</f>
        <v>0</v>
      </c>
      <c r="L2078" s="37"/>
    </row>
    <row r="2079" spans="1:12" x14ac:dyDescent="0.25">
      <c r="A2079" s="13"/>
      <c r="B2079" s="9" cm="1">
        <f t="array" ref="B2079">SUMPRODUCT((Tablo3[Personel Ad]=A2079)*(Tablo3[Ürün Kar Tutarı]))</f>
        <v>0</v>
      </c>
      <c r="D2079" s="14"/>
      <c r="F2079" s="9" cm="1">
        <f t="array" ref="F2079">SUMPRODUCT((Tablo3[Şehirler]=E2079)*(Tablo3[Ürün Kar Tutarı]))</f>
        <v>0</v>
      </c>
      <c r="H2079" s="14"/>
      <c r="J2079" s="9" cm="1">
        <f t="array" ref="J2079">SUMPRODUCT((Tablo3[Urun Ad]=I2079)*(Tablo3[Ürün Kar Tutarı]))</f>
        <v>0</v>
      </c>
      <c r="L2079" s="37"/>
    </row>
    <row r="2080" spans="1:12" x14ac:dyDescent="0.25">
      <c r="A2080" s="13"/>
      <c r="B2080" s="9" cm="1">
        <f t="array" ref="B2080">SUMPRODUCT((Tablo3[Personel Ad]=A2080)*(Tablo3[Ürün Kar Tutarı]))</f>
        <v>0</v>
      </c>
      <c r="D2080" s="14"/>
      <c r="F2080" s="9" cm="1">
        <f t="array" ref="F2080">SUMPRODUCT((Tablo3[Şehirler]=E2080)*(Tablo3[Ürün Kar Tutarı]))</f>
        <v>0</v>
      </c>
      <c r="H2080" s="14"/>
      <c r="J2080" s="9" cm="1">
        <f t="array" ref="J2080">SUMPRODUCT((Tablo3[Urun Ad]=I2080)*(Tablo3[Ürün Kar Tutarı]))</f>
        <v>0</v>
      </c>
      <c r="L2080" s="37"/>
    </row>
    <row r="2081" spans="1:12" x14ac:dyDescent="0.25">
      <c r="A2081" s="13"/>
      <c r="B2081" s="9" cm="1">
        <f t="array" ref="B2081">SUMPRODUCT((Tablo3[Personel Ad]=A2081)*(Tablo3[Ürün Kar Tutarı]))</f>
        <v>0</v>
      </c>
      <c r="D2081" s="14"/>
      <c r="F2081" s="9" cm="1">
        <f t="array" ref="F2081">SUMPRODUCT((Tablo3[Şehirler]=E2081)*(Tablo3[Ürün Kar Tutarı]))</f>
        <v>0</v>
      </c>
      <c r="H2081" s="14"/>
      <c r="J2081" s="9" cm="1">
        <f t="array" ref="J2081">SUMPRODUCT((Tablo3[Urun Ad]=I2081)*(Tablo3[Ürün Kar Tutarı]))</f>
        <v>0</v>
      </c>
      <c r="L2081" s="37"/>
    </row>
    <row r="2082" spans="1:12" x14ac:dyDescent="0.25">
      <c r="A2082" s="13"/>
      <c r="B2082" s="9" cm="1">
        <f t="array" ref="B2082">SUMPRODUCT((Tablo3[Personel Ad]=A2082)*(Tablo3[Ürün Kar Tutarı]))</f>
        <v>0</v>
      </c>
      <c r="D2082" s="14"/>
      <c r="F2082" s="9" cm="1">
        <f t="array" ref="F2082">SUMPRODUCT((Tablo3[Şehirler]=E2082)*(Tablo3[Ürün Kar Tutarı]))</f>
        <v>0</v>
      </c>
      <c r="H2082" s="14"/>
      <c r="J2082" s="9" cm="1">
        <f t="array" ref="J2082">SUMPRODUCT((Tablo3[Urun Ad]=I2082)*(Tablo3[Ürün Kar Tutarı]))</f>
        <v>0</v>
      </c>
      <c r="L2082" s="37"/>
    </row>
    <row r="2083" spans="1:12" x14ac:dyDescent="0.25">
      <c r="A2083" s="13"/>
      <c r="B2083" s="9" cm="1">
        <f t="array" ref="B2083">SUMPRODUCT((Tablo3[Personel Ad]=A2083)*(Tablo3[Ürün Kar Tutarı]))</f>
        <v>0</v>
      </c>
      <c r="D2083" s="14"/>
      <c r="F2083" s="9" cm="1">
        <f t="array" ref="F2083">SUMPRODUCT((Tablo3[Şehirler]=E2083)*(Tablo3[Ürün Kar Tutarı]))</f>
        <v>0</v>
      </c>
      <c r="H2083" s="14"/>
      <c r="J2083" s="9" cm="1">
        <f t="array" ref="J2083">SUMPRODUCT((Tablo3[Urun Ad]=I2083)*(Tablo3[Ürün Kar Tutarı]))</f>
        <v>0</v>
      </c>
      <c r="L2083" s="37"/>
    </row>
    <row r="2084" spans="1:12" x14ac:dyDescent="0.25">
      <c r="A2084" s="13"/>
      <c r="B2084" s="9" cm="1">
        <f t="array" ref="B2084">SUMPRODUCT((Tablo3[Personel Ad]=A2084)*(Tablo3[Ürün Kar Tutarı]))</f>
        <v>0</v>
      </c>
      <c r="D2084" s="14"/>
      <c r="F2084" s="9" cm="1">
        <f t="array" ref="F2084">SUMPRODUCT((Tablo3[Şehirler]=E2084)*(Tablo3[Ürün Kar Tutarı]))</f>
        <v>0</v>
      </c>
      <c r="H2084" s="14"/>
      <c r="J2084" s="9" cm="1">
        <f t="array" ref="J2084">SUMPRODUCT((Tablo3[Urun Ad]=I2084)*(Tablo3[Ürün Kar Tutarı]))</f>
        <v>0</v>
      </c>
      <c r="L2084" s="37"/>
    </row>
    <row r="2085" spans="1:12" x14ac:dyDescent="0.25">
      <c r="A2085" s="13"/>
      <c r="B2085" s="9" cm="1">
        <f t="array" ref="B2085">SUMPRODUCT((Tablo3[Personel Ad]=A2085)*(Tablo3[Ürün Kar Tutarı]))</f>
        <v>0</v>
      </c>
      <c r="D2085" s="14"/>
      <c r="F2085" s="9" cm="1">
        <f t="array" ref="F2085">SUMPRODUCT((Tablo3[Şehirler]=E2085)*(Tablo3[Ürün Kar Tutarı]))</f>
        <v>0</v>
      </c>
      <c r="H2085" s="14"/>
      <c r="J2085" s="9" cm="1">
        <f t="array" ref="J2085">SUMPRODUCT((Tablo3[Urun Ad]=I2085)*(Tablo3[Ürün Kar Tutarı]))</f>
        <v>0</v>
      </c>
      <c r="L2085" s="37"/>
    </row>
    <row r="2086" spans="1:12" x14ac:dyDescent="0.25">
      <c r="A2086" s="13"/>
      <c r="B2086" s="9" cm="1">
        <f t="array" ref="B2086">SUMPRODUCT((Tablo3[Personel Ad]=A2086)*(Tablo3[Ürün Kar Tutarı]))</f>
        <v>0</v>
      </c>
      <c r="D2086" s="14"/>
      <c r="F2086" s="9" cm="1">
        <f t="array" ref="F2086">SUMPRODUCT((Tablo3[Şehirler]=E2086)*(Tablo3[Ürün Kar Tutarı]))</f>
        <v>0</v>
      </c>
      <c r="H2086" s="14"/>
      <c r="J2086" s="9" cm="1">
        <f t="array" ref="J2086">SUMPRODUCT((Tablo3[Urun Ad]=I2086)*(Tablo3[Ürün Kar Tutarı]))</f>
        <v>0</v>
      </c>
      <c r="L2086" s="37"/>
    </row>
    <row r="2087" spans="1:12" x14ac:dyDescent="0.25">
      <c r="A2087" s="13"/>
      <c r="B2087" s="9" cm="1">
        <f t="array" ref="B2087">SUMPRODUCT((Tablo3[Personel Ad]=A2087)*(Tablo3[Ürün Kar Tutarı]))</f>
        <v>0</v>
      </c>
      <c r="D2087" s="14"/>
      <c r="F2087" s="9" cm="1">
        <f t="array" ref="F2087">SUMPRODUCT((Tablo3[Şehirler]=E2087)*(Tablo3[Ürün Kar Tutarı]))</f>
        <v>0</v>
      </c>
      <c r="H2087" s="14"/>
      <c r="J2087" s="9" cm="1">
        <f t="array" ref="J2087">SUMPRODUCT((Tablo3[Urun Ad]=I2087)*(Tablo3[Ürün Kar Tutarı]))</f>
        <v>0</v>
      </c>
      <c r="L2087" s="37"/>
    </row>
    <row r="2088" spans="1:12" x14ac:dyDescent="0.25">
      <c r="A2088" s="13"/>
      <c r="B2088" s="9" cm="1">
        <f t="array" ref="B2088">SUMPRODUCT((Tablo3[Personel Ad]=A2088)*(Tablo3[Ürün Kar Tutarı]))</f>
        <v>0</v>
      </c>
      <c r="D2088" s="14"/>
      <c r="F2088" s="9" cm="1">
        <f t="array" ref="F2088">SUMPRODUCT((Tablo3[Şehirler]=E2088)*(Tablo3[Ürün Kar Tutarı]))</f>
        <v>0</v>
      </c>
      <c r="H2088" s="14"/>
      <c r="J2088" s="9" cm="1">
        <f t="array" ref="J2088">SUMPRODUCT((Tablo3[Urun Ad]=I2088)*(Tablo3[Ürün Kar Tutarı]))</f>
        <v>0</v>
      </c>
      <c r="L2088" s="37"/>
    </row>
    <row r="2089" spans="1:12" x14ac:dyDescent="0.25">
      <c r="A2089" s="13"/>
      <c r="B2089" s="9" cm="1">
        <f t="array" ref="B2089">SUMPRODUCT((Tablo3[Personel Ad]=A2089)*(Tablo3[Ürün Kar Tutarı]))</f>
        <v>0</v>
      </c>
      <c r="D2089" s="14"/>
      <c r="F2089" s="9" cm="1">
        <f t="array" ref="F2089">SUMPRODUCT((Tablo3[Şehirler]=E2089)*(Tablo3[Ürün Kar Tutarı]))</f>
        <v>0</v>
      </c>
      <c r="H2089" s="14"/>
      <c r="J2089" s="9" cm="1">
        <f t="array" ref="J2089">SUMPRODUCT((Tablo3[Urun Ad]=I2089)*(Tablo3[Ürün Kar Tutarı]))</f>
        <v>0</v>
      </c>
      <c r="L2089" s="37"/>
    </row>
    <row r="2090" spans="1:12" x14ac:dyDescent="0.25">
      <c r="A2090" s="13"/>
      <c r="B2090" s="9" cm="1">
        <f t="array" ref="B2090">SUMPRODUCT((Tablo3[Personel Ad]=A2090)*(Tablo3[Ürün Kar Tutarı]))</f>
        <v>0</v>
      </c>
      <c r="D2090" s="14"/>
      <c r="F2090" s="9" cm="1">
        <f t="array" ref="F2090">SUMPRODUCT((Tablo3[Şehirler]=E2090)*(Tablo3[Ürün Kar Tutarı]))</f>
        <v>0</v>
      </c>
      <c r="H2090" s="14"/>
      <c r="J2090" s="9" cm="1">
        <f t="array" ref="J2090">SUMPRODUCT((Tablo3[Urun Ad]=I2090)*(Tablo3[Ürün Kar Tutarı]))</f>
        <v>0</v>
      </c>
      <c r="L2090" s="37"/>
    </row>
    <row r="2091" spans="1:12" x14ac:dyDescent="0.25">
      <c r="A2091" s="13"/>
      <c r="B2091" s="9" cm="1">
        <f t="array" ref="B2091">SUMPRODUCT((Tablo3[Personel Ad]=A2091)*(Tablo3[Ürün Kar Tutarı]))</f>
        <v>0</v>
      </c>
      <c r="D2091" s="14"/>
      <c r="F2091" s="9" cm="1">
        <f t="array" ref="F2091">SUMPRODUCT((Tablo3[Şehirler]=E2091)*(Tablo3[Ürün Kar Tutarı]))</f>
        <v>0</v>
      </c>
      <c r="H2091" s="14"/>
      <c r="J2091" s="9" cm="1">
        <f t="array" ref="J2091">SUMPRODUCT((Tablo3[Urun Ad]=I2091)*(Tablo3[Ürün Kar Tutarı]))</f>
        <v>0</v>
      </c>
      <c r="L2091" s="37"/>
    </row>
    <row r="2092" spans="1:12" x14ac:dyDescent="0.25">
      <c r="A2092" s="13"/>
      <c r="B2092" s="9" cm="1">
        <f t="array" ref="B2092">SUMPRODUCT((Tablo3[Personel Ad]=A2092)*(Tablo3[Ürün Kar Tutarı]))</f>
        <v>0</v>
      </c>
      <c r="D2092" s="14"/>
      <c r="F2092" s="9" cm="1">
        <f t="array" ref="F2092">SUMPRODUCT((Tablo3[Şehirler]=E2092)*(Tablo3[Ürün Kar Tutarı]))</f>
        <v>0</v>
      </c>
      <c r="H2092" s="14"/>
      <c r="J2092" s="9" cm="1">
        <f t="array" ref="J2092">SUMPRODUCT((Tablo3[Urun Ad]=I2092)*(Tablo3[Ürün Kar Tutarı]))</f>
        <v>0</v>
      </c>
      <c r="L2092" s="37"/>
    </row>
    <row r="2093" spans="1:12" x14ac:dyDescent="0.25">
      <c r="A2093" s="13"/>
      <c r="B2093" s="9" cm="1">
        <f t="array" ref="B2093">SUMPRODUCT((Tablo3[Personel Ad]=A2093)*(Tablo3[Ürün Kar Tutarı]))</f>
        <v>0</v>
      </c>
      <c r="D2093" s="14"/>
      <c r="F2093" s="9" cm="1">
        <f t="array" ref="F2093">SUMPRODUCT((Tablo3[Şehirler]=E2093)*(Tablo3[Ürün Kar Tutarı]))</f>
        <v>0</v>
      </c>
      <c r="H2093" s="14"/>
      <c r="J2093" s="9" cm="1">
        <f t="array" ref="J2093">SUMPRODUCT((Tablo3[Urun Ad]=I2093)*(Tablo3[Ürün Kar Tutarı]))</f>
        <v>0</v>
      </c>
      <c r="L2093" s="37"/>
    </row>
    <row r="2094" spans="1:12" x14ac:dyDescent="0.25">
      <c r="A2094" s="13"/>
      <c r="B2094" s="9" cm="1">
        <f t="array" ref="B2094">SUMPRODUCT((Tablo3[Personel Ad]=A2094)*(Tablo3[Ürün Kar Tutarı]))</f>
        <v>0</v>
      </c>
      <c r="D2094" s="14"/>
      <c r="F2094" s="9" cm="1">
        <f t="array" ref="F2094">SUMPRODUCT((Tablo3[Şehirler]=E2094)*(Tablo3[Ürün Kar Tutarı]))</f>
        <v>0</v>
      </c>
      <c r="H2094" s="14"/>
      <c r="J2094" s="9" cm="1">
        <f t="array" ref="J2094">SUMPRODUCT((Tablo3[Urun Ad]=I2094)*(Tablo3[Ürün Kar Tutarı]))</f>
        <v>0</v>
      </c>
      <c r="L2094" s="37"/>
    </row>
    <row r="2095" spans="1:12" x14ac:dyDescent="0.25">
      <c r="A2095" s="13"/>
      <c r="B2095" s="9" cm="1">
        <f t="array" ref="B2095">SUMPRODUCT((Tablo3[Personel Ad]=A2095)*(Tablo3[Ürün Kar Tutarı]))</f>
        <v>0</v>
      </c>
      <c r="D2095" s="14"/>
      <c r="F2095" s="9" cm="1">
        <f t="array" ref="F2095">SUMPRODUCT((Tablo3[Şehirler]=E2095)*(Tablo3[Ürün Kar Tutarı]))</f>
        <v>0</v>
      </c>
      <c r="H2095" s="14"/>
      <c r="J2095" s="9" cm="1">
        <f t="array" ref="J2095">SUMPRODUCT((Tablo3[Urun Ad]=I2095)*(Tablo3[Ürün Kar Tutarı]))</f>
        <v>0</v>
      </c>
      <c r="L2095" s="37"/>
    </row>
    <row r="2096" spans="1:12" x14ac:dyDescent="0.25">
      <c r="A2096" s="13"/>
      <c r="B2096" s="9" cm="1">
        <f t="array" ref="B2096">SUMPRODUCT((Tablo3[Personel Ad]=A2096)*(Tablo3[Ürün Kar Tutarı]))</f>
        <v>0</v>
      </c>
      <c r="D2096" s="14"/>
      <c r="F2096" s="9" cm="1">
        <f t="array" ref="F2096">SUMPRODUCT((Tablo3[Şehirler]=E2096)*(Tablo3[Ürün Kar Tutarı]))</f>
        <v>0</v>
      </c>
      <c r="H2096" s="14"/>
      <c r="J2096" s="9" cm="1">
        <f t="array" ref="J2096">SUMPRODUCT((Tablo3[Urun Ad]=I2096)*(Tablo3[Ürün Kar Tutarı]))</f>
        <v>0</v>
      </c>
      <c r="L2096" s="37"/>
    </row>
    <row r="2097" spans="1:12" x14ac:dyDescent="0.25">
      <c r="A2097" s="13"/>
      <c r="B2097" s="9" cm="1">
        <f t="array" ref="B2097">SUMPRODUCT((Tablo3[Personel Ad]=A2097)*(Tablo3[Ürün Kar Tutarı]))</f>
        <v>0</v>
      </c>
      <c r="D2097" s="14"/>
      <c r="F2097" s="9" cm="1">
        <f t="array" ref="F2097">SUMPRODUCT((Tablo3[Şehirler]=E2097)*(Tablo3[Ürün Kar Tutarı]))</f>
        <v>0</v>
      </c>
      <c r="H2097" s="14"/>
      <c r="J2097" s="9" cm="1">
        <f t="array" ref="J2097">SUMPRODUCT((Tablo3[Urun Ad]=I2097)*(Tablo3[Ürün Kar Tutarı]))</f>
        <v>0</v>
      </c>
      <c r="L2097" s="37"/>
    </row>
    <row r="2098" spans="1:12" x14ac:dyDescent="0.25">
      <c r="A2098" s="13"/>
      <c r="B2098" s="9" cm="1">
        <f t="array" ref="B2098">SUMPRODUCT((Tablo3[Personel Ad]=A2098)*(Tablo3[Ürün Kar Tutarı]))</f>
        <v>0</v>
      </c>
      <c r="D2098" s="14"/>
      <c r="F2098" s="9" cm="1">
        <f t="array" ref="F2098">SUMPRODUCT((Tablo3[Şehirler]=E2098)*(Tablo3[Ürün Kar Tutarı]))</f>
        <v>0</v>
      </c>
      <c r="H2098" s="14"/>
      <c r="J2098" s="9" cm="1">
        <f t="array" ref="J2098">SUMPRODUCT((Tablo3[Urun Ad]=I2098)*(Tablo3[Ürün Kar Tutarı]))</f>
        <v>0</v>
      </c>
      <c r="L2098" s="37"/>
    </row>
    <row r="2099" spans="1:12" x14ac:dyDescent="0.25">
      <c r="A2099" s="13"/>
      <c r="B2099" s="9" cm="1">
        <f t="array" ref="B2099">SUMPRODUCT((Tablo3[Personel Ad]=A2099)*(Tablo3[Ürün Kar Tutarı]))</f>
        <v>0</v>
      </c>
      <c r="D2099" s="14"/>
      <c r="F2099" s="9" cm="1">
        <f t="array" ref="F2099">SUMPRODUCT((Tablo3[Şehirler]=E2099)*(Tablo3[Ürün Kar Tutarı]))</f>
        <v>0</v>
      </c>
      <c r="H2099" s="14"/>
      <c r="J2099" s="9" cm="1">
        <f t="array" ref="J2099">SUMPRODUCT((Tablo3[Urun Ad]=I2099)*(Tablo3[Ürün Kar Tutarı]))</f>
        <v>0</v>
      </c>
      <c r="L2099" s="37"/>
    </row>
    <row r="2100" spans="1:12" x14ac:dyDescent="0.25">
      <c r="A2100" s="13"/>
      <c r="B2100" s="9" cm="1">
        <f t="array" ref="B2100">SUMPRODUCT((Tablo3[Personel Ad]=A2100)*(Tablo3[Ürün Kar Tutarı]))</f>
        <v>0</v>
      </c>
      <c r="D2100" s="14"/>
      <c r="F2100" s="9" cm="1">
        <f t="array" ref="F2100">SUMPRODUCT((Tablo3[Şehirler]=E2100)*(Tablo3[Ürün Kar Tutarı]))</f>
        <v>0</v>
      </c>
      <c r="H2100" s="14"/>
      <c r="J2100" s="9" cm="1">
        <f t="array" ref="J2100">SUMPRODUCT((Tablo3[Urun Ad]=I2100)*(Tablo3[Ürün Kar Tutarı]))</f>
        <v>0</v>
      </c>
      <c r="L2100" s="37"/>
    </row>
    <row r="2101" spans="1:12" x14ac:dyDescent="0.25">
      <c r="A2101" s="13"/>
      <c r="B2101" s="9" cm="1">
        <f t="array" ref="B2101">SUMPRODUCT((Tablo3[Personel Ad]=A2101)*(Tablo3[Ürün Kar Tutarı]))</f>
        <v>0</v>
      </c>
      <c r="D2101" s="14"/>
      <c r="F2101" s="9" cm="1">
        <f t="array" ref="F2101">SUMPRODUCT((Tablo3[Şehirler]=E2101)*(Tablo3[Ürün Kar Tutarı]))</f>
        <v>0</v>
      </c>
      <c r="H2101" s="14"/>
      <c r="J2101" s="9" cm="1">
        <f t="array" ref="J2101">SUMPRODUCT((Tablo3[Urun Ad]=I2101)*(Tablo3[Ürün Kar Tutarı]))</f>
        <v>0</v>
      </c>
      <c r="L2101" s="37"/>
    </row>
    <row r="2102" spans="1:12" x14ac:dyDescent="0.25">
      <c r="A2102" s="13"/>
      <c r="B2102" s="9" cm="1">
        <f t="array" ref="B2102">SUMPRODUCT((Tablo3[Personel Ad]=A2102)*(Tablo3[Ürün Kar Tutarı]))</f>
        <v>0</v>
      </c>
      <c r="D2102" s="14"/>
      <c r="F2102" s="9" cm="1">
        <f t="array" ref="F2102">SUMPRODUCT((Tablo3[Şehirler]=E2102)*(Tablo3[Ürün Kar Tutarı]))</f>
        <v>0</v>
      </c>
      <c r="H2102" s="14"/>
      <c r="J2102" s="9" cm="1">
        <f t="array" ref="J2102">SUMPRODUCT((Tablo3[Urun Ad]=I2102)*(Tablo3[Ürün Kar Tutarı]))</f>
        <v>0</v>
      </c>
      <c r="L2102" s="37"/>
    </row>
    <row r="2103" spans="1:12" x14ac:dyDescent="0.25">
      <c r="A2103" s="13"/>
      <c r="B2103" s="9" cm="1">
        <f t="array" ref="B2103">SUMPRODUCT((Tablo3[Personel Ad]=A2103)*(Tablo3[Ürün Kar Tutarı]))</f>
        <v>0</v>
      </c>
      <c r="D2103" s="14"/>
      <c r="F2103" s="9" cm="1">
        <f t="array" ref="F2103">SUMPRODUCT((Tablo3[Şehirler]=E2103)*(Tablo3[Ürün Kar Tutarı]))</f>
        <v>0</v>
      </c>
      <c r="H2103" s="14"/>
      <c r="J2103" s="9" cm="1">
        <f t="array" ref="J2103">SUMPRODUCT((Tablo3[Urun Ad]=I2103)*(Tablo3[Ürün Kar Tutarı]))</f>
        <v>0</v>
      </c>
      <c r="L2103" s="37"/>
    </row>
    <row r="2104" spans="1:12" x14ac:dyDescent="0.25">
      <c r="A2104" s="13"/>
      <c r="B2104" s="9" cm="1">
        <f t="array" ref="B2104">SUMPRODUCT((Tablo3[Personel Ad]=A2104)*(Tablo3[Ürün Kar Tutarı]))</f>
        <v>0</v>
      </c>
      <c r="D2104" s="14"/>
      <c r="F2104" s="9" cm="1">
        <f t="array" ref="F2104">SUMPRODUCT((Tablo3[Şehirler]=E2104)*(Tablo3[Ürün Kar Tutarı]))</f>
        <v>0</v>
      </c>
      <c r="H2104" s="14"/>
      <c r="J2104" s="9" cm="1">
        <f t="array" ref="J2104">SUMPRODUCT((Tablo3[Urun Ad]=I2104)*(Tablo3[Ürün Kar Tutarı]))</f>
        <v>0</v>
      </c>
      <c r="L2104" s="37"/>
    </row>
    <row r="2105" spans="1:12" x14ac:dyDescent="0.25">
      <c r="A2105" s="13"/>
      <c r="B2105" s="9" cm="1">
        <f t="array" ref="B2105">SUMPRODUCT((Tablo3[Personel Ad]=A2105)*(Tablo3[Ürün Kar Tutarı]))</f>
        <v>0</v>
      </c>
      <c r="D2105" s="14"/>
      <c r="F2105" s="9" cm="1">
        <f t="array" ref="F2105">SUMPRODUCT((Tablo3[Şehirler]=E2105)*(Tablo3[Ürün Kar Tutarı]))</f>
        <v>0</v>
      </c>
      <c r="H2105" s="14"/>
      <c r="J2105" s="9" cm="1">
        <f t="array" ref="J2105">SUMPRODUCT((Tablo3[Urun Ad]=I2105)*(Tablo3[Ürün Kar Tutarı]))</f>
        <v>0</v>
      </c>
      <c r="L2105" s="37"/>
    </row>
    <row r="2106" spans="1:12" x14ac:dyDescent="0.25">
      <c r="A2106" s="13"/>
      <c r="B2106" s="9" cm="1">
        <f t="array" ref="B2106">SUMPRODUCT((Tablo3[Personel Ad]=A2106)*(Tablo3[Ürün Kar Tutarı]))</f>
        <v>0</v>
      </c>
      <c r="D2106" s="14"/>
      <c r="F2106" s="9" cm="1">
        <f t="array" ref="F2106">SUMPRODUCT((Tablo3[Şehirler]=E2106)*(Tablo3[Ürün Kar Tutarı]))</f>
        <v>0</v>
      </c>
      <c r="H2106" s="14"/>
      <c r="J2106" s="9" cm="1">
        <f t="array" ref="J2106">SUMPRODUCT((Tablo3[Urun Ad]=I2106)*(Tablo3[Ürün Kar Tutarı]))</f>
        <v>0</v>
      </c>
      <c r="L2106" s="37"/>
    </row>
    <row r="2107" spans="1:12" x14ac:dyDescent="0.25">
      <c r="A2107" s="13"/>
      <c r="B2107" s="9" cm="1">
        <f t="array" ref="B2107">SUMPRODUCT((Tablo3[Personel Ad]=A2107)*(Tablo3[Ürün Kar Tutarı]))</f>
        <v>0</v>
      </c>
      <c r="D2107" s="14"/>
      <c r="F2107" s="9" cm="1">
        <f t="array" ref="F2107">SUMPRODUCT((Tablo3[Şehirler]=E2107)*(Tablo3[Ürün Kar Tutarı]))</f>
        <v>0</v>
      </c>
      <c r="H2107" s="14"/>
      <c r="J2107" s="9" cm="1">
        <f t="array" ref="J2107">SUMPRODUCT((Tablo3[Urun Ad]=I2107)*(Tablo3[Ürün Kar Tutarı]))</f>
        <v>0</v>
      </c>
      <c r="L2107" s="37"/>
    </row>
    <row r="2108" spans="1:12" x14ac:dyDescent="0.25">
      <c r="A2108" s="13"/>
      <c r="B2108" s="9" cm="1">
        <f t="array" ref="B2108">SUMPRODUCT((Tablo3[Personel Ad]=A2108)*(Tablo3[Ürün Kar Tutarı]))</f>
        <v>0</v>
      </c>
      <c r="D2108" s="14"/>
      <c r="F2108" s="9" cm="1">
        <f t="array" ref="F2108">SUMPRODUCT((Tablo3[Şehirler]=E2108)*(Tablo3[Ürün Kar Tutarı]))</f>
        <v>0</v>
      </c>
      <c r="H2108" s="14"/>
      <c r="J2108" s="9" cm="1">
        <f t="array" ref="J2108">SUMPRODUCT((Tablo3[Urun Ad]=I2108)*(Tablo3[Ürün Kar Tutarı]))</f>
        <v>0</v>
      </c>
      <c r="L2108" s="37"/>
    </row>
    <row r="2109" spans="1:12" x14ac:dyDescent="0.25">
      <c r="A2109" s="13"/>
      <c r="B2109" s="9" cm="1">
        <f t="array" ref="B2109">SUMPRODUCT((Tablo3[Personel Ad]=A2109)*(Tablo3[Ürün Kar Tutarı]))</f>
        <v>0</v>
      </c>
      <c r="D2109" s="14"/>
      <c r="F2109" s="9" cm="1">
        <f t="array" ref="F2109">SUMPRODUCT((Tablo3[Şehirler]=E2109)*(Tablo3[Ürün Kar Tutarı]))</f>
        <v>0</v>
      </c>
      <c r="H2109" s="14"/>
      <c r="J2109" s="9" cm="1">
        <f t="array" ref="J2109">SUMPRODUCT((Tablo3[Urun Ad]=I2109)*(Tablo3[Ürün Kar Tutarı]))</f>
        <v>0</v>
      </c>
      <c r="L2109" s="37"/>
    </row>
    <row r="2110" spans="1:12" x14ac:dyDescent="0.25">
      <c r="A2110" s="13"/>
      <c r="B2110" s="9" cm="1">
        <f t="array" ref="B2110">SUMPRODUCT((Tablo3[Personel Ad]=A2110)*(Tablo3[Ürün Kar Tutarı]))</f>
        <v>0</v>
      </c>
      <c r="D2110" s="14"/>
      <c r="F2110" s="9" cm="1">
        <f t="array" ref="F2110">SUMPRODUCT((Tablo3[Şehirler]=E2110)*(Tablo3[Ürün Kar Tutarı]))</f>
        <v>0</v>
      </c>
      <c r="H2110" s="14"/>
      <c r="J2110" s="9" cm="1">
        <f t="array" ref="J2110">SUMPRODUCT((Tablo3[Urun Ad]=I2110)*(Tablo3[Ürün Kar Tutarı]))</f>
        <v>0</v>
      </c>
      <c r="L2110" s="37"/>
    </row>
    <row r="2111" spans="1:12" x14ac:dyDescent="0.25">
      <c r="A2111" s="13"/>
      <c r="B2111" s="9" cm="1">
        <f t="array" ref="B2111">SUMPRODUCT((Tablo3[Personel Ad]=A2111)*(Tablo3[Ürün Kar Tutarı]))</f>
        <v>0</v>
      </c>
      <c r="D2111" s="14"/>
      <c r="F2111" s="9" cm="1">
        <f t="array" ref="F2111">SUMPRODUCT((Tablo3[Şehirler]=E2111)*(Tablo3[Ürün Kar Tutarı]))</f>
        <v>0</v>
      </c>
      <c r="H2111" s="14"/>
      <c r="J2111" s="9" cm="1">
        <f t="array" ref="J2111">SUMPRODUCT((Tablo3[Urun Ad]=I2111)*(Tablo3[Ürün Kar Tutarı]))</f>
        <v>0</v>
      </c>
      <c r="L2111" s="37"/>
    </row>
    <row r="2112" spans="1:12" x14ac:dyDescent="0.25">
      <c r="A2112" s="13"/>
      <c r="B2112" s="9" cm="1">
        <f t="array" ref="B2112">SUMPRODUCT((Tablo3[Personel Ad]=A2112)*(Tablo3[Ürün Kar Tutarı]))</f>
        <v>0</v>
      </c>
      <c r="D2112" s="14"/>
      <c r="F2112" s="9" cm="1">
        <f t="array" ref="F2112">SUMPRODUCT((Tablo3[Şehirler]=E2112)*(Tablo3[Ürün Kar Tutarı]))</f>
        <v>0</v>
      </c>
      <c r="H2112" s="14"/>
      <c r="J2112" s="9" cm="1">
        <f t="array" ref="J2112">SUMPRODUCT((Tablo3[Urun Ad]=I2112)*(Tablo3[Ürün Kar Tutarı]))</f>
        <v>0</v>
      </c>
      <c r="L2112" s="37"/>
    </row>
    <row r="2113" spans="1:12" x14ac:dyDescent="0.25">
      <c r="A2113" s="13"/>
      <c r="B2113" s="9" cm="1">
        <f t="array" ref="B2113">SUMPRODUCT((Tablo3[Personel Ad]=A2113)*(Tablo3[Ürün Kar Tutarı]))</f>
        <v>0</v>
      </c>
      <c r="D2113" s="14"/>
      <c r="F2113" s="9" cm="1">
        <f t="array" ref="F2113">SUMPRODUCT((Tablo3[Şehirler]=E2113)*(Tablo3[Ürün Kar Tutarı]))</f>
        <v>0</v>
      </c>
      <c r="H2113" s="14"/>
      <c r="J2113" s="9" cm="1">
        <f t="array" ref="J2113">SUMPRODUCT((Tablo3[Urun Ad]=I2113)*(Tablo3[Ürün Kar Tutarı]))</f>
        <v>0</v>
      </c>
      <c r="L2113" s="37"/>
    </row>
    <row r="2114" spans="1:12" x14ac:dyDescent="0.25">
      <c r="A2114" s="13"/>
      <c r="B2114" s="9" cm="1">
        <f t="array" ref="B2114">SUMPRODUCT((Tablo3[Personel Ad]=A2114)*(Tablo3[Ürün Kar Tutarı]))</f>
        <v>0</v>
      </c>
      <c r="D2114" s="14"/>
      <c r="F2114" s="9" cm="1">
        <f t="array" ref="F2114">SUMPRODUCT((Tablo3[Şehirler]=E2114)*(Tablo3[Ürün Kar Tutarı]))</f>
        <v>0</v>
      </c>
      <c r="H2114" s="14"/>
      <c r="J2114" s="9" cm="1">
        <f t="array" ref="J2114">SUMPRODUCT((Tablo3[Urun Ad]=I2114)*(Tablo3[Ürün Kar Tutarı]))</f>
        <v>0</v>
      </c>
      <c r="L2114" s="37"/>
    </row>
    <row r="2115" spans="1:12" x14ac:dyDescent="0.25">
      <c r="A2115" s="13"/>
      <c r="B2115" s="9" cm="1">
        <f t="array" ref="B2115">SUMPRODUCT((Tablo3[Personel Ad]=A2115)*(Tablo3[Ürün Kar Tutarı]))</f>
        <v>0</v>
      </c>
      <c r="D2115" s="14"/>
      <c r="F2115" s="9" cm="1">
        <f t="array" ref="F2115">SUMPRODUCT((Tablo3[Şehirler]=E2115)*(Tablo3[Ürün Kar Tutarı]))</f>
        <v>0</v>
      </c>
      <c r="H2115" s="14"/>
      <c r="J2115" s="9" cm="1">
        <f t="array" ref="J2115">SUMPRODUCT((Tablo3[Urun Ad]=I2115)*(Tablo3[Ürün Kar Tutarı]))</f>
        <v>0</v>
      </c>
      <c r="L2115" s="37"/>
    </row>
    <row r="2116" spans="1:12" x14ac:dyDescent="0.25">
      <c r="A2116" s="13"/>
      <c r="B2116" s="9" cm="1">
        <f t="array" ref="B2116">SUMPRODUCT((Tablo3[Personel Ad]=A2116)*(Tablo3[Ürün Kar Tutarı]))</f>
        <v>0</v>
      </c>
      <c r="D2116" s="14"/>
      <c r="F2116" s="9" cm="1">
        <f t="array" ref="F2116">SUMPRODUCT((Tablo3[Şehirler]=E2116)*(Tablo3[Ürün Kar Tutarı]))</f>
        <v>0</v>
      </c>
      <c r="H2116" s="14"/>
      <c r="J2116" s="9" cm="1">
        <f t="array" ref="J2116">SUMPRODUCT((Tablo3[Urun Ad]=I2116)*(Tablo3[Ürün Kar Tutarı]))</f>
        <v>0</v>
      </c>
      <c r="L2116" s="37"/>
    </row>
    <row r="2117" spans="1:12" x14ac:dyDescent="0.25">
      <c r="A2117" s="13"/>
      <c r="B2117" s="9" cm="1">
        <f t="array" ref="B2117">SUMPRODUCT((Tablo3[Personel Ad]=A2117)*(Tablo3[Ürün Kar Tutarı]))</f>
        <v>0</v>
      </c>
      <c r="D2117" s="14"/>
      <c r="F2117" s="9" cm="1">
        <f t="array" ref="F2117">SUMPRODUCT((Tablo3[Şehirler]=E2117)*(Tablo3[Ürün Kar Tutarı]))</f>
        <v>0</v>
      </c>
      <c r="H2117" s="14"/>
      <c r="J2117" s="9" cm="1">
        <f t="array" ref="J2117">SUMPRODUCT((Tablo3[Urun Ad]=I2117)*(Tablo3[Ürün Kar Tutarı]))</f>
        <v>0</v>
      </c>
      <c r="L2117" s="37"/>
    </row>
    <row r="2118" spans="1:12" x14ac:dyDescent="0.25">
      <c r="A2118" s="13"/>
      <c r="B2118" s="9" cm="1">
        <f t="array" ref="B2118">SUMPRODUCT((Tablo3[Personel Ad]=A2118)*(Tablo3[Ürün Kar Tutarı]))</f>
        <v>0</v>
      </c>
      <c r="D2118" s="14"/>
      <c r="F2118" s="9" cm="1">
        <f t="array" ref="F2118">SUMPRODUCT((Tablo3[Şehirler]=E2118)*(Tablo3[Ürün Kar Tutarı]))</f>
        <v>0</v>
      </c>
      <c r="H2118" s="14"/>
      <c r="J2118" s="9" cm="1">
        <f t="array" ref="J2118">SUMPRODUCT((Tablo3[Urun Ad]=I2118)*(Tablo3[Ürün Kar Tutarı]))</f>
        <v>0</v>
      </c>
      <c r="L2118" s="37"/>
    </row>
    <row r="2119" spans="1:12" x14ac:dyDescent="0.25">
      <c r="A2119" s="13"/>
      <c r="B2119" s="9" cm="1">
        <f t="array" ref="B2119">SUMPRODUCT((Tablo3[Personel Ad]=A2119)*(Tablo3[Ürün Kar Tutarı]))</f>
        <v>0</v>
      </c>
      <c r="D2119" s="14"/>
      <c r="F2119" s="9" cm="1">
        <f t="array" ref="F2119">SUMPRODUCT((Tablo3[Şehirler]=E2119)*(Tablo3[Ürün Kar Tutarı]))</f>
        <v>0</v>
      </c>
      <c r="H2119" s="14"/>
      <c r="J2119" s="9" cm="1">
        <f t="array" ref="J2119">SUMPRODUCT((Tablo3[Urun Ad]=I2119)*(Tablo3[Ürün Kar Tutarı]))</f>
        <v>0</v>
      </c>
      <c r="L2119" s="37"/>
    </row>
    <row r="2120" spans="1:12" x14ac:dyDescent="0.25">
      <c r="A2120" s="13"/>
      <c r="B2120" s="9" cm="1">
        <f t="array" ref="B2120">SUMPRODUCT((Tablo3[Personel Ad]=A2120)*(Tablo3[Ürün Kar Tutarı]))</f>
        <v>0</v>
      </c>
      <c r="D2120" s="14"/>
      <c r="F2120" s="9" cm="1">
        <f t="array" ref="F2120">SUMPRODUCT((Tablo3[Şehirler]=E2120)*(Tablo3[Ürün Kar Tutarı]))</f>
        <v>0</v>
      </c>
      <c r="H2120" s="14"/>
      <c r="J2120" s="9" cm="1">
        <f t="array" ref="J2120">SUMPRODUCT((Tablo3[Urun Ad]=I2120)*(Tablo3[Ürün Kar Tutarı]))</f>
        <v>0</v>
      </c>
      <c r="L2120" s="37"/>
    </row>
    <row r="2121" spans="1:12" x14ac:dyDescent="0.25">
      <c r="A2121" s="13"/>
      <c r="B2121" s="9" cm="1">
        <f t="array" ref="B2121">SUMPRODUCT((Tablo3[Personel Ad]=A2121)*(Tablo3[Ürün Kar Tutarı]))</f>
        <v>0</v>
      </c>
      <c r="D2121" s="14"/>
      <c r="F2121" s="9" cm="1">
        <f t="array" ref="F2121">SUMPRODUCT((Tablo3[Şehirler]=E2121)*(Tablo3[Ürün Kar Tutarı]))</f>
        <v>0</v>
      </c>
      <c r="H2121" s="14"/>
      <c r="J2121" s="9" cm="1">
        <f t="array" ref="J2121">SUMPRODUCT((Tablo3[Urun Ad]=I2121)*(Tablo3[Ürün Kar Tutarı]))</f>
        <v>0</v>
      </c>
      <c r="L2121" s="37"/>
    </row>
    <row r="2122" spans="1:12" x14ac:dyDescent="0.25">
      <c r="A2122" s="13"/>
      <c r="B2122" s="9" cm="1">
        <f t="array" ref="B2122">SUMPRODUCT((Tablo3[Personel Ad]=A2122)*(Tablo3[Ürün Kar Tutarı]))</f>
        <v>0</v>
      </c>
      <c r="D2122" s="14"/>
      <c r="F2122" s="9" cm="1">
        <f t="array" ref="F2122">SUMPRODUCT((Tablo3[Şehirler]=E2122)*(Tablo3[Ürün Kar Tutarı]))</f>
        <v>0</v>
      </c>
      <c r="H2122" s="14"/>
      <c r="J2122" s="9" cm="1">
        <f t="array" ref="J2122">SUMPRODUCT((Tablo3[Urun Ad]=I2122)*(Tablo3[Ürün Kar Tutarı]))</f>
        <v>0</v>
      </c>
      <c r="L2122" s="37"/>
    </row>
    <row r="2123" spans="1:12" x14ac:dyDescent="0.25">
      <c r="A2123" s="13"/>
      <c r="B2123" s="9" cm="1">
        <f t="array" ref="B2123">SUMPRODUCT((Tablo3[Personel Ad]=A2123)*(Tablo3[Ürün Kar Tutarı]))</f>
        <v>0</v>
      </c>
      <c r="D2123" s="14"/>
      <c r="F2123" s="9" cm="1">
        <f t="array" ref="F2123">SUMPRODUCT((Tablo3[Şehirler]=E2123)*(Tablo3[Ürün Kar Tutarı]))</f>
        <v>0</v>
      </c>
      <c r="H2123" s="14"/>
      <c r="J2123" s="9" cm="1">
        <f t="array" ref="J2123">SUMPRODUCT((Tablo3[Urun Ad]=I2123)*(Tablo3[Ürün Kar Tutarı]))</f>
        <v>0</v>
      </c>
      <c r="L2123" s="37"/>
    </row>
    <row r="2124" spans="1:12" x14ac:dyDescent="0.25">
      <c r="A2124" s="13"/>
      <c r="B2124" s="9" cm="1">
        <f t="array" ref="B2124">SUMPRODUCT((Tablo3[Personel Ad]=A2124)*(Tablo3[Ürün Kar Tutarı]))</f>
        <v>0</v>
      </c>
      <c r="D2124" s="14"/>
      <c r="F2124" s="9" cm="1">
        <f t="array" ref="F2124">SUMPRODUCT((Tablo3[Şehirler]=E2124)*(Tablo3[Ürün Kar Tutarı]))</f>
        <v>0</v>
      </c>
      <c r="H2124" s="14"/>
      <c r="J2124" s="9" cm="1">
        <f t="array" ref="J2124">SUMPRODUCT((Tablo3[Urun Ad]=I2124)*(Tablo3[Ürün Kar Tutarı]))</f>
        <v>0</v>
      </c>
      <c r="L2124" s="37"/>
    </row>
    <row r="2125" spans="1:12" x14ac:dyDescent="0.25">
      <c r="A2125" s="13"/>
      <c r="B2125" s="9" cm="1">
        <f t="array" ref="B2125">SUMPRODUCT((Tablo3[Personel Ad]=A2125)*(Tablo3[Ürün Kar Tutarı]))</f>
        <v>0</v>
      </c>
      <c r="D2125" s="14"/>
      <c r="F2125" s="9" cm="1">
        <f t="array" ref="F2125">SUMPRODUCT((Tablo3[Şehirler]=E2125)*(Tablo3[Ürün Kar Tutarı]))</f>
        <v>0</v>
      </c>
      <c r="H2125" s="14"/>
      <c r="J2125" s="9" cm="1">
        <f t="array" ref="J2125">SUMPRODUCT((Tablo3[Urun Ad]=I2125)*(Tablo3[Ürün Kar Tutarı]))</f>
        <v>0</v>
      </c>
      <c r="L2125" s="37"/>
    </row>
    <row r="2126" spans="1:12" x14ac:dyDescent="0.25">
      <c r="A2126" s="13"/>
      <c r="B2126" s="9" cm="1">
        <f t="array" ref="B2126">SUMPRODUCT((Tablo3[Personel Ad]=A2126)*(Tablo3[Ürün Kar Tutarı]))</f>
        <v>0</v>
      </c>
      <c r="D2126" s="14"/>
      <c r="F2126" s="9" cm="1">
        <f t="array" ref="F2126">SUMPRODUCT((Tablo3[Şehirler]=E2126)*(Tablo3[Ürün Kar Tutarı]))</f>
        <v>0</v>
      </c>
      <c r="H2126" s="14"/>
      <c r="J2126" s="9" cm="1">
        <f t="array" ref="J2126">SUMPRODUCT((Tablo3[Urun Ad]=I2126)*(Tablo3[Ürün Kar Tutarı]))</f>
        <v>0</v>
      </c>
      <c r="L2126" s="37"/>
    </row>
    <row r="2127" spans="1:12" x14ac:dyDescent="0.25">
      <c r="A2127" s="13"/>
      <c r="B2127" s="9" cm="1">
        <f t="array" ref="B2127">SUMPRODUCT((Tablo3[Personel Ad]=A2127)*(Tablo3[Ürün Kar Tutarı]))</f>
        <v>0</v>
      </c>
      <c r="D2127" s="14"/>
      <c r="F2127" s="9" cm="1">
        <f t="array" ref="F2127">SUMPRODUCT((Tablo3[Şehirler]=E2127)*(Tablo3[Ürün Kar Tutarı]))</f>
        <v>0</v>
      </c>
      <c r="H2127" s="14"/>
      <c r="J2127" s="9" cm="1">
        <f t="array" ref="J2127">SUMPRODUCT((Tablo3[Urun Ad]=I2127)*(Tablo3[Ürün Kar Tutarı]))</f>
        <v>0</v>
      </c>
      <c r="L2127" s="37"/>
    </row>
    <row r="2128" spans="1:12" x14ac:dyDescent="0.25">
      <c r="A2128" s="13"/>
      <c r="B2128" s="9" cm="1">
        <f t="array" ref="B2128">SUMPRODUCT((Tablo3[Personel Ad]=A2128)*(Tablo3[Ürün Kar Tutarı]))</f>
        <v>0</v>
      </c>
      <c r="D2128" s="14"/>
      <c r="F2128" s="9" cm="1">
        <f t="array" ref="F2128">SUMPRODUCT((Tablo3[Şehirler]=E2128)*(Tablo3[Ürün Kar Tutarı]))</f>
        <v>0</v>
      </c>
      <c r="H2128" s="14"/>
      <c r="J2128" s="9" cm="1">
        <f t="array" ref="J2128">SUMPRODUCT((Tablo3[Urun Ad]=I2128)*(Tablo3[Ürün Kar Tutarı]))</f>
        <v>0</v>
      </c>
      <c r="L2128" s="37"/>
    </row>
    <row r="2129" spans="1:12" x14ac:dyDescent="0.25">
      <c r="A2129" s="13"/>
      <c r="B2129" s="9" cm="1">
        <f t="array" ref="B2129">SUMPRODUCT((Tablo3[Personel Ad]=A2129)*(Tablo3[Ürün Kar Tutarı]))</f>
        <v>0</v>
      </c>
      <c r="D2129" s="14"/>
      <c r="F2129" s="9" cm="1">
        <f t="array" ref="F2129">SUMPRODUCT((Tablo3[Şehirler]=E2129)*(Tablo3[Ürün Kar Tutarı]))</f>
        <v>0</v>
      </c>
      <c r="H2129" s="14"/>
      <c r="J2129" s="9" cm="1">
        <f t="array" ref="J2129">SUMPRODUCT((Tablo3[Urun Ad]=I2129)*(Tablo3[Ürün Kar Tutarı]))</f>
        <v>0</v>
      </c>
      <c r="L2129" s="37"/>
    </row>
    <row r="2130" spans="1:12" x14ac:dyDescent="0.25">
      <c r="A2130" s="13"/>
      <c r="B2130" s="9" cm="1">
        <f t="array" ref="B2130">SUMPRODUCT((Tablo3[Personel Ad]=A2130)*(Tablo3[Ürün Kar Tutarı]))</f>
        <v>0</v>
      </c>
      <c r="D2130" s="14"/>
      <c r="F2130" s="9" cm="1">
        <f t="array" ref="F2130">SUMPRODUCT((Tablo3[Şehirler]=E2130)*(Tablo3[Ürün Kar Tutarı]))</f>
        <v>0</v>
      </c>
      <c r="H2130" s="14"/>
      <c r="J2130" s="9" cm="1">
        <f t="array" ref="J2130">SUMPRODUCT((Tablo3[Urun Ad]=I2130)*(Tablo3[Ürün Kar Tutarı]))</f>
        <v>0</v>
      </c>
      <c r="L2130" s="37"/>
    </row>
    <row r="2131" spans="1:12" x14ac:dyDescent="0.25">
      <c r="A2131" s="13"/>
      <c r="B2131" s="9" cm="1">
        <f t="array" ref="B2131">SUMPRODUCT((Tablo3[Personel Ad]=A2131)*(Tablo3[Ürün Kar Tutarı]))</f>
        <v>0</v>
      </c>
      <c r="D2131" s="14"/>
      <c r="F2131" s="9" cm="1">
        <f t="array" ref="F2131">SUMPRODUCT((Tablo3[Şehirler]=E2131)*(Tablo3[Ürün Kar Tutarı]))</f>
        <v>0</v>
      </c>
      <c r="H2131" s="14"/>
      <c r="J2131" s="9" cm="1">
        <f t="array" ref="J2131">SUMPRODUCT((Tablo3[Urun Ad]=I2131)*(Tablo3[Ürün Kar Tutarı]))</f>
        <v>0</v>
      </c>
      <c r="L2131" s="37"/>
    </row>
    <row r="2132" spans="1:12" x14ac:dyDescent="0.25">
      <c r="A2132" s="13"/>
      <c r="B2132" s="9" cm="1">
        <f t="array" ref="B2132">SUMPRODUCT((Tablo3[Personel Ad]=A2132)*(Tablo3[Ürün Kar Tutarı]))</f>
        <v>0</v>
      </c>
      <c r="D2132" s="14"/>
      <c r="F2132" s="9" cm="1">
        <f t="array" ref="F2132">SUMPRODUCT((Tablo3[Şehirler]=E2132)*(Tablo3[Ürün Kar Tutarı]))</f>
        <v>0</v>
      </c>
      <c r="H2132" s="14"/>
      <c r="J2132" s="9" cm="1">
        <f t="array" ref="J2132">SUMPRODUCT((Tablo3[Urun Ad]=I2132)*(Tablo3[Ürün Kar Tutarı]))</f>
        <v>0</v>
      </c>
      <c r="L2132" s="37"/>
    </row>
    <row r="2133" spans="1:12" x14ac:dyDescent="0.25">
      <c r="A2133" s="13"/>
      <c r="B2133" s="9" cm="1">
        <f t="array" ref="B2133">SUMPRODUCT((Tablo3[Personel Ad]=A2133)*(Tablo3[Ürün Kar Tutarı]))</f>
        <v>0</v>
      </c>
      <c r="D2133" s="14"/>
      <c r="F2133" s="9" cm="1">
        <f t="array" ref="F2133">SUMPRODUCT((Tablo3[Şehirler]=E2133)*(Tablo3[Ürün Kar Tutarı]))</f>
        <v>0</v>
      </c>
      <c r="H2133" s="14"/>
      <c r="J2133" s="9" cm="1">
        <f t="array" ref="J2133">SUMPRODUCT((Tablo3[Urun Ad]=I2133)*(Tablo3[Ürün Kar Tutarı]))</f>
        <v>0</v>
      </c>
      <c r="L2133" s="37"/>
    </row>
    <row r="2134" spans="1:12" x14ac:dyDescent="0.25">
      <c r="A2134" s="13"/>
      <c r="B2134" s="9" cm="1">
        <f t="array" ref="B2134">SUMPRODUCT((Tablo3[Personel Ad]=A2134)*(Tablo3[Ürün Kar Tutarı]))</f>
        <v>0</v>
      </c>
      <c r="D2134" s="14"/>
      <c r="F2134" s="9" cm="1">
        <f t="array" ref="F2134">SUMPRODUCT((Tablo3[Şehirler]=E2134)*(Tablo3[Ürün Kar Tutarı]))</f>
        <v>0</v>
      </c>
      <c r="H2134" s="14"/>
      <c r="J2134" s="9" cm="1">
        <f t="array" ref="J2134">SUMPRODUCT((Tablo3[Urun Ad]=I2134)*(Tablo3[Ürün Kar Tutarı]))</f>
        <v>0</v>
      </c>
      <c r="L2134" s="37"/>
    </row>
    <row r="2135" spans="1:12" x14ac:dyDescent="0.25">
      <c r="A2135" s="13"/>
      <c r="B2135" s="9" cm="1">
        <f t="array" ref="B2135">SUMPRODUCT((Tablo3[Personel Ad]=A2135)*(Tablo3[Ürün Kar Tutarı]))</f>
        <v>0</v>
      </c>
      <c r="D2135" s="14"/>
      <c r="F2135" s="9" cm="1">
        <f t="array" ref="F2135">SUMPRODUCT((Tablo3[Şehirler]=E2135)*(Tablo3[Ürün Kar Tutarı]))</f>
        <v>0</v>
      </c>
      <c r="H2135" s="14"/>
      <c r="J2135" s="9" cm="1">
        <f t="array" ref="J2135">SUMPRODUCT((Tablo3[Urun Ad]=I2135)*(Tablo3[Ürün Kar Tutarı]))</f>
        <v>0</v>
      </c>
      <c r="L2135" s="37"/>
    </row>
    <row r="2136" spans="1:12" x14ac:dyDescent="0.25">
      <c r="A2136" s="13"/>
      <c r="B2136" s="9" cm="1">
        <f t="array" ref="B2136">SUMPRODUCT((Tablo3[Personel Ad]=A2136)*(Tablo3[Ürün Kar Tutarı]))</f>
        <v>0</v>
      </c>
      <c r="D2136" s="14"/>
      <c r="F2136" s="9" cm="1">
        <f t="array" ref="F2136">SUMPRODUCT((Tablo3[Şehirler]=E2136)*(Tablo3[Ürün Kar Tutarı]))</f>
        <v>0</v>
      </c>
      <c r="H2136" s="14"/>
      <c r="J2136" s="9" cm="1">
        <f t="array" ref="J2136">SUMPRODUCT((Tablo3[Urun Ad]=I2136)*(Tablo3[Ürün Kar Tutarı]))</f>
        <v>0</v>
      </c>
      <c r="L2136" s="37"/>
    </row>
    <row r="2137" spans="1:12" x14ac:dyDescent="0.25">
      <c r="A2137" s="13"/>
      <c r="B2137" s="9" cm="1">
        <f t="array" ref="B2137">SUMPRODUCT((Tablo3[Personel Ad]=A2137)*(Tablo3[Ürün Kar Tutarı]))</f>
        <v>0</v>
      </c>
      <c r="D2137" s="14"/>
      <c r="F2137" s="9" cm="1">
        <f t="array" ref="F2137">SUMPRODUCT((Tablo3[Şehirler]=E2137)*(Tablo3[Ürün Kar Tutarı]))</f>
        <v>0</v>
      </c>
      <c r="H2137" s="14"/>
      <c r="J2137" s="9" cm="1">
        <f t="array" ref="J2137">SUMPRODUCT((Tablo3[Urun Ad]=I2137)*(Tablo3[Ürün Kar Tutarı]))</f>
        <v>0</v>
      </c>
      <c r="L2137" s="37"/>
    </row>
    <row r="2138" spans="1:12" x14ac:dyDescent="0.25">
      <c r="A2138" s="13"/>
      <c r="B2138" s="9" cm="1">
        <f t="array" ref="B2138">SUMPRODUCT((Tablo3[Personel Ad]=A2138)*(Tablo3[Ürün Kar Tutarı]))</f>
        <v>0</v>
      </c>
      <c r="D2138" s="14"/>
      <c r="F2138" s="9" cm="1">
        <f t="array" ref="F2138">SUMPRODUCT((Tablo3[Şehirler]=E2138)*(Tablo3[Ürün Kar Tutarı]))</f>
        <v>0</v>
      </c>
      <c r="H2138" s="14"/>
      <c r="J2138" s="9" cm="1">
        <f t="array" ref="J2138">SUMPRODUCT((Tablo3[Urun Ad]=I2138)*(Tablo3[Ürün Kar Tutarı]))</f>
        <v>0</v>
      </c>
      <c r="L2138" s="37"/>
    </row>
    <row r="2139" spans="1:12" x14ac:dyDescent="0.25">
      <c r="A2139" s="13"/>
      <c r="B2139" s="9" cm="1">
        <f t="array" ref="B2139">SUMPRODUCT((Tablo3[Personel Ad]=A2139)*(Tablo3[Ürün Kar Tutarı]))</f>
        <v>0</v>
      </c>
      <c r="D2139" s="14"/>
      <c r="F2139" s="9" cm="1">
        <f t="array" ref="F2139">SUMPRODUCT((Tablo3[Şehirler]=E2139)*(Tablo3[Ürün Kar Tutarı]))</f>
        <v>0</v>
      </c>
      <c r="H2139" s="14"/>
      <c r="J2139" s="9" cm="1">
        <f t="array" ref="J2139">SUMPRODUCT((Tablo3[Urun Ad]=I2139)*(Tablo3[Ürün Kar Tutarı]))</f>
        <v>0</v>
      </c>
      <c r="L2139" s="37"/>
    </row>
    <row r="2140" spans="1:12" x14ac:dyDescent="0.25">
      <c r="A2140" s="13"/>
      <c r="B2140" s="9" cm="1">
        <f t="array" ref="B2140">SUMPRODUCT((Tablo3[Personel Ad]=A2140)*(Tablo3[Ürün Kar Tutarı]))</f>
        <v>0</v>
      </c>
      <c r="D2140" s="14"/>
      <c r="F2140" s="9" cm="1">
        <f t="array" ref="F2140">SUMPRODUCT((Tablo3[Şehirler]=E2140)*(Tablo3[Ürün Kar Tutarı]))</f>
        <v>0</v>
      </c>
      <c r="H2140" s="14"/>
      <c r="J2140" s="9" cm="1">
        <f t="array" ref="J2140">SUMPRODUCT((Tablo3[Urun Ad]=I2140)*(Tablo3[Ürün Kar Tutarı]))</f>
        <v>0</v>
      </c>
      <c r="L2140" s="37"/>
    </row>
    <row r="2141" spans="1:12" x14ac:dyDescent="0.25">
      <c r="A2141" s="13"/>
      <c r="B2141" s="9" cm="1">
        <f t="array" ref="B2141">SUMPRODUCT((Tablo3[Personel Ad]=A2141)*(Tablo3[Ürün Kar Tutarı]))</f>
        <v>0</v>
      </c>
      <c r="D2141" s="14"/>
      <c r="F2141" s="9" cm="1">
        <f t="array" ref="F2141">SUMPRODUCT((Tablo3[Şehirler]=E2141)*(Tablo3[Ürün Kar Tutarı]))</f>
        <v>0</v>
      </c>
      <c r="H2141" s="14"/>
      <c r="J2141" s="9" cm="1">
        <f t="array" ref="J2141">SUMPRODUCT((Tablo3[Urun Ad]=I2141)*(Tablo3[Ürün Kar Tutarı]))</f>
        <v>0</v>
      </c>
      <c r="L2141" s="37"/>
    </row>
    <row r="2142" spans="1:12" x14ac:dyDescent="0.25">
      <c r="A2142" s="13"/>
      <c r="B2142" s="9" cm="1">
        <f t="array" ref="B2142">SUMPRODUCT((Tablo3[Personel Ad]=A2142)*(Tablo3[Ürün Kar Tutarı]))</f>
        <v>0</v>
      </c>
      <c r="D2142" s="14"/>
      <c r="F2142" s="9" cm="1">
        <f t="array" ref="F2142">SUMPRODUCT((Tablo3[Şehirler]=E2142)*(Tablo3[Ürün Kar Tutarı]))</f>
        <v>0</v>
      </c>
      <c r="H2142" s="14"/>
      <c r="J2142" s="9" cm="1">
        <f t="array" ref="J2142">SUMPRODUCT((Tablo3[Urun Ad]=I2142)*(Tablo3[Ürün Kar Tutarı]))</f>
        <v>0</v>
      </c>
      <c r="L2142" s="37"/>
    </row>
    <row r="2143" spans="1:12" x14ac:dyDescent="0.25">
      <c r="A2143" s="13"/>
      <c r="B2143" s="9" cm="1">
        <f t="array" ref="B2143">SUMPRODUCT((Tablo3[Personel Ad]=A2143)*(Tablo3[Ürün Kar Tutarı]))</f>
        <v>0</v>
      </c>
      <c r="D2143" s="14"/>
      <c r="F2143" s="9" cm="1">
        <f t="array" ref="F2143">SUMPRODUCT((Tablo3[Şehirler]=E2143)*(Tablo3[Ürün Kar Tutarı]))</f>
        <v>0</v>
      </c>
      <c r="H2143" s="14"/>
      <c r="J2143" s="9" cm="1">
        <f t="array" ref="J2143">SUMPRODUCT((Tablo3[Urun Ad]=I2143)*(Tablo3[Ürün Kar Tutarı]))</f>
        <v>0</v>
      </c>
      <c r="L2143" s="37"/>
    </row>
    <row r="2144" spans="1:12" x14ac:dyDescent="0.25">
      <c r="A2144" s="13"/>
      <c r="B2144" s="9" cm="1">
        <f t="array" ref="B2144">SUMPRODUCT((Tablo3[Personel Ad]=A2144)*(Tablo3[Ürün Kar Tutarı]))</f>
        <v>0</v>
      </c>
      <c r="D2144" s="14"/>
      <c r="F2144" s="9" cm="1">
        <f t="array" ref="F2144">SUMPRODUCT((Tablo3[Şehirler]=E2144)*(Tablo3[Ürün Kar Tutarı]))</f>
        <v>0</v>
      </c>
      <c r="H2144" s="14"/>
      <c r="J2144" s="9" cm="1">
        <f t="array" ref="J2144">SUMPRODUCT((Tablo3[Urun Ad]=I2144)*(Tablo3[Ürün Kar Tutarı]))</f>
        <v>0</v>
      </c>
      <c r="L2144" s="37"/>
    </row>
    <row r="2145" spans="1:12" x14ac:dyDescent="0.25">
      <c r="A2145" s="13"/>
      <c r="B2145" s="9" cm="1">
        <f t="array" ref="B2145">SUMPRODUCT((Tablo3[Personel Ad]=A2145)*(Tablo3[Ürün Kar Tutarı]))</f>
        <v>0</v>
      </c>
      <c r="D2145" s="14"/>
      <c r="F2145" s="9" cm="1">
        <f t="array" ref="F2145">SUMPRODUCT((Tablo3[Şehirler]=E2145)*(Tablo3[Ürün Kar Tutarı]))</f>
        <v>0</v>
      </c>
      <c r="H2145" s="14"/>
      <c r="J2145" s="9" cm="1">
        <f t="array" ref="J2145">SUMPRODUCT((Tablo3[Urun Ad]=I2145)*(Tablo3[Ürün Kar Tutarı]))</f>
        <v>0</v>
      </c>
      <c r="L2145" s="37"/>
    </row>
    <row r="2146" spans="1:12" x14ac:dyDescent="0.25">
      <c r="A2146" s="13"/>
      <c r="B2146" s="9" cm="1">
        <f t="array" ref="B2146">SUMPRODUCT((Tablo3[Personel Ad]=A2146)*(Tablo3[Ürün Kar Tutarı]))</f>
        <v>0</v>
      </c>
      <c r="D2146" s="14"/>
      <c r="F2146" s="9" cm="1">
        <f t="array" ref="F2146">SUMPRODUCT((Tablo3[Şehirler]=E2146)*(Tablo3[Ürün Kar Tutarı]))</f>
        <v>0</v>
      </c>
      <c r="H2146" s="14"/>
      <c r="J2146" s="9" cm="1">
        <f t="array" ref="J2146">SUMPRODUCT((Tablo3[Urun Ad]=I2146)*(Tablo3[Ürün Kar Tutarı]))</f>
        <v>0</v>
      </c>
      <c r="L2146" s="37"/>
    </row>
    <row r="2147" spans="1:12" x14ac:dyDescent="0.25">
      <c r="A2147" s="13"/>
      <c r="B2147" s="9" cm="1">
        <f t="array" ref="B2147">SUMPRODUCT((Tablo3[Personel Ad]=A2147)*(Tablo3[Ürün Kar Tutarı]))</f>
        <v>0</v>
      </c>
      <c r="D2147" s="14"/>
      <c r="F2147" s="9" cm="1">
        <f t="array" ref="F2147">SUMPRODUCT((Tablo3[Şehirler]=E2147)*(Tablo3[Ürün Kar Tutarı]))</f>
        <v>0</v>
      </c>
      <c r="H2147" s="14"/>
      <c r="J2147" s="9" cm="1">
        <f t="array" ref="J2147">SUMPRODUCT((Tablo3[Urun Ad]=I2147)*(Tablo3[Ürün Kar Tutarı]))</f>
        <v>0</v>
      </c>
      <c r="L2147" s="37"/>
    </row>
    <row r="2148" spans="1:12" x14ac:dyDescent="0.25">
      <c r="A2148" s="13"/>
      <c r="B2148" s="9" cm="1">
        <f t="array" ref="B2148">SUMPRODUCT((Tablo3[Personel Ad]=A2148)*(Tablo3[Ürün Kar Tutarı]))</f>
        <v>0</v>
      </c>
      <c r="D2148" s="14"/>
      <c r="F2148" s="9" cm="1">
        <f t="array" ref="F2148">SUMPRODUCT((Tablo3[Şehirler]=E2148)*(Tablo3[Ürün Kar Tutarı]))</f>
        <v>0</v>
      </c>
      <c r="H2148" s="14"/>
      <c r="J2148" s="9" cm="1">
        <f t="array" ref="J2148">SUMPRODUCT((Tablo3[Urun Ad]=I2148)*(Tablo3[Ürün Kar Tutarı]))</f>
        <v>0</v>
      </c>
      <c r="L2148" s="37"/>
    </row>
    <row r="2149" spans="1:12" x14ac:dyDescent="0.25">
      <c r="A2149" s="13"/>
      <c r="B2149" s="9" cm="1">
        <f t="array" ref="B2149">SUMPRODUCT((Tablo3[Personel Ad]=A2149)*(Tablo3[Ürün Kar Tutarı]))</f>
        <v>0</v>
      </c>
      <c r="D2149" s="14"/>
      <c r="F2149" s="9" cm="1">
        <f t="array" ref="F2149">SUMPRODUCT((Tablo3[Şehirler]=E2149)*(Tablo3[Ürün Kar Tutarı]))</f>
        <v>0</v>
      </c>
      <c r="H2149" s="14"/>
      <c r="J2149" s="9" cm="1">
        <f t="array" ref="J2149">SUMPRODUCT((Tablo3[Urun Ad]=I2149)*(Tablo3[Ürün Kar Tutarı]))</f>
        <v>0</v>
      </c>
      <c r="L2149" s="37"/>
    </row>
    <row r="2150" spans="1:12" x14ac:dyDescent="0.25">
      <c r="A2150" s="13"/>
      <c r="B2150" s="9" cm="1">
        <f t="array" ref="B2150">SUMPRODUCT((Tablo3[Personel Ad]=A2150)*(Tablo3[Ürün Kar Tutarı]))</f>
        <v>0</v>
      </c>
      <c r="D2150" s="14"/>
      <c r="F2150" s="9" cm="1">
        <f t="array" ref="F2150">SUMPRODUCT((Tablo3[Şehirler]=E2150)*(Tablo3[Ürün Kar Tutarı]))</f>
        <v>0</v>
      </c>
      <c r="H2150" s="14"/>
      <c r="J2150" s="9" cm="1">
        <f t="array" ref="J2150">SUMPRODUCT((Tablo3[Urun Ad]=I2150)*(Tablo3[Ürün Kar Tutarı]))</f>
        <v>0</v>
      </c>
      <c r="L2150" s="37"/>
    </row>
    <row r="2151" spans="1:12" x14ac:dyDescent="0.25">
      <c r="A2151" s="13"/>
      <c r="B2151" s="9" cm="1">
        <f t="array" ref="B2151">SUMPRODUCT((Tablo3[Personel Ad]=A2151)*(Tablo3[Ürün Kar Tutarı]))</f>
        <v>0</v>
      </c>
      <c r="D2151" s="14"/>
      <c r="F2151" s="9" cm="1">
        <f t="array" ref="F2151">SUMPRODUCT((Tablo3[Şehirler]=E2151)*(Tablo3[Ürün Kar Tutarı]))</f>
        <v>0</v>
      </c>
      <c r="H2151" s="14"/>
      <c r="J2151" s="9" cm="1">
        <f t="array" ref="J2151">SUMPRODUCT((Tablo3[Urun Ad]=I2151)*(Tablo3[Ürün Kar Tutarı]))</f>
        <v>0</v>
      </c>
      <c r="L2151" s="37"/>
    </row>
    <row r="2152" spans="1:12" x14ac:dyDescent="0.25">
      <c r="A2152" s="13"/>
      <c r="B2152" s="9" cm="1">
        <f t="array" ref="B2152">SUMPRODUCT((Tablo3[Personel Ad]=A2152)*(Tablo3[Ürün Kar Tutarı]))</f>
        <v>0</v>
      </c>
      <c r="D2152" s="14"/>
      <c r="F2152" s="9" cm="1">
        <f t="array" ref="F2152">SUMPRODUCT((Tablo3[Şehirler]=E2152)*(Tablo3[Ürün Kar Tutarı]))</f>
        <v>0</v>
      </c>
      <c r="H2152" s="14"/>
      <c r="J2152" s="9" cm="1">
        <f t="array" ref="J2152">SUMPRODUCT((Tablo3[Urun Ad]=I2152)*(Tablo3[Ürün Kar Tutarı]))</f>
        <v>0</v>
      </c>
      <c r="L2152" s="37"/>
    </row>
    <row r="2153" spans="1:12" x14ac:dyDescent="0.25">
      <c r="A2153" s="13"/>
      <c r="B2153" s="9" cm="1">
        <f t="array" ref="B2153">SUMPRODUCT((Tablo3[Personel Ad]=A2153)*(Tablo3[Ürün Kar Tutarı]))</f>
        <v>0</v>
      </c>
      <c r="D2153" s="14"/>
      <c r="F2153" s="9" cm="1">
        <f t="array" ref="F2153">SUMPRODUCT((Tablo3[Şehirler]=E2153)*(Tablo3[Ürün Kar Tutarı]))</f>
        <v>0</v>
      </c>
      <c r="H2153" s="14"/>
      <c r="J2153" s="9" cm="1">
        <f t="array" ref="J2153">SUMPRODUCT((Tablo3[Urun Ad]=I2153)*(Tablo3[Ürün Kar Tutarı]))</f>
        <v>0</v>
      </c>
      <c r="L2153" s="37"/>
    </row>
    <row r="2154" spans="1:12" x14ac:dyDescent="0.25">
      <c r="A2154" s="13"/>
      <c r="B2154" s="9" cm="1">
        <f t="array" ref="B2154">SUMPRODUCT((Tablo3[Personel Ad]=A2154)*(Tablo3[Ürün Kar Tutarı]))</f>
        <v>0</v>
      </c>
      <c r="D2154" s="14"/>
      <c r="F2154" s="9" cm="1">
        <f t="array" ref="F2154">SUMPRODUCT((Tablo3[Şehirler]=E2154)*(Tablo3[Ürün Kar Tutarı]))</f>
        <v>0</v>
      </c>
      <c r="H2154" s="14"/>
      <c r="J2154" s="9" cm="1">
        <f t="array" ref="J2154">SUMPRODUCT((Tablo3[Urun Ad]=I2154)*(Tablo3[Ürün Kar Tutarı]))</f>
        <v>0</v>
      </c>
      <c r="L2154" s="37"/>
    </row>
    <row r="2155" spans="1:12" x14ac:dyDescent="0.25">
      <c r="A2155" s="13"/>
      <c r="B2155" s="9" cm="1">
        <f t="array" ref="B2155">SUMPRODUCT((Tablo3[Personel Ad]=A2155)*(Tablo3[Ürün Kar Tutarı]))</f>
        <v>0</v>
      </c>
      <c r="D2155" s="14"/>
      <c r="F2155" s="9" cm="1">
        <f t="array" ref="F2155">SUMPRODUCT((Tablo3[Şehirler]=E2155)*(Tablo3[Ürün Kar Tutarı]))</f>
        <v>0</v>
      </c>
      <c r="H2155" s="14"/>
      <c r="J2155" s="9" cm="1">
        <f t="array" ref="J2155">SUMPRODUCT((Tablo3[Urun Ad]=I2155)*(Tablo3[Ürün Kar Tutarı]))</f>
        <v>0</v>
      </c>
      <c r="L2155" s="37"/>
    </row>
    <row r="2156" spans="1:12" x14ac:dyDescent="0.25">
      <c r="A2156" s="13"/>
      <c r="B2156" s="9" cm="1">
        <f t="array" ref="B2156">SUMPRODUCT((Tablo3[Personel Ad]=A2156)*(Tablo3[Ürün Kar Tutarı]))</f>
        <v>0</v>
      </c>
      <c r="D2156" s="14"/>
      <c r="F2156" s="9" cm="1">
        <f t="array" ref="F2156">SUMPRODUCT((Tablo3[Şehirler]=E2156)*(Tablo3[Ürün Kar Tutarı]))</f>
        <v>0</v>
      </c>
      <c r="H2156" s="14"/>
      <c r="J2156" s="9" cm="1">
        <f t="array" ref="J2156">SUMPRODUCT((Tablo3[Urun Ad]=I2156)*(Tablo3[Ürün Kar Tutarı]))</f>
        <v>0</v>
      </c>
      <c r="L2156" s="37"/>
    </row>
    <row r="2157" spans="1:12" x14ac:dyDescent="0.25">
      <c r="A2157" s="13"/>
      <c r="B2157" s="9" cm="1">
        <f t="array" ref="B2157">SUMPRODUCT((Tablo3[Personel Ad]=A2157)*(Tablo3[Ürün Kar Tutarı]))</f>
        <v>0</v>
      </c>
      <c r="D2157" s="14"/>
      <c r="F2157" s="9" cm="1">
        <f t="array" ref="F2157">SUMPRODUCT((Tablo3[Şehirler]=E2157)*(Tablo3[Ürün Kar Tutarı]))</f>
        <v>0</v>
      </c>
      <c r="H2157" s="14"/>
      <c r="J2157" s="9" cm="1">
        <f t="array" ref="J2157">SUMPRODUCT((Tablo3[Urun Ad]=I2157)*(Tablo3[Ürün Kar Tutarı]))</f>
        <v>0</v>
      </c>
      <c r="L2157" s="37"/>
    </row>
    <row r="2158" spans="1:12" x14ac:dyDescent="0.25">
      <c r="A2158" s="13"/>
      <c r="B2158" s="9" cm="1">
        <f t="array" ref="B2158">SUMPRODUCT((Tablo3[Personel Ad]=A2158)*(Tablo3[Ürün Kar Tutarı]))</f>
        <v>0</v>
      </c>
      <c r="D2158" s="14"/>
      <c r="F2158" s="9" cm="1">
        <f t="array" ref="F2158">SUMPRODUCT((Tablo3[Şehirler]=E2158)*(Tablo3[Ürün Kar Tutarı]))</f>
        <v>0</v>
      </c>
      <c r="H2158" s="14"/>
      <c r="J2158" s="9" cm="1">
        <f t="array" ref="J2158">SUMPRODUCT((Tablo3[Urun Ad]=I2158)*(Tablo3[Ürün Kar Tutarı]))</f>
        <v>0</v>
      </c>
      <c r="L2158" s="37"/>
    </row>
    <row r="2159" spans="1:12" x14ac:dyDescent="0.25">
      <c r="A2159" s="13"/>
      <c r="B2159" s="9" cm="1">
        <f t="array" ref="B2159">SUMPRODUCT((Tablo3[Personel Ad]=A2159)*(Tablo3[Ürün Kar Tutarı]))</f>
        <v>0</v>
      </c>
      <c r="D2159" s="14"/>
      <c r="F2159" s="9" cm="1">
        <f t="array" ref="F2159">SUMPRODUCT((Tablo3[Şehirler]=E2159)*(Tablo3[Ürün Kar Tutarı]))</f>
        <v>0</v>
      </c>
      <c r="H2159" s="14"/>
      <c r="J2159" s="9" cm="1">
        <f t="array" ref="J2159">SUMPRODUCT((Tablo3[Urun Ad]=I2159)*(Tablo3[Ürün Kar Tutarı]))</f>
        <v>0</v>
      </c>
      <c r="L2159" s="37"/>
    </row>
    <row r="2160" spans="1:12" x14ac:dyDescent="0.25">
      <c r="A2160" s="13"/>
      <c r="B2160" s="9" cm="1">
        <f t="array" ref="B2160">SUMPRODUCT((Tablo3[Personel Ad]=A2160)*(Tablo3[Ürün Kar Tutarı]))</f>
        <v>0</v>
      </c>
      <c r="D2160" s="14"/>
      <c r="F2160" s="9" cm="1">
        <f t="array" ref="F2160">SUMPRODUCT((Tablo3[Şehirler]=E2160)*(Tablo3[Ürün Kar Tutarı]))</f>
        <v>0</v>
      </c>
      <c r="H2160" s="14"/>
      <c r="J2160" s="9" cm="1">
        <f t="array" ref="J2160">SUMPRODUCT((Tablo3[Urun Ad]=I2160)*(Tablo3[Ürün Kar Tutarı]))</f>
        <v>0</v>
      </c>
      <c r="L2160" s="37"/>
    </row>
    <row r="2161" spans="1:12" x14ac:dyDescent="0.25">
      <c r="A2161" s="13"/>
      <c r="B2161" s="9" cm="1">
        <f t="array" ref="B2161">SUMPRODUCT((Tablo3[Personel Ad]=A2161)*(Tablo3[Ürün Kar Tutarı]))</f>
        <v>0</v>
      </c>
      <c r="D2161" s="14"/>
      <c r="F2161" s="9" cm="1">
        <f t="array" ref="F2161">SUMPRODUCT((Tablo3[Şehirler]=E2161)*(Tablo3[Ürün Kar Tutarı]))</f>
        <v>0</v>
      </c>
      <c r="H2161" s="14"/>
      <c r="J2161" s="9" cm="1">
        <f t="array" ref="J2161">SUMPRODUCT((Tablo3[Urun Ad]=I2161)*(Tablo3[Ürün Kar Tutarı]))</f>
        <v>0</v>
      </c>
      <c r="L2161" s="37"/>
    </row>
    <row r="2162" spans="1:12" x14ac:dyDescent="0.25">
      <c r="A2162" s="13"/>
      <c r="B2162" s="9" cm="1">
        <f t="array" ref="B2162">SUMPRODUCT((Tablo3[Personel Ad]=A2162)*(Tablo3[Ürün Kar Tutarı]))</f>
        <v>0</v>
      </c>
      <c r="D2162" s="14"/>
      <c r="F2162" s="9" cm="1">
        <f t="array" ref="F2162">SUMPRODUCT((Tablo3[Şehirler]=E2162)*(Tablo3[Ürün Kar Tutarı]))</f>
        <v>0</v>
      </c>
      <c r="H2162" s="14"/>
      <c r="J2162" s="9" cm="1">
        <f t="array" ref="J2162">SUMPRODUCT((Tablo3[Urun Ad]=I2162)*(Tablo3[Ürün Kar Tutarı]))</f>
        <v>0</v>
      </c>
      <c r="L2162" s="37"/>
    </row>
    <row r="2163" spans="1:12" x14ac:dyDescent="0.25">
      <c r="A2163" s="13"/>
      <c r="B2163" s="9" cm="1">
        <f t="array" ref="B2163">SUMPRODUCT((Tablo3[Personel Ad]=A2163)*(Tablo3[Ürün Kar Tutarı]))</f>
        <v>0</v>
      </c>
      <c r="D2163" s="14"/>
      <c r="F2163" s="9" cm="1">
        <f t="array" ref="F2163">SUMPRODUCT((Tablo3[Şehirler]=E2163)*(Tablo3[Ürün Kar Tutarı]))</f>
        <v>0</v>
      </c>
      <c r="H2163" s="14"/>
      <c r="J2163" s="9" cm="1">
        <f t="array" ref="J2163">SUMPRODUCT((Tablo3[Urun Ad]=I2163)*(Tablo3[Ürün Kar Tutarı]))</f>
        <v>0</v>
      </c>
      <c r="L2163" s="37"/>
    </row>
    <row r="2164" spans="1:12" x14ac:dyDescent="0.25">
      <c r="A2164" s="13"/>
      <c r="B2164" s="9" cm="1">
        <f t="array" ref="B2164">SUMPRODUCT((Tablo3[Personel Ad]=A2164)*(Tablo3[Ürün Kar Tutarı]))</f>
        <v>0</v>
      </c>
      <c r="D2164" s="14"/>
      <c r="F2164" s="9" cm="1">
        <f t="array" ref="F2164">SUMPRODUCT((Tablo3[Şehirler]=E2164)*(Tablo3[Ürün Kar Tutarı]))</f>
        <v>0</v>
      </c>
      <c r="H2164" s="14"/>
      <c r="J2164" s="9" cm="1">
        <f t="array" ref="J2164">SUMPRODUCT((Tablo3[Urun Ad]=I2164)*(Tablo3[Ürün Kar Tutarı]))</f>
        <v>0</v>
      </c>
      <c r="L2164" s="37"/>
    </row>
    <row r="2165" spans="1:12" x14ac:dyDescent="0.25">
      <c r="A2165" s="13"/>
      <c r="B2165" s="9" cm="1">
        <f t="array" ref="B2165">SUMPRODUCT((Tablo3[Personel Ad]=A2165)*(Tablo3[Ürün Kar Tutarı]))</f>
        <v>0</v>
      </c>
      <c r="D2165" s="14"/>
      <c r="F2165" s="9" cm="1">
        <f t="array" ref="F2165">SUMPRODUCT((Tablo3[Şehirler]=E2165)*(Tablo3[Ürün Kar Tutarı]))</f>
        <v>0</v>
      </c>
      <c r="H2165" s="14"/>
      <c r="J2165" s="9" cm="1">
        <f t="array" ref="J2165">SUMPRODUCT((Tablo3[Urun Ad]=I2165)*(Tablo3[Ürün Kar Tutarı]))</f>
        <v>0</v>
      </c>
      <c r="L2165" s="37"/>
    </row>
    <row r="2166" spans="1:12" x14ac:dyDescent="0.25">
      <c r="A2166" s="13"/>
      <c r="B2166" s="9" cm="1">
        <f t="array" ref="B2166">SUMPRODUCT((Tablo3[Personel Ad]=A2166)*(Tablo3[Ürün Kar Tutarı]))</f>
        <v>0</v>
      </c>
      <c r="D2166" s="14"/>
      <c r="F2166" s="9" cm="1">
        <f t="array" ref="F2166">SUMPRODUCT((Tablo3[Şehirler]=E2166)*(Tablo3[Ürün Kar Tutarı]))</f>
        <v>0</v>
      </c>
      <c r="H2166" s="14"/>
      <c r="J2166" s="9" cm="1">
        <f t="array" ref="J2166">SUMPRODUCT((Tablo3[Urun Ad]=I2166)*(Tablo3[Ürün Kar Tutarı]))</f>
        <v>0</v>
      </c>
      <c r="L2166" s="37"/>
    </row>
    <row r="2167" spans="1:12" x14ac:dyDescent="0.25">
      <c r="A2167" s="13"/>
      <c r="B2167" s="9" cm="1">
        <f t="array" ref="B2167">SUMPRODUCT((Tablo3[Personel Ad]=A2167)*(Tablo3[Ürün Kar Tutarı]))</f>
        <v>0</v>
      </c>
      <c r="D2167" s="14"/>
      <c r="F2167" s="9" cm="1">
        <f t="array" ref="F2167">SUMPRODUCT((Tablo3[Şehirler]=E2167)*(Tablo3[Ürün Kar Tutarı]))</f>
        <v>0</v>
      </c>
      <c r="H2167" s="14"/>
      <c r="J2167" s="9" cm="1">
        <f t="array" ref="J2167">SUMPRODUCT((Tablo3[Urun Ad]=I2167)*(Tablo3[Ürün Kar Tutarı]))</f>
        <v>0</v>
      </c>
      <c r="L2167" s="37"/>
    </row>
    <row r="2168" spans="1:12" x14ac:dyDescent="0.25">
      <c r="A2168" s="13"/>
      <c r="B2168" s="9" cm="1">
        <f t="array" ref="B2168">SUMPRODUCT((Tablo3[Personel Ad]=A2168)*(Tablo3[Ürün Kar Tutarı]))</f>
        <v>0</v>
      </c>
      <c r="D2168" s="14"/>
      <c r="F2168" s="9" cm="1">
        <f t="array" ref="F2168">SUMPRODUCT((Tablo3[Şehirler]=E2168)*(Tablo3[Ürün Kar Tutarı]))</f>
        <v>0</v>
      </c>
      <c r="H2168" s="14"/>
      <c r="J2168" s="9" cm="1">
        <f t="array" ref="J2168">SUMPRODUCT((Tablo3[Urun Ad]=I2168)*(Tablo3[Ürün Kar Tutarı]))</f>
        <v>0</v>
      </c>
      <c r="L2168" s="37"/>
    </row>
    <row r="2169" spans="1:12" x14ac:dyDescent="0.25">
      <c r="A2169" s="13"/>
      <c r="B2169" s="9" cm="1">
        <f t="array" ref="B2169">SUMPRODUCT((Tablo3[Personel Ad]=A2169)*(Tablo3[Ürün Kar Tutarı]))</f>
        <v>0</v>
      </c>
      <c r="D2169" s="14"/>
      <c r="F2169" s="9" cm="1">
        <f t="array" ref="F2169">SUMPRODUCT((Tablo3[Şehirler]=E2169)*(Tablo3[Ürün Kar Tutarı]))</f>
        <v>0</v>
      </c>
      <c r="H2169" s="14"/>
      <c r="J2169" s="9" cm="1">
        <f t="array" ref="J2169">SUMPRODUCT((Tablo3[Urun Ad]=I2169)*(Tablo3[Ürün Kar Tutarı]))</f>
        <v>0</v>
      </c>
      <c r="L2169" s="37"/>
    </row>
    <row r="2170" spans="1:12" x14ac:dyDescent="0.25">
      <c r="A2170" s="13"/>
      <c r="B2170" s="9" cm="1">
        <f t="array" ref="B2170">SUMPRODUCT((Tablo3[Personel Ad]=A2170)*(Tablo3[Ürün Kar Tutarı]))</f>
        <v>0</v>
      </c>
      <c r="D2170" s="14"/>
      <c r="F2170" s="9" cm="1">
        <f t="array" ref="F2170">SUMPRODUCT((Tablo3[Şehirler]=E2170)*(Tablo3[Ürün Kar Tutarı]))</f>
        <v>0</v>
      </c>
      <c r="H2170" s="14"/>
      <c r="J2170" s="9" cm="1">
        <f t="array" ref="J2170">SUMPRODUCT((Tablo3[Urun Ad]=I2170)*(Tablo3[Ürün Kar Tutarı]))</f>
        <v>0</v>
      </c>
      <c r="L2170" s="37"/>
    </row>
    <row r="2171" spans="1:12" x14ac:dyDescent="0.25">
      <c r="A2171" s="13"/>
      <c r="B2171" s="9" cm="1">
        <f t="array" ref="B2171">SUMPRODUCT((Tablo3[Personel Ad]=A2171)*(Tablo3[Ürün Kar Tutarı]))</f>
        <v>0</v>
      </c>
      <c r="D2171" s="14"/>
      <c r="F2171" s="9" cm="1">
        <f t="array" ref="F2171">SUMPRODUCT((Tablo3[Şehirler]=E2171)*(Tablo3[Ürün Kar Tutarı]))</f>
        <v>0</v>
      </c>
      <c r="H2171" s="14"/>
      <c r="J2171" s="9" cm="1">
        <f t="array" ref="J2171">SUMPRODUCT((Tablo3[Urun Ad]=I2171)*(Tablo3[Ürün Kar Tutarı]))</f>
        <v>0</v>
      </c>
      <c r="L2171" s="37"/>
    </row>
    <row r="2172" spans="1:12" x14ac:dyDescent="0.25">
      <c r="A2172" s="13"/>
      <c r="B2172" s="9" cm="1">
        <f t="array" ref="B2172">SUMPRODUCT((Tablo3[Personel Ad]=A2172)*(Tablo3[Ürün Kar Tutarı]))</f>
        <v>0</v>
      </c>
      <c r="D2172" s="14"/>
      <c r="F2172" s="9" cm="1">
        <f t="array" ref="F2172">SUMPRODUCT((Tablo3[Şehirler]=E2172)*(Tablo3[Ürün Kar Tutarı]))</f>
        <v>0</v>
      </c>
      <c r="H2172" s="14"/>
      <c r="J2172" s="9" cm="1">
        <f t="array" ref="J2172">SUMPRODUCT((Tablo3[Urun Ad]=I2172)*(Tablo3[Ürün Kar Tutarı]))</f>
        <v>0</v>
      </c>
      <c r="L2172" s="37"/>
    </row>
    <row r="2173" spans="1:12" x14ac:dyDescent="0.25">
      <c r="A2173" s="13"/>
      <c r="B2173" s="9" cm="1">
        <f t="array" ref="B2173">SUMPRODUCT((Tablo3[Personel Ad]=A2173)*(Tablo3[Ürün Kar Tutarı]))</f>
        <v>0</v>
      </c>
      <c r="D2173" s="14"/>
      <c r="F2173" s="9" cm="1">
        <f t="array" ref="F2173">SUMPRODUCT((Tablo3[Şehirler]=E2173)*(Tablo3[Ürün Kar Tutarı]))</f>
        <v>0</v>
      </c>
      <c r="H2173" s="14"/>
      <c r="J2173" s="9" cm="1">
        <f t="array" ref="J2173">SUMPRODUCT((Tablo3[Urun Ad]=I2173)*(Tablo3[Ürün Kar Tutarı]))</f>
        <v>0</v>
      </c>
      <c r="L2173" s="37"/>
    </row>
    <row r="2174" spans="1:12" x14ac:dyDescent="0.25">
      <c r="A2174" s="13"/>
      <c r="B2174" s="9" cm="1">
        <f t="array" ref="B2174">SUMPRODUCT((Tablo3[Personel Ad]=A2174)*(Tablo3[Ürün Kar Tutarı]))</f>
        <v>0</v>
      </c>
      <c r="D2174" s="14"/>
      <c r="F2174" s="9" cm="1">
        <f t="array" ref="F2174">SUMPRODUCT((Tablo3[Şehirler]=E2174)*(Tablo3[Ürün Kar Tutarı]))</f>
        <v>0</v>
      </c>
      <c r="H2174" s="14"/>
      <c r="J2174" s="9" cm="1">
        <f t="array" ref="J2174">SUMPRODUCT((Tablo3[Urun Ad]=I2174)*(Tablo3[Ürün Kar Tutarı]))</f>
        <v>0</v>
      </c>
      <c r="L2174" s="37"/>
    </row>
    <row r="2175" spans="1:12" x14ac:dyDescent="0.25">
      <c r="A2175" s="13"/>
      <c r="B2175" s="9" cm="1">
        <f t="array" ref="B2175">SUMPRODUCT((Tablo3[Personel Ad]=A2175)*(Tablo3[Ürün Kar Tutarı]))</f>
        <v>0</v>
      </c>
      <c r="D2175" s="14"/>
      <c r="F2175" s="9" cm="1">
        <f t="array" ref="F2175">SUMPRODUCT((Tablo3[Şehirler]=E2175)*(Tablo3[Ürün Kar Tutarı]))</f>
        <v>0</v>
      </c>
      <c r="H2175" s="14"/>
      <c r="J2175" s="9" cm="1">
        <f t="array" ref="J2175">SUMPRODUCT((Tablo3[Urun Ad]=I2175)*(Tablo3[Ürün Kar Tutarı]))</f>
        <v>0</v>
      </c>
      <c r="L2175" s="37"/>
    </row>
    <row r="2176" spans="1:12" x14ac:dyDescent="0.25">
      <c r="A2176" s="13"/>
      <c r="B2176" s="9" cm="1">
        <f t="array" ref="B2176">SUMPRODUCT((Tablo3[Personel Ad]=A2176)*(Tablo3[Ürün Kar Tutarı]))</f>
        <v>0</v>
      </c>
      <c r="D2176" s="14"/>
      <c r="F2176" s="9" cm="1">
        <f t="array" ref="F2176">SUMPRODUCT((Tablo3[Şehirler]=E2176)*(Tablo3[Ürün Kar Tutarı]))</f>
        <v>0</v>
      </c>
      <c r="H2176" s="14"/>
      <c r="J2176" s="9" cm="1">
        <f t="array" ref="J2176">SUMPRODUCT((Tablo3[Urun Ad]=I2176)*(Tablo3[Ürün Kar Tutarı]))</f>
        <v>0</v>
      </c>
      <c r="L2176" s="37"/>
    </row>
    <row r="2177" spans="1:12" x14ac:dyDescent="0.25">
      <c r="A2177" s="13"/>
      <c r="B2177" s="9" cm="1">
        <f t="array" ref="B2177">SUMPRODUCT((Tablo3[Personel Ad]=A2177)*(Tablo3[Ürün Kar Tutarı]))</f>
        <v>0</v>
      </c>
      <c r="D2177" s="14"/>
      <c r="F2177" s="9" cm="1">
        <f t="array" ref="F2177">SUMPRODUCT((Tablo3[Şehirler]=E2177)*(Tablo3[Ürün Kar Tutarı]))</f>
        <v>0</v>
      </c>
      <c r="H2177" s="14"/>
      <c r="J2177" s="9" cm="1">
        <f t="array" ref="J2177">SUMPRODUCT((Tablo3[Urun Ad]=I2177)*(Tablo3[Ürün Kar Tutarı]))</f>
        <v>0</v>
      </c>
      <c r="L2177" s="37"/>
    </row>
    <row r="2178" spans="1:12" x14ac:dyDescent="0.25">
      <c r="A2178" s="13"/>
      <c r="B2178" s="9" cm="1">
        <f t="array" ref="B2178">SUMPRODUCT((Tablo3[Personel Ad]=A2178)*(Tablo3[Ürün Kar Tutarı]))</f>
        <v>0</v>
      </c>
      <c r="D2178" s="14"/>
      <c r="F2178" s="9" cm="1">
        <f t="array" ref="F2178">SUMPRODUCT((Tablo3[Şehirler]=E2178)*(Tablo3[Ürün Kar Tutarı]))</f>
        <v>0</v>
      </c>
      <c r="H2178" s="14"/>
      <c r="J2178" s="9" cm="1">
        <f t="array" ref="J2178">SUMPRODUCT((Tablo3[Urun Ad]=I2178)*(Tablo3[Ürün Kar Tutarı]))</f>
        <v>0</v>
      </c>
      <c r="L2178" s="37"/>
    </row>
    <row r="2179" spans="1:12" x14ac:dyDescent="0.25">
      <c r="A2179" s="13"/>
      <c r="B2179" s="9" cm="1">
        <f t="array" ref="B2179">SUMPRODUCT((Tablo3[Personel Ad]=A2179)*(Tablo3[Ürün Kar Tutarı]))</f>
        <v>0</v>
      </c>
      <c r="D2179" s="14"/>
      <c r="F2179" s="9" cm="1">
        <f t="array" ref="F2179">SUMPRODUCT((Tablo3[Şehirler]=E2179)*(Tablo3[Ürün Kar Tutarı]))</f>
        <v>0</v>
      </c>
      <c r="H2179" s="14"/>
      <c r="J2179" s="9" cm="1">
        <f t="array" ref="J2179">SUMPRODUCT((Tablo3[Urun Ad]=I2179)*(Tablo3[Ürün Kar Tutarı]))</f>
        <v>0</v>
      </c>
      <c r="L2179" s="37"/>
    </row>
    <row r="2180" spans="1:12" x14ac:dyDescent="0.25">
      <c r="A2180" s="13"/>
      <c r="B2180" s="9" cm="1">
        <f t="array" ref="B2180">SUMPRODUCT((Tablo3[Personel Ad]=A2180)*(Tablo3[Ürün Kar Tutarı]))</f>
        <v>0</v>
      </c>
      <c r="D2180" s="14"/>
      <c r="F2180" s="9" cm="1">
        <f t="array" ref="F2180">SUMPRODUCT((Tablo3[Şehirler]=E2180)*(Tablo3[Ürün Kar Tutarı]))</f>
        <v>0</v>
      </c>
      <c r="H2180" s="14"/>
      <c r="J2180" s="9" cm="1">
        <f t="array" ref="J2180">SUMPRODUCT((Tablo3[Urun Ad]=I2180)*(Tablo3[Ürün Kar Tutarı]))</f>
        <v>0</v>
      </c>
      <c r="L2180" s="37"/>
    </row>
    <row r="2181" spans="1:12" x14ac:dyDescent="0.25">
      <c r="A2181" s="13"/>
      <c r="B2181" s="9" cm="1">
        <f t="array" ref="B2181">SUMPRODUCT((Tablo3[Personel Ad]=A2181)*(Tablo3[Ürün Kar Tutarı]))</f>
        <v>0</v>
      </c>
      <c r="D2181" s="14"/>
      <c r="F2181" s="9" cm="1">
        <f t="array" ref="F2181">SUMPRODUCT((Tablo3[Şehirler]=E2181)*(Tablo3[Ürün Kar Tutarı]))</f>
        <v>0</v>
      </c>
      <c r="H2181" s="14"/>
      <c r="J2181" s="9" cm="1">
        <f t="array" ref="J2181">SUMPRODUCT((Tablo3[Urun Ad]=I2181)*(Tablo3[Ürün Kar Tutarı]))</f>
        <v>0</v>
      </c>
      <c r="L2181" s="37"/>
    </row>
    <row r="2182" spans="1:12" x14ac:dyDescent="0.25">
      <c r="A2182" s="13"/>
      <c r="B2182" s="9" cm="1">
        <f t="array" ref="B2182">SUMPRODUCT((Tablo3[Personel Ad]=A2182)*(Tablo3[Ürün Kar Tutarı]))</f>
        <v>0</v>
      </c>
      <c r="D2182" s="14"/>
      <c r="F2182" s="9" cm="1">
        <f t="array" ref="F2182">SUMPRODUCT((Tablo3[Şehirler]=E2182)*(Tablo3[Ürün Kar Tutarı]))</f>
        <v>0</v>
      </c>
      <c r="H2182" s="14"/>
      <c r="J2182" s="9" cm="1">
        <f t="array" ref="J2182">SUMPRODUCT((Tablo3[Urun Ad]=I2182)*(Tablo3[Ürün Kar Tutarı]))</f>
        <v>0</v>
      </c>
      <c r="L2182" s="37"/>
    </row>
    <row r="2183" spans="1:12" x14ac:dyDescent="0.25">
      <c r="A2183" s="13"/>
      <c r="B2183" s="9" cm="1">
        <f t="array" ref="B2183">SUMPRODUCT((Tablo3[Personel Ad]=A2183)*(Tablo3[Ürün Kar Tutarı]))</f>
        <v>0</v>
      </c>
      <c r="D2183" s="14"/>
      <c r="F2183" s="9" cm="1">
        <f t="array" ref="F2183">SUMPRODUCT((Tablo3[Şehirler]=E2183)*(Tablo3[Ürün Kar Tutarı]))</f>
        <v>0</v>
      </c>
      <c r="H2183" s="14"/>
      <c r="J2183" s="9" cm="1">
        <f t="array" ref="J2183">SUMPRODUCT((Tablo3[Urun Ad]=I2183)*(Tablo3[Ürün Kar Tutarı]))</f>
        <v>0</v>
      </c>
      <c r="L2183" s="37"/>
    </row>
    <row r="2184" spans="1:12" x14ac:dyDescent="0.25">
      <c r="A2184" s="13"/>
      <c r="B2184" s="9" cm="1">
        <f t="array" ref="B2184">SUMPRODUCT((Tablo3[Personel Ad]=A2184)*(Tablo3[Ürün Kar Tutarı]))</f>
        <v>0</v>
      </c>
      <c r="D2184" s="14"/>
      <c r="F2184" s="9" cm="1">
        <f t="array" ref="F2184">SUMPRODUCT((Tablo3[Şehirler]=E2184)*(Tablo3[Ürün Kar Tutarı]))</f>
        <v>0</v>
      </c>
      <c r="H2184" s="14"/>
      <c r="J2184" s="9" cm="1">
        <f t="array" ref="J2184">SUMPRODUCT((Tablo3[Urun Ad]=I2184)*(Tablo3[Ürün Kar Tutarı]))</f>
        <v>0</v>
      </c>
      <c r="L2184" s="37"/>
    </row>
    <row r="2185" spans="1:12" x14ac:dyDescent="0.25">
      <c r="A2185" s="13"/>
      <c r="B2185" s="9" cm="1">
        <f t="array" ref="B2185">SUMPRODUCT((Tablo3[Personel Ad]=A2185)*(Tablo3[Ürün Kar Tutarı]))</f>
        <v>0</v>
      </c>
      <c r="D2185" s="14"/>
      <c r="F2185" s="9" cm="1">
        <f t="array" ref="F2185">SUMPRODUCT((Tablo3[Şehirler]=E2185)*(Tablo3[Ürün Kar Tutarı]))</f>
        <v>0</v>
      </c>
      <c r="H2185" s="14"/>
      <c r="J2185" s="9" cm="1">
        <f t="array" ref="J2185">SUMPRODUCT((Tablo3[Urun Ad]=I2185)*(Tablo3[Ürün Kar Tutarı]))</f>
        <v>0</v>
      </c>
      <c r="L2185" s="37"/>
    </row>
    <row r="2186" spans="1:12" x14ac:dyDescent="0.25">
      <c r="A2186" s="13"/>
      <c r="B2186" s="9" cm="1">
        <f t="array" ref="B2186">SUMPRODUCT((Tablo3[Personel Ad]=A2186)*(Tablo3[Ürün Kar Tutarı]))</f>
        <v>0</v>
      </c>
      <c r="D2186" s="14"/>
      <c r="F2186" s="9" cm="1">
        <f t="array" ref="F2186">SUMPRODUCT((Tablo3[Şehirler]=E2186)*(Tablo3[Ürün Kar Tutarı]))</f>
        <v>0</v>
      </c>
      <c r="H2186" s="14"/>
      <c r="J2186" s="9" cm="1">
        <f t="array" ref="J2186">SUMPRODUCT((Tablo3[Urun Ad]=I2186)*(Tablo3[Ürün Kar Tutarı]))</f>
        <v>0</v>
      </c>
      <c r="L2186" s="37"/>
    </row>
    <row r="2187" spans="1:12" x14ac:dyDescent="0.25">
      <c r="A2187" s="13"/>
      <c r="B2187" s="9" cm="1">
        <f t="array" ref="B2187">SUMPRODUCT((Tablo3[Personel Ad]=A2187)*(Tablo3[Ürün Kar Tutarı]))</f>
        <v>0</v>
      </c>
      <c r="D2187" s="14"/>
      <c r="F2187" s="9" cm="1">
        <f t="array" ref="F2187">SUMPRODUCT((Tablo3[Şehirler]=E2187)*(Tablo3[Ürün Kar Tutarı]))</f>
        <v>0</v>
      </c>
      <c r="H2187" s="14"/>
      <c r="J2187" s="9" cm="1">
        <f t="array" ref="J2187">SUMPRODUCT((Tablo3[Urun Ad]=I2187)*(Tablo3[Ürün Kar Tutarı]))</f>
        <v>0</v>
      </c>
      <c r="L2187" s="37"/>
    </row>
    <row r="2188" spans="1:12" x14ac:dyDescent="0.25">
      <c r="A2188" s="13"/>
      <c r="B2188" s="9" cm="1">
        <f t="array" ref="B2188">SUMPRODUCT((Tablo3[Personel Ad]=A2188)*(Tablo3[Ürün Kar Tutarı]))</f>
        <v>0</v>
      </c>
      <c r="D2188" s="14"/>
      <c r="F2188" s="9" cm="1">
        <f t="array" ref="F2188">SUMPRODUCT((Tablo3[Şehirler]=E2188)*(Tablo3[Ürün Kar Tutarı]))</f>
        <v>0</v>
      </c>
      <c r="H2188" s="14"/>
      <c r="J2188" s="9" cm="1">
        <f t="array" ref="J2188">SUMPRODUCT((Tablo3[Urun Ad]=I2188)*(Tablo3[Ürün Kar Tutarı]))</f>
        <v>0</v>
      </c>
      <c r="L2188" s="37"/>
    </row>
    <row r="2189" spans="1:12" x14ac:dyDescent="0.25">
      <c r="A2189" s="13"/>
      <c r="B2189" s="9" cm="1">
        <f t="array" ref="B2189">SUMPRODUCT((Tablo3[Personel Ad]=A2189)*(Tablo3[Ürün Kar Tutarı]))</f>
        <v>0</v>
      </c>
      <c r="D2189" s="14"/>
      <c r="F2189" s="9" cm="1">
        <f t="array" ref="F2189">SUMPRODUCT((Tablo3[Şehirler]=E2189)*(Tablo3[Ürün Kar Tutarı]))</f>
        <v>0</v>
      </c>
      <c r="H2189" s="14"/>
      <c r="J2189" s="9" cm="1">
        <f t="array" ref="J2189">SUMPRODUCT((Tablo3[Urun Ad]=I2189)*(Tablo3[Ürün Kar Tutarı]))</f>
        <v>0</v>
      </c>
      <c r="L2189" s="37"/>
    </row>
    <row r="2190" spans="1:12" x14ac:dyDescent="0.25">
      <c r="A2190" s="13"/>
      <c r="B2190" s="9" cm="1">
        <f t="array" ref="B2190">SUMPRODUCT((Tablo3[Personel Ad]=A2190)*(Tablo3[Ürün Kar Tutarı]))</f>
        <v>0</v>
      </c>
      <c r="D2190" s="14"/>
      <c r="F2190" s="9" cm="1">
        <f t="array" ref="F2190">SUMPRODUCT((Tablo3[Şehirler]=E2190)*(Tablo3[Ürün Kar Tutarı]))</f>
        <v>0</v>
      </c>
      <c r="H2190" s="14"/>
      <c r="J2190" s="9" cm="1">
        <f t="array" ref="J2190">SUMPRODUCT((Tablo3[Urun Ad]=I2190)*(Tablo3[Ürün Kar Tutarı]))</f>
        <v>0</v>
      </c>
      <c r="L2190" s="37"/>
    </row>
    <row r="2191" spans="1:12" x14ac:dyDescent="0.25">
      <c r="A2191" s="13"/>
      <c r="B2191" s="9" cm="1">
        <f t="array" ref="B2191">SUMPRODUCT((Tablo3[Personel Ad]=A2191)*(Tablo3[Ürün Kar Tutarı]))</f>
        <v>0</v>
      </c>
      <c r="D2191" s="14"/>
      <c r="F2191" s="9" cm="1">
        <f t="array" ref="F2191">SUMPRODUCT((Tablo3[Şehirler]=E2191)*(Tablo3[Ürün Kar Tutarı]))</f>
        <v>0</v>
      </c>
      <c r="H2191" s="14"/>
      <c r="J2191" s="9" cm="1">
        <f t="array" ref="J2191">SUMPRODUCT((Tablo3[Urun Ad]=I2191)*(Tablo3[Ürün Kar Tutarı]))</f>
        <v>0</v>
      </c>
      <c r="L2191" s="37"/>
    </row>
    <row r="2192" spans="1:12" x14ac:dyDescent="0.25">
      <c r="A2192" s="13"/>
      <c r="B2192" s="9" cm="1">
        <f t="array" ref="B2192">SUMPRODUCT((Tablo3[Personel Ad]=A2192)*(Tablo3[Ürün Kar Tutarı]))</f>
        <v>0</v>
      </c>
      <c r="D2192" s="14"/>
      <c r="F2192" s="9" cm="1">
        <f t="array" ref="F2192">SUMPRODUCT((Tablo3[Şehirler]=E2192)*(Tablo3[Ürün Kar Tutarı]))</f>
        <v>0</v>
      </c>
      <c r="H2192" s="14"/>
      <c r="J2192" s="9" cm="1">
        <f t="array" ref="J2192">SUMPRODUCT((Tablo3[Urun Ad]=I2192)*(Tablo3[Ürün Kar Tutarı]))</f>
        <v>0</v>
      </c>
      <c r="L2192" s="37"/>
    </row>
    <row r="2193" spans="1:12" x14ac:dyDescent="0.25">
      <c r="A2193" s="13"/>
      <c r="B2193" s="9" cm="1">
        <f t="array" ref="B2193">SUMPRODUCT((Tablo3[Personel Ad]=A2193)*(Tablo3[Ürün Kar Tutarı]))</f>
        <v>0</v>
      </c>
      <c r="D2193" s="14"/>
      <c r="F2193" s="9" cm="1">
        <f t="array" ref="F2193">SUMPRODUCT((Tablo3[Şehirler]=E2193)*(Tablo3[Ürün Kar Tutarı]))</f>
        <v>0</v>
      </c>
      <c r="H2193" s="14"/>
      <c r="J2193" s="9" cm="1">
        <f t="array" ref="J2193">SUMPRODUCT((Tablo3[Urun Ad]=I2193)*(Tablo3[Ürün Kar Tutarı]))</f>
        <v>0</v>
      </c>
      <c r="L2193" s="37"/>
    </row>
    <row r="2194" spans="1:12" x14ac:dyDescent="0.25">
      <c r="A2194" s="13"/>
      <c r="B2194" s="9" cm="1">
        <f t="array" ref="B2194">SUMPRODUCT((Tablo3[Personel Ad]=A2194)*(Tablo3[Ürün Kar Tutarı]))</f>
        <v>0</v>
      </c>
      <c r="D2194" s="14"/>
      <c r="F2194" s="9" cm="1">
        <f t="array" ref="F2194">SUMPRODUCT((Tablo3[Şehirler]=E2194)*(Tablo3[Ürün Kar Tutarı]))</f>
        <v>0</v>
      </c>
      <c r="H2194" s="14"/>
      <c r="J2194" s="9" cm="1">
        <f t="array" ref="J2194">SUMPRODUCT((Tablo3[Urun Ad]=I2194)*(Tablo3[Ürün Kar Tutarı]))</f>
        <v>0</v>
      </c>
      <c r="L2194" s="37"/>
    </row>
    <row r="2195" spans="1:12" x14ac:dyDescent="0.25">
      <c r="A2195" s="13"/>
      <c r="B2195" s="9" cm="1">
        <f t="array" ref="B2195">SUMPRODUCT((Tablo3[Personel Ad]=A2195)*(Tablo3[Ürün Kar Tutarı]))</f>
        <v>0</v>
      </c>
      <c r="D2195" s="14"/>
      <c r="F2195" s="9" cm="1">
        <f t="array" ref="F2195">SUMPRODUCT((Tablo3[Şehirler]=E2195)*(Tablo3[Ürün Kar Tutarı]))</f>
        <v>0</v>
      </c>
      <c r="H2195" s="14"/>
      <c r="J2195" s="9" cm="1">
        <f t="array" ref="J2195">SUMPRODUCT((Tablo3[Urun Ad]=I2195)*(Tablo3[Ürün Kar Tutarı]))</f>
        <v>0</v>
      </c>
      <c r="L2195" s="37"/>
    </row>
    <row r="2196" spans="1:12" x14ac:dyDescent="0.25">
      <c r="A2196" s="13"/>
      <c r="B2196" s="9" cm="1">
        <f t="array" ref="B2196">SUMPRODUCT((Tablo3[Personel Ad]=A2196)*(Tablo3[Ürün Kar Tutarı]))</f>
        <v>0</v>
      </c>
      <c r="D2196" s="14"/>
      <c r="F2196" s="9" cm="1">
        <f t="array" ref="F2196">SUMPRODUCT((Tablo3[Şehirler]=E2196)*(Tablo3[Ürün Kar Tutarı]))</f>
        <v>0</v>
      </c>
      <c r="H2196" s="14"/>
      <c r="J2196" s="9" cm="1">
        <f t="array" ref="J2196">SUMPRODUCT((Tablo3[Urun Ad]=I2196)*(Tablo3[Ürün Kar Tutarı]))</f>
        <v>0</v>
      </c>
      <c r="L2196" s="37"/>
    </row>
    <row r="2197" spans="1:12" x14ac:dyDescent="0.25">
      <c r="A2197" s="13"/>
      <c r="B2197" s="9" cm="1">
        <f t="array" ref="B2197">SUMPRODUCT((Tablo3[Personel Ad]=A2197)*(Tablo3[Ürün Kar Tutarı]))</f>
        <v>0</v>
      </c>
      <c r="D2197" s="14"/>
      <c r="F2197" s="9" cm="1">
        <f t="array" ref="F2197">SUMPRODUCT((Tablo3[Şehirler]=E2197)*(Tablo3[Ürün Kar Tutarı]))</f>
        <v>0</v>
      </c>
      <c r="H2197" s="14"/>
      <c r="J2197" s="9" cm="1">
        <f t="array" ref="J2197">SUMPRODUCT((Tablo3[Urun Ad]=I2197)*(Tablo3[Ürün Kar Tutarı]))</f>
        <v>0</v>
      </c>
      <c r="L2197" s="37"/>
    </row>
    <row r="2198" spans="1:12" x14ac:dyDescent="0.25">
      <c r="A2198" s="13"/>
      <c r="B2198" s="9" cm="1">
        <f t="array" ref="B2198">SUMPRODUCT((Tablo3[Personel Ad]=A2198)*(Tablo3[Ürün Kar Tutarı]))</f>
        <v>0</v>
      </c>
      <c r="D2198" s="14"/>
      <c r="F2198" s="9" cm="1">
        <f t="array" ref="F2198">SUMPRODUCT((Tablo3[Şehirler]=E2198)*(Tablo3[Ürün Kar Tutarı]))</f>
        <v>0</v>
      </c>
      <c r="H2198" s="14"/>
      <c r="J2198" s="9" cm="1">
        <f t="array" ref="J2198">SUMPRODUCT((Tablo3[Urun Ad]=I2198)*(Tablo3[Ürün Kar Tutarı]))</f>
        <v>0</v>
      </c>
      <c r="L2198" s="37"/>
    </row>
    <row r="2199" spans="1:12" x14ac:dyDescent="0.25">
      <c r="A2199" s="13"/>
      <c r="B2199" s="9" cm="1">
        <f t="array" ref="B2199">SUMPRODUCT((Tablo3[Personel Ad]=A2199)*(Tablo3[Ürün Kar Tutarı]))</f>
        <v>0</v>
      </c>
      <c r="D2199" s="14"/>
      <c r="F2199" s="9" cm="1">
        <f t="array" ref="F2199">SUMPRODUCT((Tablo3[Şehirler]=E2199)*(Tablo3[Ürün Kar Tutarı]))</f>
        <v>0</v>
      </c>
      <c r="H2199" s="14"/>
      <c r="J2199" s="9" cm="1">
        <f t="array" ref="J2199">SUMPRODUCT((Tablo3[Urun Ad]=I2199)*(Tablo3[Ürün Kar Tutarı]))</f>
        <v>0</v>
      </c>
      <c r="L2199" s="37"/>
    </row>
    <row r="2200" spans="1:12" x14ac:dyDescent="0.25">
      <c r="A2200" s="13"/>
      <c r="B2200" s="9" cm="1">
        <f t="array" ref="B2200">SUMPRODUCT((Tablo3[Personel Ad]=A2200)*(Tablo3[Ürün Kar Tutarı]))</f>
        <v>0</v>
      </c>
      <c r="D2200" s="14"/>
      <c r="F2200" s="9" cm="1">
        <f t="array" ref="F2200">SUMPRODUCT((Tablo3[Şehirler]=E2200)*(Tablo3[Ürün Kar Tutarı]))</f>
        <v>0</v>
      </c>
      <c r="H2200" s="14"/>
      <c r="J2200" s="9" cm="1">
        <f t="array" ref="J2200">SUMPRODUCT((Tablo3[Urun Ad]=I2200)*(Tablo3[Ürün Kar Tutarı]))</f>
        <v>0</v>
      </c>
      <c r="L2200" s="37"/>
    </row>
    <row r="2201" spans="1:12" x14ac:dyDescent="0.25">
      <c r="A2201" s="13"/>
      <c r="B2201" s="9" cm="1">
        <f t="array" ref="B2201">SUMPRODUCT((Tablo3[Personel Ad]=A2201)*(Tablo3[Ürün Kar Tutarı]))</f>
        <v>0</v>
      </c>
      <c r="D2201" s="14"/>
      <c r="F2201" s="9" cm="1">
        <f t="array" ref="F2201">SUMPRODUCT((Tablo3[Şehirler]=E2201)*(Tablo3[Ürün Kar Tutarı]))</f>
        <v>0</v>
      </c>
      <c r="H2201" s="14"/>
      <c r="J2201" s="9" cm="1">
        <f t="array" ref="J2201">SUMPRODUCT((Tablo3[Urun Ad]=I2201)*(Tablo3[Ürün Kar Tutarı]))</f>
        <v>0</v>
      </c>
      <c r="L2201" s="37"/>
    </row>
    <row r="2202" spans="1:12" x14ac:dyDescent="0.25">
      <c r="A2202" s="13"/>
      <c r="B2202" s="9" cm="1">
        <f t="array" ref="B2202">SUMPRODUCT((Tablo3[Personel Ad]=A2202)*(Tablo3[Ürün Kar Tutarı]))</f>
        <v>0</v>
      </c>
      <c r="D2202" s="14"/>
      <c r="F2202" s="9" cm="1">
        <f t="array" ref="F2202">SUMPRODUCT((Tablo3[Şehirler]=E2202)*(Tablo3[Ürün Kar Tutarı]))</f>
        <v>0</v>
      </c>
      <c r="H2202" s="14"/>
      <c r="J2202" s="9" cm="1">
        <f t="array" ref="J2202">SUMPRODUCT((Tablo3[Urun Ad]=I2202)*(Tablo3[Ürün Kar Tutarı]))</f>
        <v>0</v>
      </c>
      <c r="L2202" s="37"/>
    </row>
    <row r="2203" spans="1:12" x14ac:dyDescent="0.25">
      <c r="A2203" s="13"/>
      <c r="B2203" s="9" cm="1">
        <f t="array" ref="B2203">SUMPRODUCT((Tablo3[Personel Ad]=A2203)*(Tablo3[Ürün Kar Tutarı]))</f>
        <v>0</v>
      </c>
      <c r="D2203" s="14"/>
      <c r="F2203" s="9" cm="1">
        <f t="array" ref="F2203">SUMPRODUCT((Tablo3[Şehirler]=E2203)*(Tablo3[Ürün Kar Tutarı]))</f>
        <v>0</v>
      </c>
      <c r="H2203" s="14"/>
      <c r="J2203" s="9" cm="1">
        <f t="array" ref="J2203">SUMPRODUCT((Tablo3[Urun Ad]=I2203)*(Tablo3[Ürün Kar Tutarı]))</f>
        <v>0</v>
      </c>
      <c r="L2203" s="37"/>
    </row>
    <row r="2204" spans="1:12" x14ac:dyDescent="0.25">
      <c r="A2204" s="13"/>
      <c r="B2204" s="9" cm="1">
        <f t="array" ref="B2204">SUMPRODUCT((Tablo3[Personel Ad]=A2204)*(Tablo3[Ürün Kar Tutarı]))</f>
        <v>0</v>
      </c>
      <c r="D2204" s="14"/>
      <c r="F2204" s="9" cm="1">
        <f t="array" ref="F2204">SUMPRODUCT((Tablo3[Şehirler]=E2204)*(Tablo3[Ürün Kar Tutarı]))</f>
        <v>0</v>
      </c>
      <c r="H2204" s="14"/>
      <c r="J2204" s="9" cm="1">
        <f t="array" ref="J2204">SUMPRODUCT((Tablo3[Urun Ad]=I2204)*(Tablo3[Ürün Kar Tutarı]))</f>
        <v>0</v>
      </c>
      <c r="L2204" s="37"/>
    </row>
    <row r="2205" spans="1:12" x14ac:dyDescent="0.25">
      <c r="A2205" s="13"/>
      <c r="B2205" s="9" cm="1">
        <f t="array" ref="B2205">SUMPRODUCT((Tablo3[Personel Ad]=A2205)*(Tablo3[Ürün Kar Tutarı]))</f>
        <v>0</v>
      </c>
      <c r="D2205" s="14"/>
      <c r="F2205" s="9" cm="1">
        <f t="array" ref="F2205">SUMPRODUCT((Tablo3[Şehirler]=E2205)*(Tablo3[Ürün Kar Tutarı]))</f>
        <v>0</v>
      </c>
      <c r="H2205" s="14"/>
      <c r="J2205" s="9" cm="1">
        <f t="array" ref="J2205">SUMPRODUCT((Tablo3[Urun Ad]=I2205)*(Tablo3[Ürün Kar Tutarı]))</f>
        <v>0</v>
      </c>
      <c r="L2205" s="37"/>
    </row>
    <row r="2206" spans="1:12" x14ac:dyDescent="0.25">
      <c r="A2206" s="13"/>
      <c r="B2206" s="9" cm="1">
        <f t="array" ref="B2206">SUMPRODUCT((Tablo3[Personel Ad]=A2206)*(Tablo3[Ürün Kar Tutarı]))</f>
        <v>0</v>
      </c>
      <c r="D2206" s="14"/>
      <c r="F2206" s="9" cm="1">
        <f t="array" ref="F2206">SUMPRODUCT((Tablo3[Şehirler]=E2206)*(Tablo3[Ürün Kar Tutarı]))</f>
        <v>0</v>
      </c>
      <c r="H2206" s="14"/>
      <c r="J2206" s="9" cm="1">
        <f t="array" ref="J2206">SUMPRODUCT((Tablo3[Urun Ad]=I2206)*(Tablo3[Ürün Kar Tutarı]))</f>
        <v>0</v>
      </c>
      <c r="L2206" s="37"/>
    </row>
    <row r="2207" spans="1:12" x14ac:dyDescent="0.25">
      <c r="A2207" s="13"/>
      <c r="B2207" s="9" cm="1">
        <f t="array" ref="B2207">SUMPRODUCT((Tablo3[Personel Ad]=A2207)*(Tablo3[Ürün Kar Tutarı]))</f>
        <v>0</v>
      </c>
      <c r="D2207" s="14"/>
      <c r="F2207" s="9" cm="1">
        <f t="array" ref="F2207">SUMPRODUCT((Tablo3[Şehirler]=E2207)*(Tablo3[Ürün Kar Tutarı]))</f>
        <v>0</v>
      </c>
      <c r="H2207" s="14"/>
      <c r="J2207" s="9" cm="1">
        <f t="array" ref="J2207">SUMPRODUCT((Tablo3[Urun Ad]=I2207)*(Tablo3[Ürün Kar Tutarı]))</f>
        <v>0</v>
      </c>
      <c r="L2207" s="37"/>
    </row>
    <row r="2208" spans="1:12" x14ac:dyDescent="0.25">
      <c r="A2208" s="13"/>
      <c r="B2208" s="9" cm="1">
        <f t="array" ref="B2208">SUMPRODUCT((Tablo3[Personel Ad]=A2208)*(Tablo3[Ürün Kar Tutarı]))</f>
        <v>0</v>
      </c>
      <c r="D2208" s="14"/>
      <c r="F2208" s="9" cm="1">
        <f t="array" ref="F2208">SUMPRODUCT((Tablo3[Şehirler]=E2208)*(Tablo3[Ürün Kar Tutarı]))</f>
        <v>0</v>
      </c>
      <c r="H2208" s="14"/>
      <c r="J2208" s="9" cm="1">
        <f t="array" ref="J2208">SUMPRODUCT((Tablo3[Urun Ad]=I2208)*(Tablo3[Ürün Kar Tutarı]))</f>
        <v>0</v>
      </c>
      <c r="L2208" s="37"/>
    </row>
    <row r="2209" spans="1:12" x14ac:dyDescent="0.25">
      <c r="A2209" s="13"/>
      <c r="B2209" s="9" cm="1">
        <f t="array" ref="B2209">SUMPRODUCT((Tablo3[Personel Ad]=A2209)*(Tablo3[Ürün Kar Tutarı]))</f>
        <v>0</v>
      </c>
      <c r="D2209" s="14"/>
      <c r="F2209" s="9" cm="1">
        <f t="array" ref="F2209">SUMPRODUCT((Tablo3[Şehirler]=E2209)*(Tablo3[Ürün Kar Tutarı]))</f>
        <v>0</v>
      </c>
      <c r="H2209" s="14"/>
      <c r="J2209" s="9" cm="1">
        <f t="array" ref="J2209">SUMPRODUCT((Tablo3[Urun Ad]=I2209)*(Tablo3[Ürün Kar Tutarı]))</f>
        <v>0</v>
      </c>
      <c r="L2209" s="37"/>
    </row>
    <row r="2210" spans="1:12" x14ac:dyDescent="0.25">
      <c r="A2210" s="13"/>
      <c r="B2210" s="9" cm="1">
        <f t="array" ref="B2210">SUMPRODUCT((Tablo3[Personel Ad]=A2210)*(Tablo3[Ürün Kar Tutarı]))</f>
        <v>0</v>
      </c>
      <c r="D2210" s="14"/>
      <c r="F2210" s="9" cm="1">
        <f t="array" ref="F2210">SUMPRODUCT((Tablo3[Şehirler]=E2210)*(Tablo3[Ürün Kar Tutarı]))</f>
        <v>0</v>
      </c>
      <c r="H2210" s="14"/>
      <c r="J2210" s="9" cm="1">
        <f t="array" ref="J2210">SUMPRODUCT((Tablo3[Urun Ad]=I2210)*(Tablo3[Ürün Kar Tutarı]))</f>
        <v>0</v>
      </c>
      <c r="L2210" s="37"/>
    </row>
    <row r="2211" spans="1:12" x14ac:dyDescent="0.25">
      <c r="A2211" s="13"/>
      <c r="B2211" s="9" cm="1">
        <f t="array" ref="B2211">SUMPRODUCT((Tablo3[Personel Ad]=A2211)*(Tablo3[Ürün Kar Tutarı]))</f>
        <v>0</v>
      </c>
      <c r="D2211" s="14"/>
      <c r="F2211" s="9" cm="1">
        <f t="array" ref="F2211">SUMPRODUCT((Tablo3[Şehirler]=E2211)*(Tablo3[Ürün Kar Tutarı]))</f>
        <v>0</v>
      </c>
      <c r="H2211" s="14"/>
      <c r="J2211" s="9" cm="1">
        <f t="array" ref="J2211">SUMPRODUCT((Tablo3[Urun Ad]=I2211)*(Tablo3[Ürün Kar Tutarı]))</f>
        <v>0</v>
      </c>
      <c r="L2211" s="37"/>
    </row>
    <row r="2212" spans="1:12" x14ac:dyDescent="0.25">
      <c r="A2212" s="13"/>
      <c r="B2212" s="9" cm="1">
        <f t="array" ref="B2212">SUMPRODUCT((Tablo3[Personel Ad]=A2212)*(Tablo3[Ürün Kar Tutarı]))</f>
        <v>0</v>
      </c>
      <c r="D2212" s="14"/>
      <c r="F2212" s="9" cm="1">
        <f t="array" ref="F2212">SUMPRODUCT((Tablo3[Şehirler]=E2212)*(Tablo3[Ürün Kar Tutarı]))</f>
        <v>0</v>
      </c>
      <c r="H2212" s="14"/>
      <c r="J2212" s="9" cm="1">
        <f t="array" ref="J2212">SUMPRODUCT((Tablo3[Urun Ad]=I2212)*(Tablo3[Ürün Kar Tutarı]))</f>
        <v>0</v>
      </c>
      <c r="L2212" s="37"/>
    </row>
    <row r="2213" spans="1:12" x14ac:dyDescent="0.25">
      <c r="A2213" s="13"/>
      <c r="B2213" s="9" cm="1">
        <f t="array" ref="B2213">SUMPRODUCT((Tablo3[Personel Ad]=A2213)*(Tablo3[Ürün Kar Tutarı]))</f>
        <v>0</v>
      </c>
      <c r="D2213" s="14"/>
      <c r="F2213" s="9" cm="1">
        <f t="array" ref="F2213">SUMPRODUCT((Tablo3[Şehirler]=E2213)*(Tablo3[Ürün Kar Tutarı]))</f>
        <v>0</v>
      </c>
      <c r="H2213" s="14"/>
      <c r="J2213" s="9" cm="1">
        <f t="array" ref="J2213">SUMPRODUCT((Tablo3[Urun Ad]=I2213)*(Tablo3[Ürün Kar Tutarı]))</f>
        <v>0</v>
      </c>
      <c r="L2213" s="37"/>
    </row>
    <row r="2214" spans="1:12" x14ac:dyDescent="0.25">
      <c r="A2214" s="13"/>
      <c r="B2214" s="9" cm="1">
        <f t="array" ref="B2214">SUMPRODUCT((Tablo3[Personel Ad]=A2214)*(Tablo3[Ürün Kar Tutarı]))</f>
        <v>0</v>
      </c>
      <c r="D2214" s="14"/>
      <c r="F2214" s="9" cm="1">
        <f t="array" ref="F2214">SUMPRODUCT((Tablo3[Şehirler]=E2214)*(Tablo3[Ürün Kar Tutarı]))</f>
        <v>0</v>
      </c>
      <c r="H2214" s="14"/>
      <c r="J2214" s="9" cm="1">
        <f t="array" ref="J2214">SUMPRODUCT((Tablo3[Urun Ad]=I2214)*(Tablo3[Ürün Kar Tutarı]))</f>
        <v>0</v>
      </c>
      <c r="L2214" s="37"/>
    </row>
    <row r="2215" spans="1:12" x14ac:dyDescent="0.25">
      <c r="A2215" s="13"/>
      <c r="B2215" s="9" cm="1">
        <f t="array" ref="B2215">SUMPRODUCT((Tablo3[Personel Ad]=A2215)*(Tablo3[Ürün Kar Tutarı]))</f>
        <v>0</v>
      </c>
      <c r="D2215" s="14"/>
      <c r="F2215" s="9" cm="1">
        <f t="array" ref="F2215">SUMPRODUCT((Tablo3[Şehirler]=E2215)*(Tablo3[Ürün Kar Tutarı]))</f>
        <v>0</v>
      </c>
      <c r="H2215" s="14"/>
      <c r="J2215" s="9" cm="1">
        <f t="array" ref="J2215">SUMPRODUCT((Tablo3[Urun Ad]=I2215)*(Tablo3[Ürün Kar Tutarı]))</f>
        <v>0</v>
      </c>
      <c r="L2215" s="37"/>
    </row>
    <row r="2216" spans="1:12" x14ac:dyDescent="0.25">
      <c r="A2216" s="13"/>
      <c r="B2216" s="9" cm="1">
        <f t="array" ref="B2216">SUMPRODUCT((Tablo3[Personel Ad]=A2216)*(Tablo3[Ürün Kar Tutarı]))</f>
        <v>0</v>
      </c>
      <c r="D2216" s="14"/>
      <c r="F2216" s="9" cm="1">
        <f t="array" ref="F2216">SUMPRODUCT((Tablo3[Şehirler]=E2216)*(Tablo3[Ürün Kar Tutarı]))</f>
        <v>0</v>
      </c>
      <c r="H2216" s="14"/>
      <c r="J2216" s="9" cm="1">
        <f t="array" ref="J2216">SUMPRODUCT((Tablo3[Urun Ad]=I2216)*(Tablo3[Ürün Kar Tutarı]))</f>
        <v>0</v>
      </c>
      <c r="L2216" s="37"/>
    </row>
    <row r="2217" spans="1:12" x14ac:dyDescent="0.25">
      <c r="A2217" s="13"/>
      <c r="B2217" s="9" cm="1">
        <f t="array" ref="B2217">SUMPRODUCT((Tablo3[Personel Ad]=A2217)*(Tablo3[Ürün Kar Tutarı]))</f>
        <v>0</v>
      </c>
      <c r="D2217" s="14"/>
      <c r="F2217" s="9" cm="1">
        <f t="array" ref="F2217">SUMPRODUCT((Tablo3[Şehirler]=E2217)*(Tablo3[Ürün Kar Tutarı]))</f>
        <v>0</v>
      </c>
      <c r="H2217" s="14"/>
      <c r="J2217" s="9" cm="1">
        <f t="array" ref="J2217">SUMPRODUCT((Tablo3[Urun Ad]=I2217)*(Tablo3[Ürün Kar Tutarı]))</f>
        <v>0</v>
      </c>
      <c r="L2217" s="37"/>
    </row>
    <row r="2218" spans="1:12" x14ac:dyDescent="0.25">
      <c r="A2218" s="13"/>
      <c r="B2218" s="9" cm="1">
        <f t="array" ref="B2218">SUMPRODUCT((Tablo3[Personel Ad]=A2218)*(Tablo3[Ürün Kar Tutarı]))</f>
        <v>0</v>
      </c>
      <c r="D2218" s="14"/>
      <c r="F2218" s="9" cm="1">
        <f t="array" ref="F2218">SUMPRODUCT((Tablo3[Şehirler]=E2218)*(Tablo3[Ürün Kar Tutarı]))</f>
        <v>0</v>
      </c>
      <c r="H2218" s="14"/>
      <c r="J2218" s="9" cm="1">
        <f t="array" ref="J2218">SUMPRODUCT((Tablo3[Urun Ad]=I2218)*(Tablo3[Ürün Kar Tutarı]))</f>
        <v>0</v>
      </c>
      <c r="L2218" s="37"/>
    </row>
    <row r="2219" spans="1:12" x14ac:dyDescent="0.25">
      <c r="A2219" s="13"/>
      <c r="B2219" s="9" cm="1">
        <f t="array" ref="B2219">SUMPRODUCT((Tablo3[Personel Ad]=A2219)*(Tablo3[Ürün Kar Tutarı]))</f>
        <v>0</v>
      </c>
      <c r="D2219" s="14"/>
      <c r="F2219" s="9" cm="1">
        <f t="array" ref="F2219">SUMPRODUCT((Tablo3[Şehirler]=E2219)*(Tablo3[Ürün Kar Tutarı]))</f>
        <v>0</v>
      </c>
      <c r="H2219" s="14"/>
      <c r="J2219" s="9" cm="1">
        <f t="array" ref="J2219">SUMPRODUCT((Tablo3[Urun Ad]=I2219)*(Tablo3[Ürün Kar Tutarı]))</f>
        <v>0</v>
      </c>
      <c r="L2219" s="37"/>
    </row>
    <row r="2220" spans="1:12" x14ac:dyDescent="0.25">
      <c r="A2220" s="13"/>
      <c r="B2220" s="9" cm="1">
        <f t="array" ref="B2220">SUMPRODUCT((Tablo3[Personel Ad]=A2220)*(Tablo3[Ürün Kar Tutarı]))</f>
        <v>0</v>
      </c>
      <c r="D2220" s="14"/>
      <c r="F2220" s="9" cm="1">
        <f t="array" ref="F2220">SUMPRODUCT((Tablo3[Şehirler]=E2220)*(Tablo3[Ürün Kar Tutarı]))</f>
        <v>0</v>
      </c>
      <c r="H2220" s="14"/>
      <c r="J2220" s="9" cm="1">
        <f t="array" ref="J2220">SUMPRODUCT((Tablo3[Urun Ad]=I2220)*(Tablo3[Ürün Kar Tutarı]))</f>
        <v>0</v>
      </c>
      <c r="L2220" s="37"/>
    </row>
    <row r="2221" spans="1:12" x14ac:dyDescent="0.25">
      <c r="A2221" s="13"/>
      <c r="B2221" s="9" cm="1">
        <f t="array" ref="B2221">SUMPRODUCT((Tablo3[Personel Ad]=A2221)*(Tablo3[Ürün Kar Tutarı]))</f>
        <v>0</v>
      </c>
      <c r="D2221" s="14"/>
      <c r="F2221" s="9" cm="1">
        <f t="array" ref="F2221">SUMPRODUCT((Tablo3[Şehirler]=E2221)*(Tablo3[Ürün Kar Tutarı]))</f>
        <v>0</v>
      </c>
      <c r="H2221" s="14"/>
      <c r="J2221" s="9" cm="1">
        <f t="array" ref="J2221">SUMPRODUCT((Tablo3[Urun Ad]=I2221)*(Tablo3[Ürün Kar Tutarı]))</f>
        <v>0</v>
      </c>
      <c r="L2221" s="37"/>
    </row>
    <row r="2222" spans="1:12" x14ac:dyDescent="0.25">
      <c r="A2222" s="13"/>
      <c r="B2222" s="9" cm="1">
        <f t="array" ref="B2222">SUMPRODUCT((Tablo3[Personel Ad]=A2222)*(Tablo3[Ürün Kar Tutarı]))</f>
        <v>0</v>
      </c>
      <c r="D2222" s="14"/>
      <c r="F2222" s="9" cm="1">
        <f t="array" ref="F2222">SUMPRODUCT((Tablo3[Şehirler]=E2222)*(Tablo3[Ürün Kar Tutarı]))</f>
        <v>0</v>
      </c>
      <c r="H2222" s="14"/>
      <c r="J2222" s="9" cm="1">
        <f t="array" ref="J2222">SUMPRODUCT((Tablo3[Urun Ad]=I2222)*(Tablo3[Ürün Kar Tutarı]))</f>
        <v>0</v>
      </c>
      <c r="L2222" s="37"/>
    </row>
    <row r="2223" spans="1:12" x14ac:dyDescent="0.25">
      <c r="A2223" s="13"/>
      <c r="B2223" s="9" cm="1">
        <f t="array" ref="B2223">SUMPRODUCT((Tablo3[Personel Ad]=A2223)*(Tablo3[Ürün Kar Tutarı]))</f>
        <v>0</v>
      </c>
      <c r="D2223" s="14"/>
      <c r="F2223" s="9" cm="1">
        <f t="array" ref="F2223">SUMPRODUCT((Tablo3[Şehirler]=E2223)*(Tablo3[Ürün Kar Tutarı]))</f>
        <v>0</v>
      </c>
      <c r="H2223" s="14"/>
      <c r="J2223" s="9" cm="1">
        <f t="array" ref="J2223">SUMPRODUCT((Tablo3[Urun Ad]=I2223)*(Tablo3[Ürün Kar Tutarı]))</f>
        <v>0</v>
      </c>
      <c r="L2223" s="37"/>
    </row>
    <row r="2224" spans="1:12" x14ac:dyDescent="0.25">
      <c r="A2224" s="13"/>
      <c r="B2224" s="9" cm="1">
        <f t="array" ref="B2224">SUMPRODUCT((Tablo3[Personel Ad]=A2224)*(Tablo3[Ürün Kar Tutarı]))</f>
        <v>0</v>
      </c>
      <c r="D2224" s="14"/>
      <c r="F2224" s="9" cm="1">
        <f t="array" ref="F2224">SUMPRODUCT((Tablo3[Şehirler]=E2224)*(Tablo3[Ürün Kar Tutarı]))</f>
        <v>0</v>
      </c>
      <c r="H2224" s="14"/>
      <c r="J2224" s="9" cm="1">
        <f t="array" ref="J2224">SUMPRODUCT((Tablo3[Urun Ad]=I2224)*(Tablo3[Ürün Kar Tutarı]))</f>
        <v>0</v>
      </c>
      <c r="L2224" s="37"/>
    </row>
    <row r="2225" spans="1:12" x14ac:dyDescent="0.25">
      <c r="A2225" s="13"/>
      <c r="B2225" s="9" cm="1">
        <f t="array" ref="B2225">SUMPRODUCT((Tablo3[Personel Ad]=A2225)*(Tablo3[Ürün Kar Tutarı]))</f>
        <v>0</v>
      </c>
      <c r="D2225" s="14"/>
      <c r="F2225" s="9" cm="1">
        <f t="array" ref="F2225">SUMPRODUCT((Tablo3[Şehirler]=E2225)*(Tablo3[Ürün Kar Tutarı]))</f>
        <v>0</v>
      </c>
      <c r="H2225" s="14"/>
      <c r="J2225" s="9" cm="1">
        <f t="array" ref="J2225">SUMPRODUCT((Tablo3[Urun Ad]=I2225)*(Tablo3[Ürün Kar Tutarı]))</f>
        <v>0</v>
      </c>
      <c r="L2225" s="37"/>
    </row>
    <row r="2226" spans="1:12" x14ac:dyDescent="0.25">
      <c r="A2226" s="13"/>
      <c r="B2226" s="9" cm="1">
        <f t="array" ref="B2226">SUMPRODUCT((Tablo3[Personel Ad]=A2226)*(Tablo3[Ürün Kar Tutarı]))</f>
        <v>0</v>
      </c>
      <c r="D2226" s="14"/>
      <c r="F2226" s="9" cm="1">
        <f t="array" ref="F2226">SUMPRODUCT((Tablo3[Şehirler]=E2226)*(Tablo3[Ürün Kar Tutarı]))</f>
        <v>0</v>
      </c>
      <c r="H2226" s="14"/>
      <c r="J2226" s="9" cm="1">
        <f t="array" ref="J2226">SUMPRODUCT((Tablo3[Urun Ad]=I2226)*(Tablo3[Ürün Kar Tutarı]))</f>
        <v>0</v>
      </c>
      <c r="L2226" s="37"/>
    </row>
    <row r="2227" spans="1:12" x14ac:dyDescent="0.25">
      <c r="A2227" s="13"/>
      <c r="B2227" s="9" cm="1">
        <f t="array" ref="B2227">SUMPRODUCT((Tablo3[Personel Ad]=A2227)*(Tablo3[Ürün Kar Tutarı]))</f>
        <v>0</v>
      </c>
      <c r="D2227" s="14"/>
      <c r="F2227" s="9" cm="1">
        <f t="array" ref="F2227">SUMPRODUCT((Tablo3[Şehirler]=E2227)*(Tablo3[Ürün Kar Tutarı]))</f>
        <v>0</v>
      </c>
      <c r="H2227" s="14"/>
      <c r="J2227" s="9" cm="1">
        <f t="array" ref="J2227">SUMPRODUCT((Tablo3[Urun Ad]=I2227)*(Tablo3[Ürün Kar Tutarı]))</f>
        <v>0</v>
      </c>
      <c r="L2227" s="37"/>
    </row>
    <row r="2228" spans="1:12" x14ac:dyDescent="0.25">
      <c r="A2228" s="13"/>
      <c r="B2228" s="9" cm="1">
        <f t="array" ref="B2228">SUMPRODUCT((Tablo3[Personel Ad]=A2228)*(Tablo3[Ürün Kar Tutarı]))</f>
        <v>0</v>
      </c>
      <c r="D2228" s="14"/>
      <c r="F2228" s="9" cm="1">
        <f t="array" ref="F2228">SUMPRODUCT((Tablo3[Şehirler]=E2228)*(Tablo3[Ürün Kar Tutarı]))</f>
        <v>0</v>
      </c>
      <c r="H2228" s="14"/>
      <c r="J2228" s="9" cm="1">
        <f t="array" ref="J2228">SUMPRODUCT((Tablo3[Urun Ad]=I2228)*(Tablo3[Ürün Kar Tutarı]))</f>
        <v>0</v>
      </c>
      <c r="L2228" s="37"/>
    </row>
    <row r="2229" spans="1:12" x14ac:dyDescent="0.25">
      <c r="A2229" s="13"/>
      <c r="B2229" s="9" cm="1">
        <f t="array" ref="B2229">SUMPRODUCT((Tablo3[Personel Ad]=A2229)*(Tablo3[Ürün Kar Tutarı]))</f>
        <v>0</v>
      </c>
      <c r="D2229" s="14"/>
      <c r="F2229" s="9" cm="1">
        <f t="array" ref="F2229">SUMPRODUCT((Tablo3[Şehirler]=E2229)*(Tablo3[Ürün Kar Tutarı]))</f>
        <v>0</v>
      </c>
      <c r="H2229" s="14"/>
      <c r="J2229" s="9" cm="1">
        <f t="array" ref="J2229">SUMPRODUCT((Tablo3[Urun Ad]=I2229)*(Tablo3[Ürün Kar Tutarı]))</f>
        <v>0</v>
      </c>
      <c r="L2229" s="37"/>
    </row>
    <row r="2230" spans="1:12" x14ac:dyDescent="0.25">
      <c r="A2230" s="13"/>
      <c r="B2230" s="9" cm="1">
        <f t="array" ref="B2230">SUMPRODUCT((Tablo3[Personel Ad]=A2230)*(Tablo3[Ürün Kar Tutarı]))</f>
        <v>0</v>
      </c>
      <c r="D2230" s="14"/>
      <c r="F2230" s="9" cm="1">
        <f t="array" ref="F2230">SUMPRODUCT((Tablo3[Şehirler]=E2230)*(Tablo3[Ürün Kar Tutarı]))</f>
        <v>0</v>
      </c>
      <c r="H2230" s="14"/>
      <c r="J2230" s="9" cm="1">
        <f t="array" ref="J2230">SUMPRODUCT((Tablo3[Urun Ad]=I2230)*(Tablo3[Ürün Kar Tutarı]))</f>
        <v>0</v>
      </c>
      <c r="L2230" s="37"/>
    </row>
    <row r="2231" spans="1:12" x14ac:dyDescent="0.25">
      <c r="A2231" s="13"/>
      <c r="B2231" s="9" cm="1">
        <f t="array" ref="B2231">SUMPRODUCT((Tablo3[Personel Ad]=A2231)*(Tablo3[Ürün Kar Tutarı]))</f>
        <v>0</v>
      </c>
      <c r="D2231" s="14"/>
      <c r="F2231" s="9" cm="1">
        <f t="array" ref="F2231">SUMPRODUCT((Tablo3[Şehirler]=E2231)*(Tablo3[Ürün Kar Tutarı]))</f>
        <v>0</v>
      </c>
      <c r="H2231" s="14"/>
      <c r="J2231" s="9" cm="1">
        <f t="array" ref="J2231">SUMPRODUCT((Tablo3[Urun Ad]=I2231)*(Tablo3[Ürün Kar Tutarı]))</f>
        <v>0</v>
      </c>
      <c r="L2231" s="37"/>
    </row>
    <row r="2232" spans="1:12" x14ac:dyDescent="0.25">
      <c r="A2232" s="13"/>
      <c r="B2232" s="9" cm="1">
        <f t="array" ref="B2232">SUMPRODUCT((Tablo3[Personel Ad]=A2232)*(Tablo3[Ürün Kar Tutarı]))</f>
        <v>0</v>
      </c>
      <c r="D2232" s="14"/>
      <c r="F2232" s="9" cm="1">
        <f t="array" ref="F2232">SUMPRODUCT((Tablo3[Şehirler]=E2232)*(Tablo3[Ürün Kar Tutarı]))</f>
        <v>0</v>
      </c>
      <c r="H2232" s="14"/>
      <c r="J2232" s="9" cm="1">
        <f t="array" ref="J2232">SUMPRODUCT((Tablo3[Urun Ad]=I2232)*(Tablo3[Ürün Kar Tutarı]))</f>
        <v>0</v>
      </c>
      <c r="L2232" s="37"/>
    </row>
    <row r="2233" spans="1:12" x14ac:dyDescent="0.25">
      <c r="A2233" s="13"/>
      <c r="B2233" s="9" cm="1">
        <f t="array" ref="B2233">SUMPRODUCT((Tablo3[Personel Ad]=A2233)*(Tablo3[Ürün Kar Tutarı]))</f>
        <v>0</v>
      </c>
      <c r="D2233" s="14"/>
      <c r="F2233" s="9" cm="1">
        <f t="array" ref="F2233">SUMPRODUCT((Tablo3[Şehirler]=E2233)*(Tablo3[Ürün Kar Tutarı]))</f>
        <v>0</v>
      </c>
      <c r="H2233" s="14"/>
      <c r="J2233" s="9" cm="1">
        <f t="array" ref="J2233">SUMPRODUCT((Tablo3[Urun Ad]=I2233)*(Tablo3[Ürün Kar Tutarı]))</f>
        <v>0</v>
      </c>
      <c r="L2233" s="37"/>
    </row>
    <row r="2234" spans="1:12" x14ac:dyDescent="0.25">
      <c r="A2234" s="13"/>
      <c r="B2234" s="9" cm="1">
        <f t="array" ref="B2234">SUMPRODUCT((Tablo3[Personel Ad]=A2234)*(Tablo3[Ürün Kar Tutarı]))</f>
        <v>0</v>
      </c>
      <c r="D2234" s="14"/>
      <c r="F2234" s="9" cm="1">
        <f t="array" ref="F2234">SUMPRODUCT((Tablo3[Şehirler]=E2234)*(Tablo3[Ürün Kar Tutarı]))</f>
        <v>0</v>
      </c>
      <c r="H2234" s="14"/>
      <c r="J2234" s="9" cm="1">
        <f t="array" ref="J2234">SUMPRODUCT((Tablo3[Urun Ad]=I2234)*(Tablo3[Ürün Kar Tutarı]))</f>
        <v>0</v>
      </c>
      <c r="L2234" s="37"/>
    </row>
    <row r="2235" spans="1:12" x14ac:dyDescent="0.25">
      <c r="A2235" s="13"/>
      <c r="B2235" s="9" cm="1">
        <f t="array" ref="B2235">SUMPRODUCT((Tablo3[Personel Ad]=A2235)*(Tablo3[Ürün Kar Tutarı]))</f>
        <v>0</v>
      </c>
      <c r="D2235" s="14"/>
      <c r="F2235" s="9" cm="1">
        <f t="array" ref="F2235">SUMPRODUCT((Tablo3[Şehirler]=E2235)*(Tablo3[Ürün Kar Tutarı]))</f>
        <v>0</v>
      </c>
      <c r="H2235" s="14"/>
      <c r="J2235" s="9" cm="1">
        <f t="array" ref="J2235">SUMPRODUCT((Tablo3[Urun Ad]=I2235)*(Tablo3[Ürün Kar Tutarı]))</f>
        <v>0</v>
      </c>
      <c r="L2235" s="37"/>
    </row>
    <row r="2236" spans="1:12" x14ac:dyDescent="0.25">
      <c r="A2236" s="13"/>
      <c r="B2236" s="9" cm="1">
        <f t="array" ref="B2236">SUMPRODUCT((Tablo3[Personel Ad]=A2236)*(Tablo3[Ürün Kar Tutarı]))</f>
        <v>0</v>
      </c>
      <c r="D2236" s="14"/>
      <c r="F2236" s="9" cm="1">
        <f t="array" ref="F2236">SUMPRODUCT((Tablo3[Şehirler]=E2236)*(Tablo3[Ürün Kar Tutarı]))</f>
        <v>0</v>
      </c>
      <c r="H2236" s="14"/>
      <c r="J2236" s="9" cm="1">
        <f t="array" ref="J2236">SUMPRODUCT((Tablo3[Urun Ad]=I2236)*(Tablo3[Ürün Kar Tutarı]))</f>
        <v>0</v>
      </c>
      <c r="L2236" s="37"/>
    </row>
    <row r="2237" spans="1:12" x14ac:dyDescent="0.25">
      <c r="A2237" s="13"/>
      <c r="B2237" s="9" cm="1">
        <f t="array" ref="B2237">SUMPRODUCT((Tablo3[Personel Ad]=A2237)*(Tablo3[Ürün Kar Tutarı]))</f>
        <v>0</v>
      </c>
      <c r="D2237" s="14"/>
      <c r="F2237" s="9" cm="1">
        <f t="array" ref="F2237">SUMPRODUCT((Tablo3[Şehirler]=E2237)*(Tablo3[Ürün Kar Tutarı]))</f>
        <v>0</v>
      </c>
      <c r="H2237" s="14"/>
      <c r="J2237" s="9" cm="1">
        <f t="array" ref="J2237">SUMPRODUCT((Tablo3[Urun Ad]=I2237)*(Tablo3[Ürün Kar Tutarı]))</f>
        <v>0</v>
      </c>
      <c r="L2237" s="37"/>
    </row>
    <row r="2238" spans="1:12" x14ac:dyDescent="0.25">
      <c r="A2238" s="13"/>
      <c r="B2238" s="9" cm="1">
        <f t="array" ref="B2238">SUMPRODUCT((Tablo3[Personel Ad]=A2238)*(Tablo3[Ürün Kar Tutarı]))</f>
        <v>0</v>
      </c>
      <c r="D2238" s="14"/>
      <c r="F2238" s="9" cm="1">
        <f t="array" ref="F2238">SUMPRODUCT((Tablo3[Şehirler]=E2238)*(Tablo3[Ürün Kar Tutarı]))</f>
        <v>0</v>
      </c>
      <c r="H2238" s="14"/>
      <c r="J2238" s="9" cm="1">
        <f t="array" ref="J2238">SUMPRODUCT((Tablo3[Urun Ad]=I2238)*(Tablo3[Ürün Kar Tutarı]))</f>
        <v>0</v>
      </c>
      <c r="L2238" s="37"/>
    </row>
    <row r="2239" spans="1:12" x14ac:dyDescent="0.25">
      <c r="A2239" s="13"/>
      <c r="B2239" s="9" cm="1">
        <f t="array" ref="B2239">SUMPRODUCT((Tablo3[Personel Ad]=A2239)*(Tablo3[Ürün Kar Tutarı]))</f>
        <v>0</v>
      </c>
      <c r="D2239" s="14"/>
      <c r="F2239" s="9" cm="1">
        <f t="array" ref="F2239">SUMPRODUCT((Tablo3[Şehirler]=E2239)*(Tablo3[Ürün Kar Tutarı]))</f>
        <v>0</v>
      </c>
      <c r="H2239" s="14"/>
      <c r="J2239" s="9" cm="1">
        <f t="array" ref="J2239">SUMPRODUCT((Tablo3[Urun Ad]=I2239)*(Tablo3[Ürün Kar Tutarı]))</f>
        <v>0</v>
      </c>
      <c r="L2239" s="37"/>
    </row>
    <row r="2240" spans="1:12" x14ac:dyDescent="0.25">
      <c r="A2240" s="13"/>
      <c r="B2240" s="9" cm="1">
        <f t="array" ref="B2240">SUMPRODUCT((Tablo3[Personel Ad]=A2240)*(Tablo3[Ürün Kar Tutarı]))</f>
        <v>0</v>
      </c>
      <c r="D2240" s="14"/>
      <c r="F2240" s="9" cm="1">
        <f t="array" ref="F2240">SUMPRODUCT((Tablo3[Şehirler]=E2240)*(Tablo3[Ürün Kar Tutarı]))</f>
        <v>0</v>
      </c>
      <c r="H2240" s="14"/>
      <c r="J2240" s="9" cm="1">
        <f t="array" ref="J2240">SUMPRODUCT((Tablo3[Urun Ad]=I2240)*(Tablo3[Ürün Kar Tutarı]))</f>
        <v>0</v>
      </c>
      <c r="L2240" s="37"/>
    </row>
    <row r="2241" spans="1:12" x14ac:dyDescent="0.25">
      <c r="A2241" s="13"/>
      <c r="B2241" s="9" cm="1">
        <f t="array" ref="B2241">SUMPRODUCT((Tablo3[Personel Ad]=A2241)*(Tablo3[Ürün Kar Tutarı]))</f>
        <v>0</v>
      </c>
      <c r="D2241" s="14"/>
      <c r="F2241" s="9" cm="1">
        <f t="array" ref="F2241">SUMPRODUCT((Tablo3[Şehirler]=E2241)*(Tablo3[Ürün Kar Tutarı]))</f>
        <v>0</v>
      </c>
      <c r="H2241" s="14"/>
      <c r="J2241" s="9" cm="1">
        <f t="array" ref="J2241">SUMPRODUCT((Tablo3[Urun Ad]=I2241)*(Tablo3[Ürün Kar Tutarı]))</f>
        <v>0</v>
      </c>
      <c r="L2241" s="37"/>
    </row>
    <row r="2242" spans="1:12" x14ac:dyDescent="0.25">
      <c r="A2242" s="13"/>
      <c r="B2242" s="9" cm="1">
        <f t="array" ref="B2242">SUMPRODUCT((Tablo3[Personel Ad]=A2242)*(Tablo3[Ürün Kar Tutarı]))</f>
        <v>0</v>
      </c>
      <c r="D2242" s="14"/>
      <c r="F2242" s="9" cm="1">
        <f t="array" ref="F2242">SUMPRODUCT((Tablo3[Şehirler]=E2242)*(Tablo3[Ürün Kar Tutarı]))</f>
        <v>0</v>
      </c>
      <c r="H2242" s="14"/>
      <c r="J2242" s="9" cm="1">
        <f t="array" ref="J2242">SUMPRODUCT((Tablo3[Urun Ad]=I2242)*(Tablo3[Ürün Kar Tutarı]))</f>
        <v>0</v>
      </c>
      <c r="L2242" s="37"/>
    </row>
    <row r="2243" spans="1:12" x14ac:dyDescent="0.25">
      <c r="A2243" s="13"/>
      <c r="B2243" s="9" cm="1">
        <f t="array" ref="B2243">SUMPRODUCT((Tablo3[Personel Ad]=A2243)*(Tablo3[Ürün Kar Tutarı]))</f>
        <v>0</v>
      </c>
      <c r="D2243" s="14"/>
      <c r="F2243" s="9" cm="1">
        <f t="array" ref="F2243">SUMPRODUCT((Tablo3[Şehirler]=E2243)*(Tablo3[Ürün Kar Tutarı]))</f>
        <v>0</v>
      </c>
      <c r="H2243" s="14"/>
      <c r="J2243" s="9" cm="1">
        <f t="array" ref="J2243">SUMPRODUCT((Tablo3[Urun Ad]=I2243)*(Tablo3[Ürün Kar Tutarı]))</f>
        <v>0</v>
      </c>
      <c r="L2243" s="37"/>
    </row>
    <row r="2244" spans="1:12" x14ac:dyDescent="0.25">
      <c r="A2244" s="13"/>
      <c r="B2244" s="9" cm="1">
        <f t="array" ref="B2244">SUMPRODUCT((Tablo3[Personel Ad]=A2244)*(Tablo3[Ürün Kar Tutarı]))</f>
        <v>0</v>
      </c>
      <c r="D2244" s="14"/>
      <c r="F2244" s="9" cm="1">
        <f t="array" ref="F2244">SUMPRODUCT((Tablo3[Şehirler]=E2244)*(Tablo3[Ürün Kar Tutarı]))</f>
        <v>0</v>
      </c>
      <c r="H2244" s="14"/>
      <c r="J2244" s="9" cm="1">
        <f t="array" ref="J2244">SUMPRODUCT((Tablo3[Urun Ad]=I2244)*(Tablo3[Ürün Kar Tutarı]))</f>
        <v>0</v>
      </c>
      <c r="L2244" s="37"/>
    </row>
    <row r="2245" spans="1:12" x14ac:dyDescent="0.25">
      <c r="A2245" s="13"/>
      <c r="B2245" s="9" cm="1">
        <f t="array" ref="B2245">SUMPRODUCT((Tablo3[Personel Ad]=A2245)*(Tablo3[Ürün Kar Tutarı]))</f>
        <v>0</v>
      </c>
      <c r="D2245" s="14"/>
      <c r="F2245" s="9" cm="1">
        <f t="array" ref="F2245">SUMPRODUCT((Tablo3[Şehirler]=E2245)*(Tablo3[Ürün Kar Tutarı]))</f>
        <v>0</v>
      </c>
      <c r="H2245" s="14"/>
      <c r="J2245" s="9" cm="1">
        <f t="array" ref="J2245">SUMPRODUCT((Tablo3[Urun Ad]=I2245)*(Tablo3[Ürün Kar Tutarı]))</f>
        <v>0</v>
      </c>
      <c r="L2245" s="37"/>
    </row>
    <row r="2246" spans="1:12" x14ac:dyDescent="0.25">
      <c r="A2246" s="13"/>
      <c r="B2246" s="9" cm="1">
        <f t="array" ref="B2246">SUMPRODUCT((Tablo3[Personel Ad]=A2246)*(Tablo3[Ürün Kar Tutarı]))</f>
        <v>0</v>
      </c>
      <c r="D2246" s="14"/>
      <c r="F2246" s="9" cm="1">
        <f t="array" ref="F2246">SUMPRODUCT((Tablo3[Şehirler]=E2246)*(Tablo3[Ürün Kar Tutarı]))</f>
        <v>0</v>
      </c>
      <c r="H2246" s="14"/>
      <c r="J2246" s="9" cm="1">
        <f t="array" ref="J2246">SUMPRODUCT((Tablo3[Urun Ad]=I2246)*(Tablo3[Ürün Kar Tutarı]))</f>
        <v>0</v>
      </c>
      <c r="L2246" s="37"/>
    </row>
    <row r="2247" spans="1:12" x14ac:dyDescent="0.25">
      <c r="A2247" s="13"/>
      <c r="B2247" s="9" cm="1">
        <f t="array" ref="B2247">SUMPRODUCT((Tablo3[Personel Ad]=A2247)*(Tablo3[Ürün Kar Tutarı]))</f>
        <v>0</v>
      </c>
      <c r="D2247" s="14"/>
      <c r="F2247" s="9" cm="1">
        <f t="array" ref="F2247">SUMPRODUCT((Tablo3[Şehirler]=E2247)*(Tablo3[Ürün Kar Tutarı]))</f>
        <v>0</v>
      </c>
      <c r="H2247" s="14"/>
      <c r="J2247" s="9" cm="1">
        <f t="array" ref="J2247">SUMPRODUCT((Tablo3[Urun Ad]=I2247)*(Tablo3[Ürün Kar Tutarı]))</f>
        <v>0</v>
      </c>
      <c r="L2247" s="37"/>
    </row>
    <row r="2248" spans="1:12" x14ac:dyDescent="0.25">
      <c r="A2248" s="13"/>
      <c r="B2248" s="9" cm="1">
        <f t="array" ref="B2248">SUMPRODUCT((Tablo3[Personel Ad]=A2248)*(Tablo3[Ürün Kar Tutarı]))</f>
        <v>0</v>
      </c>
      <c r="D2248" s="14"/>
      <c r="F2248" s="9" cm="1">
        <f t="array" ref="F2248">SUMPRODUCT((Tablo3[Şehirler]=E2248)*(Tablo3[Ürün Kar Tutarı]))</f>
        <v>0</v>
      </c>
      <c r="H2248" s="14"/>
      <c r="J2248" s="9" cm="1">
        <f t="array" ref="J2248">SUMPRODUCT((Tablo3[Urun Ad]=I2248)*(Tablo3[Ürün Kar Tutarı]))</f>
        <v>0</v>
      </c>
      <c r="L2248" s="37"/>
    </row>
    <row r="2249" spans="1:12" x14ac:dyDescent="0.25">
      <c r="A2249" s="13"/>
      <c r="B2249" s="9" cm="1">
        <f t="array" ref="B2249">SUMPRODUCT((Tablo3[Personel Ad]=A2249)*(Tablo3[Ürün Kar Tutarı]))</f>
        <v>0</v>
      </c>
      <c r="D2249" s="14"/>
      <c r="F2249" s="9" cm="1">
        <f t="array" ref="F2249">SUMPRODUCT((Tablo3[Şehirler]=E2249)*(Tablo3[Ürün Kar Tutarı]))</f>
        <v>0</v>
      </c>
      <c r="H2249" s="14"/>
      <c r="J2249" s="9" cm="1">
        <f t="array" ref="J2249">SUMPRODUCT((Tablo3[Urun Ad]=I2249)*(Tablo3[Ürün Kar Tutarı]))</f>
        <v>0</v>
      </c>
      <c r="L2249" s="37"/>
    </row>
    <row r="2250" spans="1:12" x14ac:dyDescent="0.25">
      <c r="A2250" s="13"/>
      <c r="B2250" s="9" cm="1">
        <f t="array" ref="B2250">SUMPRODUCT((Tablo3[Personel Ad]=A2250)*(Tablo3[Ürün Kar Tutarı]))</f>
        <v>0</v>
      </c>
      <c r="D2250" s="14"/>
      <c r="F2250" s="9" cm="1">
        <f t="array" ref="F2250">SUMPRODUCT((Tablo3[Şehirler]=E2250)*(Tablo3[Ürün Kar Tutarı]))</f>
        <v>0</v>
      </c>
      <c r="H2250" s="14"/>
      <c r="J2250" s="9" cm="1">
        <f t="array" ref="J2250">SUMPRODUCT((Tablo3[Urun Ad]=I2250)*(Tablo3[Ürün Kar Tutarı]))</f>
        <v>0</v>
      </c>
      <c r="L2250" s="37"/>
    </row>
    <row r="2251" spans="1:12" x14ac:dyDescent="0.25">
      <c r="A2251" s="13"/>
      <c r="B2251" s="9" cm="1">
        <f t="array" ref="B2251">SUMPRODUCT((Tablo3[Personel Ad]=A2251)*(Tablo3[Ürün Kar Tutarı]))</f>
        <v>0</v>
      </c>
      <c r="D2251" s="14"/>
      <c r="F2251" s="9" cm="1">
        <f t="array" ref="F2251">SUMPRODUCT((Tablo3[Şehirler]=E2251)*(Tablo3[Ürün Kar Tutarı]))</f>
        <v>0</v>
      </c>
      <c r="H2251" s="14"/>
      <c r="J2251" s="9" cm="1">
        <f t="array" ref="J2251">SUMPRODUCT((Tablo3[Urun Ad]=I2251)*(Tablo3[Ürün Kar Tutarı]))</f>
        <v>0</v>
      </c>
      <c r="L2251" s="37"/>
    </row>
    <row r="2252" spans="1:12" x14ac:dyDescent="0.25">
      <c r="A2252" s="13"/>
      <c r="B2252" s="9" cm="1">
        <f t="array" ref="B2252">SUMPRODUCT((Tablo3[Personel Ad]=A2252)*(Tablo3[Ürün Kar Tutarı]))</f>
        <v>0</v>
      </c>
      <c r="D2252" s="14"/>
      <c r="F2252" s="9" cm="1">
        <f t="array" ref="F2252">SUMPRODUCT((Tablo3[Şehirler]=E2252)*(Tablo3[Ürün Kar Tutarı]))</f>
        <v>0</v>
      </c>
      <c r="H2252" s="14"/>
      <c r="J2252" s="9" cm="1">
        <f t="array" ref="J2252">SUMPRODUCT((Tablo3[Urun Ad]=I2252)*(Tablo3[Ürün Kar Tutarı]))</f>
        <v>0</v>
      </c>
      <c r="L2252" s="37"/>
    </row>
    <row r="2253" spans="1:12" x14ac:dyDescent="0.25">
      <c r="A2253" s="13"/>
      <c r="B2253" s="9" cm="1">
        <f t="array" ref="B2253">SUMPRODUCT((Tablo3[Personel Ad]=A2253)*(Tablo3[Ürün Kar Tutarı]))</f>
        <v>0</v>
      </c>
      <c r="D2253" s="14"/>
      <c r="F2253" s="9" cm="1">
        <f t="array" ref="F2253">SUMPRODUCT((Tablo3[Şehirler]=E2253)*(Tablo3[Ürün Kar Tutarı]))</f>
        <v>0</v>
      </c>
      <c r="H2253" s="14"/>
      <c r="J2253" s="9" cm="1">
        <f t="array" ref="J2253">SUMPRODUCT((Tablo3[Urun Ad]=I2253)*(Tablo3[Ürün Kar Tutarı]))</f>
        <v>0</v>
      </c>
      <c r="L2253" s="37"/>
    </row>
    <row r="2254" spans="1:12" x14ac:dyDescent="0.25">
      <c r="A2254" s="13"/>
      <c r="B2254" s="9" cm="1">
        <f t="array" ref="B2254">SUMPRODUCT((Tablo3[Personel Ad]=A2254)*(Tablo3[Ürün Kar Tutarı]))</f>
        <v>0</v>
      </c>
      <c r="D2254" s="14"/>
      <c r="F2254" s="9" cm="1">
        <f t="array" ref="F2254">SUMPRODUCT((Tablo3[Şehirler]=E2254)*(Tablo3[Ürün Kar Tutarı]))</f>
        <v>0</v>
      </c>
      <c r="H2254" s="14"/>
      <c r="J2254" s="9" cm="1">
        <f t="array" ref="J2254">SUMPRODUCT((Tablo3[Urun Ad]=I2254)*(Tablo3[Ürün Kar Tutarı]))</f>
        <v>0</v>
      </c>
      <c r="L2254" s="37"/>
    </row>
    <row r="2255" spans="1:12" x14ac:dyDescent="0.25">
      <c r="A2255" s="13"/>
      <c r="B2255" s="9" cm="1">
        <f t="array" ref="B2255">SUMPRODUCT((Tablo3[Personel Ad]=A2255)*(Tablo3[Ürün Kar Tutarı]))</f>
        <v>0</v>
      </c>
      <c r="D2255" s="14"/>
      <c r="F2255" s="9" cm="1">
        <f t="array" ref="F2255">SUMPRODUCT((Tablo3[Şehirler]=E2255)*(Tablo3[Ürün Kar Tutarı]))</f>
        <v>0</v>
      </c>
      <c r="H2255" s="14"/>
      <c r="J2255" s="9" cm="1">
        <f t="array" ref="J2255">SUMPRODUCT((Tablo3[Urun Ad]=I2255)*(Tablo3[Ürün Kar Tutarı]))</f>
        <v>0</v>
      </c>
      <c r="L2255" s="37"/>
    </row>
    <row r="2256" spans="1:12" x14ac:dyDescent="0.25">
      <c r="A2256" s="13"/>
      <c r="B2256" s="9" cm="1">
        <f t="array" ref="B2256">SUMPRODUCT((Tablo3[Personel Ad]=A2256)*(Tablo3[Ürün Kar Tutarı]))</f>
        <v>0</v>
      </c>
      <c r="D2256" s="14"/>
      <c r="F2256" s="9" cm="1">
        <f t="array" ref="F2256">SUMPRODUCT((Tablo3[Şehirler]=E2256)*(Tablo3[Ürün Kar Tutarı]))</f>
        <v>0</v>
      </c>
      <c r="H2256" s="14"/>
      <c r="J2256" s="9" cm="1">
        <f t="array" ref="J2256">SUMPRODUCT((Tablo3[Urun Ad]=I2256)*(Tablo3[Ürün Kar Tutarı]))</f>
        <v>0</v>
      </c>
      <c r="L2256" s="37"/>
    </row>
    <row r="2257" spans="1:12" x14ac:dyDescent="0.25">
      <c r="A2257" s="13"/>
      <c r="B2257" s="9" cm="1">
        <f t="array" ref="B2257">SUMPRODUCT((Tablo3[Personel Ad]=A2257)*(Tablo3[Ürün Kar Tutarı]))</f>
        <v>0</v>
      </c>
      <c r="D2257" s="14"/>
      <c r="F2257" s="9" cm="1">
        <f t="array" ref="F2257">SUMPRODUCT((Tablo3[Şehirler]=E2257)*(Tablo3[Ürün Kar Tutarı]))</f>
        <v>0</v>
      </c>
      <c r="H2257" s="14"/>
      <c r="J2257" s="9" cm="1">
        <f t="array" ref="J2257">SUMPRODUCT((Tablo3[Urun Ad]=I2257)*(Tablo3[Ürün Kar Tutarı]))</f>
        <v>0</v>
      </c>
      <c r="L2257" s="37"/>
    </row>
    <row r="2258" spans="1:12" x14ac:dyDescent="0.25">
      <c r="A2258" s="13"/>
      <c r="B2258" s="9" cm="1">
        <f t="array" ref="B2258">SUMPRODUCT((Tablo3[Personel Ad]=A2258)*(Tablo3[Ürün Kar Tutarı]))</f>
        <v>0</v>
      </c>
      <c r="D2258" s="14"/>
      <c r="F2258" s="9" cm="1">
        <f t="array" ref="F2258">SUMPRODUCT((Tablo3[Şehirler]=E2258)*(Tablo3[Ürün Kar Tutarı]))</f>
        <v>0</v>
      </c>
      <c r="H2258" s="14"/>
      <c r="J2258" s="9" cm="1">
        <f t="array" ref="J2258">SUMPRODUCT((Tablo3[Urun Ad]=I2258)*(Tablo3[Ürün Kar Tutarı]))</f>
        <v>0</v>
      </c>
      <c r="L2258" s="37"/>
    </row>
    <row r="2259" spans="1:12" x14ac:dyDescent="0.25">
      <c r="A2259" s="13"/>
      <c r="B2259" s="9" cm="1">
        <f t="array" ref="B2259">SUMPRODUCT((Tablo3[Personel Ad]=A2259)*(Tablo3[Ürün Kar Tutarı]))</f>
        <v>0</v>
      </c>
      <c r="D2259" s="14"/>
      <c r="F2259" s="9" cm="1">
        <f t="array" ref="F2259">SUMPRODUCT((Tablo3[Şehirler]=E2259)*(Tablo3[Ürün Kar Tutarı]))</f>
        <v>0</v>
      </c>
      <c r="H2259" s="14"/>
      <c r="J2259" s="9" cm="1">
        <f t="array" ref="J2259">SUMPRODUCT((Tablo3[Urun Ad]=I2259)*(Tablo3[Ürün Kar Tutarı]))</f>
        <v>0</v>
      </c>
      <c r="L2259" s="37"/>
    </row>
    <row r="2260" spans="1:12" x14ac:dyDescent="0.25">
      <c r="A2260" s="13"/>
      <c r="B2260" s="9" cm="1">
        <f t="array" ref="B2260">SUMPRODUCT((Tablo3[Personel Ad]=A2260)*(Tablo3[Ürün Kar Tutarı]))</f>
        <v>0</v>
      </c>
      <c r="D2260" s="14"/>
      <c r="F2260" s="9" cm="1">
        <f t="array" ref="F2260">SUMPRODUCT((Tablo3[Şehirler]=E2260)*(Tablo3[Ürün Kar Tutarı]))</f>
        <v>0</v>
      </c>
      <c r="H2260" s="14"/>
      <c r="J2260" s="9" cm="1">
        <f t="array" ref="J2260">SUMPRODUCT((Tablo3[Urun Ad]=I2260)*(Tablo3[Ürün Kar Tutarı]))</f>
        <v>0</v>
      </c>
      <c r="L2260" s="37"/>
    </row>
    <row r="2261" spans="1:12" x14ac:dyDescent="0.25">
      <c r="A2261" s="13"/>
      <c r="B2261" s="9" cm="1">
        <f t="array" ref="B2261">SUMPRODUCT((Tablo3[Personel Ad]=A2261)*(Tablo3[Ürün Kar Tutarı]))</f>
        <v>0</v>
      </c>
      <c r="D2261" s="14"/>
      <c r="F2261" s="9" cm="1">
        <f t="array" ref="F2261">SUMPRODUCT((Tablo3[Şehirler]=E2261)*(Tablo3[Ürün Kar Tutarı]))</f>
        <v>0</v>
      </c>
      <c r="H2261" s="14"/>
      <c r="J2261" s="9" cm="1">
        <f t="array" ref="J2261">SUMPRODUCT((Tablo3[Urun Ad]=I2261)*(Tablo3[Ürün Kar Tutarı]))</f>
        <v>0</v>
      </c>
      <c r="L2261" s="37"/>
    </row>
    <row r="2262" spans="1:12" x14ac:dyDescent="0.25">
      <c r="A2262" s="13"/>
      <c r="B2262" s="9" cm="1">
        <f t="array" ref="B2262">SUMPRODUCT((Tablo3[Personel Ad]=A2262)*(Tablo3[Ürün Kar Tutarı]))</f>
        <v>0</v>
      </c>
      <c r="D2262" s="14"/>
      <c r="F2262" s="9" cm="1">
        <f t="array" ref="F2262">SUMPRODUCT((Tablo3[Şehirler]=E2262)*(Tablo3[Ürün Kar Tutarı]))</f>
        <v>0</v>
      </c>
      <c r="H2262" s="14"/>
      <c r="J2262" s="9" cm="1">
        <f t="array" ref="J2262">SUMPRODUCT((Tablo3[Urun Ad]=I2262)*(Tablo3[Ürün Kar Tutarı]))</f>
        <v>0</v>
      </c>
      <c r="L2262" s="37"/>
    </row>
    <row r="2263" spans="1:12" x14ac:dyDescent="0.25">
      <c r="A2263" s="13"/>
      <c r="B2263" s="9" cm="1">
        <f t="array" ref="B2263">SUMPRODUCT((Tablo3[Personel Ad]=A2263)*(Tablo3[Ürün Kar Tutarı]))</f>
        <v>0</v>
      </c>
      <c r="D2263" s="14"/>
      <c r="F2263" s="9" cm="1">
        <f t="array" ref="F2263">SUMPRODUCT((Tablo3[Şehirler]=E2263)*(Tablo3[Ürün Kar Tutarı]))</f>
        <v>0</v>
      </c>
      <c r="H2263" s="14"/>
      <c r="J2263" s="9" cm="1">
        <f t="array" ref="J2263">SUMPRODUCT((Tablo3[Urun Ad]=I2263)*(Tablo3[Ürün Kar Tutarı]))</f>
        <v>0</v>
      </c>
      <c r="L2263" s="37"/>
    </row>
    <row r="2264" spans="1:12" x14ac:dyDescent="0.25">
      <c r="A2264" s="13"/>
      <c r="B2264" s="9" cm="1">
        <f t="array" ref="B2264">SUMPRODUCT((Tablo3[Personel Ad]=A2264)*(Tablo3[Ürün Kar Tutarı]))</f>
        <v>0</v>
      </c>
      <c r="D2264" s="14"/>
      <c r="F2264" s="9" cm="1">
        <f t="array" ref="F2264">SUMPRODUCT((Tablo3[Şehirler]=E2264)*(Tablo3[Ürün Kar Tutarı]))</f>
        <v>0</v>
      </c>
      <c r="H2264" s="14"/>
      <c r="J2264" s="9" cm="1">
        <f t="array" ref="J2264">SUMPRODUCT((Tablo3[Urun Ad]=I2264)*(Tablo3[Ürün Kar Tutarı]))</f>
        <v>0</v>
      </c>
      <c r="L2264" s="37"/>
    </row>
    <row r="2265" spans="1:12" x14ac:dyDescent="0.25">
      <c r="A2265" s="13"/>
      <c r="B2265" s="9" cm="1">
        <f t="array" ref="B2265">SUMPRODUCT((Tablo3[Personel Ad]=A2265)*(Tablo3[Ürün Kar Tutarı]))</f>
        <v>0</v>
      </c>
      <c r="D2265" s="14"/>
      <c r="F2265" s="9" cm="1">
        <f t="array" ref="F2265">SUMPRODUCT((Tablo3[Şehirler]=E2265)*(Tablo3[Ürün Kar Tutarı]))</f>
        <v>0</v>
      </c>
      <c r="H2265" s="14"/>
      <c r="J2265" s="9" cm="1">
        <f t="array" ref="J2265">SUMPRODUCT((Tablo3[Urun Ad]=I2265)*(Tablo3[Ürün Kar Tutarı]))</f>
        <v>0</v>
      </c>
      <c r="L2265" s="37"/>
    </row>
    <row r="2266" spans="1:12" x14ac:dyDescent="0.25">
      <c r="A2266" s="13"/>
      <c r="B2266" s="9" cm="1">
        <f t="array" ref="B2266">SUMPRODUCT((Tablo3[Personel Ad]=A2266)*(Tablo3[Ürün Kar Tutarı]))</f>
        <v>0</v>
      </c>
      <c r="D2266" s="14"/>
      <c r="F2266" s="9" cm="1">
        <f t="array" ref="F2266">SUMPRODUCT((Tablo3[Şehirler]=E2266)*(Tablo3[Ürün Kar Tutarı]))</f>
        <v>0</v>
      </c>
      <c r="H2266" s="14"/>
      <c r="J2266" s="9" cm="1">
        <f t="array" ref="J2266">SUMPRODUCT((Tablo3[Urun Ad]=I2266)*(Tablo3[Ürün Kar Tutarı]))</f>
        <v>0</v>
      </c>
      <c r="L2266" s="37"/>
    </row>
    <row r="2267" spans="1:12" x14ac:dyDescent="0.25">
      <c r="A2267" s="13"/>
      <c r="B2267" s="9" cm="1">
        <f t="array" ref="B2267">SUMPRODUCT((Tablo3[Personel Ad]=A2267)*(Tablo3[Ürün Kar Tutarı]))</f>
        <v>0</v>
      </c>
      <c r="D2267" s="14"/>
      <c r="F2267" s="9" cm="1">
        <f t="array" ref="F2267">SUMPRODUCT((Tablo3[Şehirler]=E2267)*(Tablo3[Ürün Kar Tutarı]))</f>
        <v>0</v>
      </c>
      <c r="H2267" s="14"/>
      <c r="J2267" s="9" cm="1">
        <f t="array" ref="J2267">SUMPRODUCT((Tablo3[Urun Ad]=I2267)*(Tablo3[Ürün Kar Tutarı]))</f>
        <v>0</v>
      </c>
      <c r="L2267" s="37"/>
    </row>
    <row r="2268" spans="1:12" x14ac:dyDescent="0.25">
      <c r="A2268" s="13"/>
      <c r="B2268" s="9" cm="1">
        <f t="array" ref="B2268">SUMPRODUCT((Tablo3[Personel Ad]=A2268)*(Tablo3[Ürün Kar Tutarı]))</f>
        <v>0</v>
      </c>
      <c r="D2268" s="14"/>
      <c r="F2268" s="9" cm="1">
        <f t="array" ref="F2268">SUMPRODUCT((Tablo3[Şehirler]=E2268)*(Tablo3[Ürün Kar Tutarı]))</f>
        <v>0</v>
      </c>
      <c r="H2268" s="14"/>
      <c r="J2268" s="9" cm="1">
        <f t="array" ref="J2268">SUMPRODUCT((Tablo3[Urun Ad]=I2268)*(Tablo3[Ürün Kar Tutarı]))</f>
        <v>0</v>
      </c>
      <c r="L2268" s="37"/>
    </row>
    <row r="2269" spans="1:12" x14ac:dyDescent="0.25">
      <c r="A2269" s="13"/>
      <c r="B2269" s="9" cm="1">
        <f t="array" ref="B2269">SUMPRODUCT((Tablo3[Personel Ad]=A2269)*(Tablo3[Ürün Kar Tutarı]))</f>
        <v>0</v>
      </c>
      <c r="D2269" s="14"/>
      <c r="F2269" s="9" cm="1">
        <f t="array" ref="F2269">SUMPRODUCT((Tablo3[Şehirler]=E2269)*(Tablo3[Ürün Kar Tutarı]))</f>
        <v>0</v>
      </c>
      <c r="H2269" s="14"/>
      <c r="J2269" s="9" cm="1">
        <f t="array" ref="J2269">SUMPRODUCT((Tablo3[Urun Ad]=I2269)*(Tablo3[Ürün Kar Tutarı]))</f>
        <v>0</v>
      </c>
      <c r="L2269" s="37"/>
    </row>
    <row r="2270" spans="1:12" x14ac:dyDescent="0.25">
      <c r="A2270" s="13"/>
      <c r="B2270" s="9" cm="1">
        <f t="array" ref="B2270">SUMPRODUCT((Tablo3[Personel Ad]=A2270)*(Tablo3[Ürün Kar Tutarı]))</f>
        <v>0</v>
      </c>
      <c r="D2270" s="14"/>
      <c r="F2270" s="9" cm="1">
        <f t="array" ref="F2270">SUMPRODUCT((Tablo3[Şehirler]=E2270)*(Tablo3[Ürün Kar Tutarı]))</f>
        <v>0</v>
      </c>
      <c r="H2270" s="14"/>
      <c r="J2270" s="9" cm="1">
        <f t="array" ref="J2270">SUMPRODUCT((Tablo3[Urun Ad]=I2270)*(Tablo3[Ürün Kar Tutarı]))</f>
        <v>0</v>
      </c>
      <c r="L2270" s="37"/>
    </row>
    <row r="2271" spans="1:12" x14ac:dyDescent="0.25">
      <c r="A2271" s="13"/>
      <c r="B2271" s="9" cm="1">
        <f t="array" ref="B2271">SUMPRODUCT((Tablo3[Personel Ad]=A2271)*(Tablo3[Ürün Kar Tutarı]))</f>
        <v>0</v>
      </c>
      <c r="D2271" s="14"/>
      <c r="F2271" s="9" cm="1">
        <f t="array" ref="F2271">SUMPRODUCT((Tablo3[Şehirler]=E2271)*(Tablo3[Ürün Kar Tutarı]))</f>
        <v>0</v>
      </c>
      <c r="H2271" s="14"/>
      <c r="J2271" s="9" cm="1">
        <f t="array" ref="J2271">SUMPRODUCT((Tablo3[Urun Ad]=I2271)*(Tablo3[Ürün Kar Tutarı]))</f>
        <v>0</v>
      </c>
      <c r="L2271" s="37"/>
    </row>
    <row r="2272" spans="1:12" x14ac:dyDescent="0.25">
      <c r="A2272" s="13"/>
      <c r="B2272" s="9" cm="1">
        <f t="array" ref="B2272">SUMPRODUCT((Tablo3[Personel Ad]=A2272)*(Tablo3[Ürün Kar Tutarı]))</f>
        <v>0</v>
      </c>
      <c r="D2272" s="14"/>
      <c r="F2272" s="9" cm="1">
        <f t="array" ref="F2272">SUMPRODUCT((Tablo3[Şehirler]=E2272)*(Tablo3[Ürün Kar Tutarı]))</f>
        <v>0</v>
      </c>
      <c r="H2272" s="14"/>
      <c r="J2272" s="9" cm="1">
        <f t="array" ref="J2272">SUMPRODUCT((Tablo3[Urun Ad]=I2272)*(Tablo3[Ürün Kar Tutarı]))</f>
        <v>0</v>
      </c>
      <c r="L2272" s="37"/>
    </row>
    <row r="2273" spans="1:12" x14ac:dyDescent="0.25">
      <c r="A2273" s="13"/>
      <c r="B2273" s="9" cm="1">
        <f t="array" ref="B2273">SUMPRODUCT((Tablo3[Personel Ad]=A2273)*(Tablo3[Ürün Kar Tutarı]))</f>
        <v>0</v>
      </c>
      <c r="D2273" s="14"/>
      <c r="F2273" s="9" cm="1">
        <f t="array" ref="F2273">SUMPRODUCT((Tablo3[Şehirler]=E2273)*(Tablo3[Ürün Kar Tutarı]))</f>
        <v>0</v>
      </c>
      <c r="H2273" s="14"/>
      <c r="J2273" s="9" cm="1">
        <f t="array" ref="J2273">SUMPRODUCT((Tablo3[Urun Ad]=I2273)*(Tablo3[Ürün Kar Tutarı]))</f>
        <v>0</v>
      </c>
      <c r="L2273" s="37"/>
    </row>
    <row r="2274" spans="1:12" x14ac:dyDescent="0.25">
      <c r="A2274" s="13"/>
      <c r="B2274" s="9" cm="1">
        <f t="array" ref="B2274">SUMPRODUCT((Tablo3[Personel Ad]=A2274)*(Tablo3[Ürün Kar Tutarı]))</f>
        <v>0</v>
      </c>
      <c r="D2274" s="14"/>
      <c r="F2274" s="9" cm="1">
        <f t="array" ref="F2274">SUMPRODUCT((Tablo3[Şehirler]=E2274)*(Tablo3[Ürün Kar Tutarı]))</f>
        <v>0</v>
      </c>
      <c r="H2274" s="14"/>
      <c r="J2274" s="9" cm="1">
        <f t="array" ref="J2274">SUMPRODUCT((Tablo3[Urun Ad]=I2274)*(Tablo3[Ürün Kar Tutarı]))</f>
        <v>0</v>
      </c>
      <c r="L2274" s="37"/>
    </row>
    <row r="2275" spans="1:12" x14ac:dyDescent="0.25">
      <c r="A2275" s="13"/>
      <c r="B2275" s="9" cm="1">
        <f t="array" ref="B2275">SUMPRODUCT((Tablo3[Personel Ad]=A2275)*(Tablo3[Ürün Kar Tutarı]))</f>
        <v>0</v>
      </c>
      <c r="D2275" s="14"/>
      <c r="F2275" s="9" cm="1">
        <f t="array" ref="F2275">SUMPRODUCT((Tablo3[Şehirler]=E2275)*(Tablo3[Ürün Kar Tutarı]))</f>
        <v>0</v>
      </c>
      <c r="H2275" s="14"/>
      <c r="J2275" s="9" cm="1">
        <f t="array" ref="J2275">SUMPRODUCT((Tablo3[Urun Ad]=I2275)*(Tablo3[Ürün Kar Tutarı]))</f>
        <v>0</v>
      </c>
      <c r="L2275" s="37"/>
    </row>
    <row r="2276" spans="1:12" x14ac:dyDescent="0.25">
      <c r="A2276" s="13"/>
      <c r="B2276" s="9" cm="1">
        <f t="array" ref="B2276">SUMPRODUCT((Tablo3[Personel Ad]=A2276)*(Tablo3[Ürün Kar Tutarı]))</f>
        <v>0</v>
      </c>
      <c r="D2276" s="14"/>
      <c r="F2276" s="9" cm="1">
        <f t="array" ref="F2276">SUMPRODUCT((Tablo3[Şehirler]=E2276)*(Tablo3[Ürün Kar Tutarı]))</f>
        <v>0</v>
      </c>
      <c r="H2276" s="14"/>
      <c r="J2276" s="9" cm="1">
        <f t="array" ref="J2276">SUMPRODUCT((Tablo3[Urun Ad]=I2276)*(Tablo3[Ürün Kar Tutarı]))</f>
        <v>0</v>
      </c>
      <c r="L2276" s="37"/>
    </row>
    <row r="2277" spans="1:12" x14ac:dyDescent="0.25">
      <c r="A2277" s="13"/>
      <c r="B2277" s="9" cm="1">
        <f t="array" ref="B2277">SUMPRODUCT((Tablo3[Personel Ad]=A2277)*(Tablo3[Ürün Kar Tutarı]))</f>
        <v>0</v>
      </c>
      <c r="D2277" s="14"/>
      <c r="F2277" s="9" cm="1">
        <f t="array" ref="F2277">SUMPRODUCT((Tablo3[Şehirler]=E2277)*(Tablo3[Ürün Kar Tutarı]))</f>
        <v>0</v>
      </c>
      <c r="H2277" s="14"/>
      <c r="J2277" s="9" cm="1">
        <f t="array" ref="J2277">SUMPRODUCT((Tablo3[Urun Ad]=I2277)*(Tablo3[Ürün Kar Tutarı]))</f>
        <v>0</v>
      </c>
      <c r="L2277" s="37"/>
    </row>
    <row r="2278" spans="1:12" x14ac:dyDescent="0.25">
      <c r="A2278" s="13"/>
      <c r="B2278" s="9" cm="1">
        <f t="array" ref="B2278">SUMPRODUCT((Tablo3[Personel Ad]=A2278)*(Tablo3[Ürün Kar Tutarı]))</f>
        <v>0</v>
      </c>
      <c r="D2278" s="14"/>
      <c r="F2278" s="9" cm="1">
        <f t="array" ref="F2278">SUMPRODUCT((Tablo3[Şehirler]=E2278)*(Tablo3[Ürün Kar Tutarı]))</f>
        <v>0</v>
      </c>
      <c r="H2278" s="14"/>
      <c r="J2278" s="9" cm="1">
        <f t="array" ref="J2278">SUMPRODUCT((Tablo3[Urun Ad]=I2278)*(Tablo3[Ürün Kar Tutarı]))</f>
        <v>0</v>
      </c>
      <c r="L2278" s="37"/>
    </row>
    <row r="2279" spans="1:12" x14ac:dyDescent="0.25">
      <c r="A2279" s="13"/>
      <c r="B2279" s="9" cm="1">
        <f t="array" ref="B2279">SUMPRODUCT((Tablo3[Personel Ad]=A2279)*(Tablo3[Ürün Kar Tutarı]))</f>
        <v>0</v>
      </c>
      <c r="D2279" s="14"/>
      <c r="F2279" s="9" cm="1">
        <f t="array" ref="F2279">SUMPRODUCT((Tablo3[Şehirler]=E2279)*(Tablo3[Ürün Kar Tutarı]))</f>
        <v>0</v>
      </c>
      <c r="H2279" s="14"/>
      <c r="J2279" s="9" cm="1">
        <f t="array" ref="J2279">SUMPRODUCT((Tablo3[Urun Ad]=I2279)*(Tablo3[Ürün Kar Tutarı]))</f>
        <v>0</v>
      </c>
      <c r="L2279" s="37"/>
    </row>
    <row r="2280" spans="1:12" x14ac:dyDescent="0.25">
      <c r="A2280" s="13"/>
      <c r="B2280" s="9" cm="1">
        <f t="array" ref="B2280">SUMPRODUCT((Tablo3[Personel Ad]=A2280)*(Tablo3[Ürün Kar Tutarı]))</f>
        <v>0</v>
      </c>
      <c r="D2280" s="14"/>
      <c r="F2280" s="9" cm="1">
        <f t="array" ref="F2280">SUMPRODUCT((Tablo3[Şehirler]=E2280)*(Tablo3[Ürün Kar Tutarı]))</f>
        <v>0</v>
      </c>
      <c r="H2280" s="14"/>
      <c r="J2280" s="9" cm="1">
        <f t="array" ref="J2280">SUMPRODUCT((Tablo3[Urun Ad]=I2280)*(Tablo3[Ürün Kar Tutarı]))</f>
        <v>0</v>
      </c>
      <c r="L2280" s="37"/>
    </row>
    <row r="2281" spans="1:12" x14ac:dyDescent="0.25">
      <c r="A2281" s="13"/>
      <c r="B2281" s="9" cm="1">
        <f t="array" ref="B2281">SUMPRODUCT((Tablo3[Personel Ad]=A2281)*(Tablo3[Ürün Kar Tutarı]))</f>
        <v>0</v>
      </c>
      <c r="D2281" s="14"/>
      <c r="F2281" s="9" cm="1">
        <f t="array" ref="F2281">SUMPRODUCT((Tablo3[Şehirler]=E2281)*(Tablo3[Ürün Kar Tutarı]))</f>
        <v>0</v>
      </c>
      <c r="H2281" s="14"/>
      <c r="J2281" s="9" cm="1">
        <f t="array" ref="J2281">SUMPRODUCT((Tablo3[Urun Ad]=I2281)*(Tablo3[Ürün Kar Tutarı]))</f>
        <v>0</v>
      </c>
      <c r="L2281" s="37"/>
    </row>
    <row r="2282" spans="1:12" x14ac:dyDescent="0.25">
      <c r="A2282" s="13"/>
      <c r="B2282" s="9" cm="1">
        <f t="array" ref="B2282">SUMPRODUCT((Tablo3[Personel Ad]=A2282)*(Tablo3[Ürün Kar Tutarı]))</f>
        <v>0</v>
      </c>
      <c r="D2282" s="14"/>
      <c r="F2282" s="9" cm="1">
        <f t="array" ref="F2282">SUMPRODUCT((Tablo3[Şehirler]=E2282)*(Tablo3[Ürün Kar Tutarı]))</f>
        <v>0</v>
      </c>
      <c r="H2282" s="14"/>
      <c r="J2282" s="9" cm="1">
        <f t="array" ref="J2282">SUMPRODUCT((Tablo3[Urun Ad]=I2282)*(Tablo3[Ürün Kar Tutarı]))</f>
        <v>0</v>
      </c>
      <c r="L2282" s="37"/>
    </row>
    <row r="2283" spans="1:12" x14ac:dyDescent="0.25">
      <c r="A2283" s="13"/>
      <c r="B2283" s="9" cm="1">
        <f t="array" ref="B2283">SUMPRODUCT((Tablo3[Personel Ad]=A2283)*(Tablo3[Ürün Kar Tutarı]))</f>
        <v>0</v>
      </c>
      <c r="D2283" s="14"/>
      <c r="F2283" s="9" cm="1">
        <f t="array" ref="F2283">SUMPRODUCT((Tablo3[Şehirler]=E2283)*(Tablo3[Ürün Kar Tutarı]))</f>
        <v>0</v>
      </c>
      <c r="H2283" s="14"/>
      <c r="J2283" s="9" cm="1">
        <f t="array" ref="J2283">SUMPRODUCT((Tablo3[Urun Ad]=I2283)*(Tablo3[Ürün Kar Tutarı]))</f>
        <v>0</v>
      </c>
      <c r="L2283" s="37"/>
    </row>
    <row r="2284" spans="1:12" x14ac:dyDescent="0.25">
      <c r="A2284" s="13"/>
      <c r="B2284" s="9" cm="1">
        <f t="array" ref="B2284">SUMPRODUCT((Tablo3[Personel Ad]=A2284)*(Tablo3[Ürün Kar Tutarı]))</f>
        <v>0</v>
      </c>
      <c r="D2284" s="14"/>
      <c r="F2284" s="9" cm="1">
        <f t="array" ref="F2284">SUMPRODUCT((Tablo3[Şehirler]=E2284)*(Tablo3[Ürün Kar Tutarı]))</f>
        <v>0</v>
      </c>
      <c r="H2284" s="14"/>
      <c r="J2284" s="9" cm="1">
        <f t="array" ref="J2284">SUMPRODUCT((Tablo3[Urun Ad]=I2284)*(Tablo3[Ürün Kar Tutarı]))</f>
        <v>0</v>
      </c>
      <c r="L2284" s="37"/>
    </row>
    <row r="2285" spans="1:12" x14ac:dyDescent="0.25">
      <c r="A2285" s="13"/>
      <c r="B2285" s="9" cm="1">
        <f t="array" ref="B2285">SUMPRODUCT((Tablo3[Personel Ad]=A2285)*(Tablo3[Ürün Kar Tutarı]))</f>
        <v>0</v>
      </c>
      <c r="D2285" s="14"/>
      <c r="F2285" s="9" cm="1">
        <f t="array" ref="F2285">SUMPRODUCT((Tablo3[Şehirler]=E2285)*(Tablo3[Ürün Kar Tutarı]))</f>
        <v>0</v>
      </c>
      <c r="H2285" s="14"/>
      <c r="J2285" s="9" cm="1">
        <f t="array" ref="J2285">SUMPRODUCT((Tablo3[Urun Ad]=I2285)*(Tablo3[Ürün Kar Tutarı]))</f>
        <v>0</v>
      </c>
      <c r="L2285" s="37"/>
    </row>
    <row r="2286" spans="1:12" x14ac:dyDescent="0.25">
      <c r="A2286" s="13"/>
      <c r="B2286" s="9" cm="1">
        <f t="array" ref="B2286">SUMPRODUCT((Tablo3[Personel Ad]=A2286)*(Tablo3[Ürün Kar Tutarı]))</f>
        <v>0</v>
      </c>
      <c r="D2286" s="14"/>
      <c r="F2286" s="9" cm="1">
        <f t="array" ref="F2286">SUMPRODUCT((Tablo3[Şehirler]=E2286)*(Tablo3[Ürün Kar Tutarı]))</f>
        <v>0</v>
      </c>
      <c r="H2286" s="14"/>
      <c r="J2286" s="9" cm="1">
        <f t="array" ref="J2286">SUMPRODUCT((Tablo3[Urun Ad]=I2286)*(Tablo3[Ürün Kar Tutarı]))</f>
        <v>0</v>
      </c>
      <c r="L2286" s="37"/>
    </row>
    <row r="2287" spans="1:12" x14ac:dyDescent="0.25">
      <c r="A2287" s="13"/>
      <c r="B2287" s="9" cm="1">
        <f t="array" ref="B2287">SUMPRODUCT((Tablo3[Personel Ad]=A2287)*(Tablo3[Ürün Kar Tutarı]))</f>
        <v>0</v>
      </c>
      <c r="D2287" s="14"/>
      <c r="F2287" s="9" cm="1">
        <f t="array" ref="F2287">SUMPRODUCT((Tablo3[Şehirler]=E2287)*(Tablo3[Ürün Kar Tutarı]))</f>
        <v>0</v>
      </c>
      <c r="H2287" s="14"/>
      <c r="J2287" s="9" cm="1">
        <f t="array" ref="J2287">SUMPRODUCT((Tablo3[Urun Ad]=I2287)*(Tablo3[Ürün Kar Tutarı]))</f>
        <v>0</v>
      </c>
      <c r="L2287" s="37"/>
    </row>
    <row r="2288" spans="1:12" x14ac:dyDescent="0.25">
      <c r="A2288" s="13"/>
      <c r="B2288" s="9" cm="1">
        <f t="array" ref="B2288">SUMPRODUCT((Tablo3[Personel Ad]=A2288)*(Tablo3[Ürün Kar Tutarı]))</f>
        <v>0</v>
      </c>
      <c r="D2288" s="14"/>
      <c r="F2288" s="9" cm="1">
        <f t="array" ref="F2288">SUMPRODUCT((Tablo3[Şehirler]=E2288)*(Tablo3[Ürün Kar Tutarı]))</f>
        <v>0</v>
      </c>
      <c r="H2288" s="14"/>
      <c r="J2288" s="9" cm="1">
        <f t="array" ref="J2288">SUMPRODUCT((Tablo3[Urun Ad]=I2288)*(Tablo3[Ürün Kar Tutarı]))</f>
        <v>0</v>
      </c>
      <c r="L2288" s="37"/>
    </row>
    <row r="2289" spans="1:12" x14ac:dyDescent="0.25">
      <c r="A2289" s="13"/>
      <c r="B2289" s="9" cm="1">
        <f t="array" ref="B2289">SUMPRODUCT((Tablo3[Personel Ad]=A2289)*(Tablo3[Ürün Kar Tutarı]))</f>
        <v>0</v>
      </c>
      <c r="D2289" s="14"/>
      <c r="F2289" s="9" cm="1">
        <f t="array" ref="F2289">SUMPRODUCT((Tablo3[Şehirler]=E2289)*(Tablo3[Ürün Kar Tutarı]))</f>
        <v>0</v>
      </c>
      <c r="H2289" s="14"/>
      <c r="J2289" s="9" cm="1">
        <f t="array" ref="J2289">SUMPRODUCT((Tablo3[Urun Ad]=I2289)*(Tablo3[Ürün Kar Tutarı]))</f>
        <v>0</v>
      </c>
      <c r="L2289" s="37"/>
    </row>
    <row r="2290" spans="1:12" x14ac:dyDescent="0.25">
      <c r="A2290" s="13"/>
      <c r="B2290" s="9" cm="1">
        <f t="array" ref="B2290">SUMPRODUCT((Tablo3[Personel Ad]=A2290)*(Tablo3[Ürün Kar Tutarı]))</f>
        <v>0</v>
      </c>
      <c r="D2290" s="14"/>
      <c r="F2290" s="9" cm="1">
        <f t="array" ref="F2290">SUMPRODUCT((Tablo3[Şehirler]=E2290)*(Tablo3[Ürün Kar Tutarı]))</f>
        <v>0</v>
      </c>
      <c r="H2290" s="14"/>
      <c r="J2290" s="9" cm="1">
        <f t="array" ref="J2290">SUMPRODUCT((Tablo3[Urun Ad]=I2290)*(Tablo3[Ürün Kar Tutarı]))</f>
        <v>0</v>
      </c>
      <c r="L2290" s="37"/>
    </row>
    <row r="2291" spans="1:12" x14ac:dyDescent="0.25">
      <c r="A2291" s="13"/>
      <c r="B2291" s="9" cm="1">
        <f t="array" ref="B2291">SUMPRODUCT((Tablo3[Personel Ad]=A2291)*(Tablo3[Ürün Kar Tutarı]))</f>
        <v>0</v>
      </c>
      <c r="D2291" s="14"/>
      <c r="F2291" s="9" cm="1">
        <f t="array" ref="F2291">SUMPRODUCT((Tablo3[Şehirler]=E2291)*(Tablo3[Ürün Kar Tutarı]))</f>
        <v>0</v>
      </c>
      <c r="H2291" s="14"/>
      <c r="J2291" s="9" cm="1">
        <f t="array" ref="J2291">SUMPRODUCT((Tablo3[Urun Ad]=I2291)*(Tablo3[Ürün Kar Tutarı]))</f>
        <v>0</v>
      </c>
      <c r="L2291" s="37"/>
    </row>
    <row r="2292" spans="1:12" x14ac:dyDescent="0.25">
      <c r="A2292" s="13"/>
      <c r="B2292" s="9" cm="1">
        <f t="array" ref="B2292">SUMPRODUCT((Tablo3[Personel Ad]=A2292)*(Tablo3[Ürün Kar Tutarı]))</f>
        <v>0</v>
      </c>
      <c r="D2292" s="14"/>
      <c r="F2292" s="9" cm="1">
        <f t="array" ref="F2292">SUMPRODUCT((Tablo3[Şehirler]=E2292)*(Tablo3[Ürün Kar Tutarı]))</f>
        <v>0</v>
      </c>
      <c r="H2292" s="14"/>
      <c r="J2292" s="9" cm="1">
        <f t="array" ref="J2292">SUMPRODUCT((Tablo3[Urun Ad]=I2292)*(Tablo3[Ürün Kar Tutarı]))</f>
        <v>0</v>
      </c>
      <c r="L2292" s="37"/>
    </row>
    <row r="2293" spans="1:12" x14ac:dyDescent="0.25">
      <c r="A2293" s="13"/>
      <c r="B2293" s="9" cm="1">
        <f t="array" ref="B2293">SUMPRODUCT((Tablo3[Personel Ad]=A2293)*(Tablo3[Ürün Kar Tutarı]))</f>
        <v>0</v>
      </c>
      <c r="D2293" s="14"/>
      <c r="F2293" s="9" cm="1">
        <f t="array" ref="F2293">SUMPRODUCT((Tablo3[Şehirler]=E2293)*(Tablo3[Ürün Kar Tutarı]))</f>
        <v>0</v>
      </c>
      <c r="H2293" s="14"/>
      <c r="J2293" s="9" cm="1">
        <f t="array" ref="J2293">SUMPRODUCT((Tablo3[Urun Ad]=I2293)*(Tablo3[Ürün Kar Tutarı]))</f>
        <v>0</v>
      </c>
      <c r="L2293" s="37"/>
    </row>
    <row r="2294" spans="1:12" x14ac:dyDescent="0.25">
      <c r="A2294" s="13"/>
      <c r="B2294" s="9" cm="1">
        <f t="array" ref="B2294">SUMPRODUCT((Tablo3[Personel Ad]=A2294)*(Tablo3[Ürün Kar Tutarı]))</f>
        <v>0</v>
      </c>
      <c r="D2294" s="14"/>
      <c r="F2294" s="9" cm="1">
        <f t="array" ref="F2294">SUMPRODUCT((Tablo3[Şehirler]=E2294)*(Tablo3[Ürün Kar Tutarı]))</f>
        <v>0</v>
      </c>
      <c r="H2294" s="14"/>
      <c r="J2294" s="9" cm="1">
        <f t="array" ref="J2294">SUMPRODUCT((Tablo3[Urun Ad]=I2294)*(Tablo3[Ürün Kar Tutarı]))</f>
        <v>0</v>
      </c>
      <c r="L2294" s="37"/>
    </row>
    <row r="2295" spans="1:12" x14ac:dyDescent="0.25">
      <c r="A2295" s="13"/>
      <c r="B2295" s="9" cm="1">
        <f t="array" ref="B2295">SUMPRODUCT((Tablo3[Personel Ad]=A2295)*(Tablo3[Ürün Kar Tutarı]))</f>
        <v>0</v>
      </c>
      <c r="D2295" s="14"/>
      <c r="F2295" s="9" cm="1">
        <f t="array" ref="F2295">SUMPRODUCT((Tablo3[Şehirler]=E2295)*(Tablo3[Ürün Kar Tutarı]))</f>
        <v>0</v>
      </c>
      <c r="H2295" s="14"/>
      <c r="J2295" s="9" cm="1">
        <f t="array" ref="J2295">SUMPRODUCT((Tablo3[Urun Ad]=I2295)*(Tablo3[Ürün Kar Tutarı]))</f>
        <v>0</v>
      </c>
      <c r="L2295" s="37"/>
    </row>
    <row r="2296" spans="1:12" x14ac:dyDescent="0.25">
      <c r="A2296" s="13"/>
      <c r="B2296" s="9" cm="1">
        <f t="array" ref="B2296">SUMPRODUCT((Tablo3[Personel Ad]=A2296)*(Tablo3[Ürün Kar Tutarı]))</f>
        <v>0</v>
      </c>
      <c r="D2296" s="14"/>
      <c r="F2296" s="9" cm="1">
        <f t="array" ref="F2296">SUMPRODUCT((Tablo3[Şehirler]=E2296)*(Tablo3[Ürün Kar Tutarı]))</f>
        <v>0</v>
      </c>
      <c r="H2296" s="14"/>
      <c r="J2296" s="9" cm="1">
        <f t="array" ref="J2296">SUMPRODUCT((Tablo3[Urun Ad]=I2296)*(Tablo3[Ürün Kar Tutarı]))</f>
        <v>0</v>
      </c>
      <c r="L2296" s="37"/>
    </row>
    <row r="2297" spans="1:12" x14ac:dyDescent="0.25">
      <c r="A2297" s="13"/>
      <c r="B2297" s="9" cm="1">
        <f t="array" ref="B2297">SUMPRODUCT((Tablo3[Personel Ad]=A2297)*(Tablo3[Ürün Kar Tutarı]))</f>
        <v>0</v>
      </c>
      <c r="D2297" s="14"/>
      <c r="F2297" s="9" cm="1">
        <f t="array" ref="F2297">SUMPRODUCT((Tablo3[Şehirler]=E2297)*(Tablo3[Ürün Kar Tutarı]))</f>
        <v>0</v>
      </c>
      <c r="H2297" s="14"/>
      <c r="J2297" s="9" cm="1">
        <f t="array" ref="J2297">SUMPRODUCT((Tablo3[Urun Ad]=I2297)*(Tablo3[Ürün Kar Tutarı]))</f>
        <v>0</v>
      </c>
      <c r="L2297" s="37"/>
    </row>
    <row r="2298" spans="1:12" x14ac:dyDescent="0.25">
      <c r="A2298" s="13"/>
      <c r="B2298" s="9" cm="1">
        <f t="array" ref="B2298">SUMPRODUCT((Tablo3[Personel Ad]=A2298)*(Tablo3[Ürün Kar Tutarı]))</f>
        <v>0</v>
      </c>
      <c r="D2298" s="14"/>
      <c r="F2298" s="9" cm="1">
        <f t="array" ref="F2298">SUMPRODUCT((Tablo3[Şehirler]=E2298)*(Tablo3[Ürün Kar Tutarı]))</f>
        <v>0</v>
      </c>
      <c r="H2298" s="14"/>
      <c r="J2298" s="9" cm="1">
        <f t="array" ref="J2298">SUMPRODUCT((Tablo3[Urun Ad]=I2298)*(Tablo3[Ürün Kar Tutarı]))</f>
        <v>0</v>
      </c>
      <c r="L2298" s="37"/>
    </row>
    <row r="2299" spans="1:12" x14ac:dyDescent="0.25">
      <c r="A2299" s="13"/>
      <c r="B2299" s="9" cm="1">
        <f t="array" ref="B2299">SUMPRODUCT((Tablo3[Personel Ad]=A2299)*(Tablo3[Ürün Kar Tutarı]))</f>
        <v>0</v>
      </c>
      <c r="D2299" s="14"/>
      <c r="F2299" s="9" cm="1">
        <f t="array" ref="F2299">SUMPRODUCT((Tablo3[Şehirler]=E2299)*(Tablo3[Ürün Kar Tutarı]))</f>
        <v>0</v>
      </c>
      <c r="H2299" s="14"/>
      <c r="J2299" s="9" cm="1">
        <f t="array" ref="J2299">SUMPRODUCT((Tablo3[Urun Ad]=I2299)*(Tablo3[Ürün Kar Tutarı]))</f>
        <v>0</v>
      </c>
      <c r="L2299" s="37"/>
    </row>
    <row r="2300" spans="1:12" x14ac:dyDescent="0.25">
      <c r="A2300" s="13"/>
      <c r="B2300" s="9" cm="1">
        <f t="array" ref="B2300">SUMPRODUCT((Tablo3[Personel Ad]=A2300)*(Tablo3[Ürün Kar Tutarı]))</f>
        <v>0</v>
      </c>
      <c r="D2300" s="14"/>
      <c r="F2300" s="9" cm="1">
        <f t="array" ref="F2300">SUMPRODUCT((Tablo3[Şehirler]=E2300)*(Tablo3[Ürün Kar Tutarı]))</f>
        <v>0</v>
      </c>
      <c r="H2300" s="14"/>
      <c r="J2300" s="9" cm="1">
        <f t="array" ref="J2300">SUMPRODUCT((Tablo3[Urun Ad]=I2300)*(Tablo3[Ürün Kar Tutarı]))</f>
        <v>0</v>
      </c>
      <c r="L2300" s="37"/>
    </row>
    <row r="2301" spans="1:12" x14ac:dyDescent="0.25">
      <c r="A2301" s="13"/>
      <c r="B2301" s="9" cm="1">
        <f t="array" ref="B2301">SUMPRODUCT((Tablo3[Personel Ad]=A2301)*(Tablo3[Ürün Kar Tutarı]))</f>
        <v>0</v>
      </c>
      <c r="D2301" s="14"/>
      <c r="F2301" s="9" cm="1">
        <f t="array" ref="F2301">SUMPRODUCT((Tablo3[Şehirler]=E2301)*(Tablo3[Ürün Kar Tutarı]))</f>
        <v>0</v>
      </c>
      <c r="H2301" s="14"/>
      <c r="J2301" s="9" cm="1">
        <f t="array" ref="J2301">SUMPRODUCT((Tablo3[Urun Ad]=I2301)*(Tablo3[Ürün Kar Tutarı]))</f>
        <v>0</v>
      </c>
      <c r="L2301" s="37"/>
    </row>
    <row r="2302" spans="1:12" x14ac:dyDescent="0.25">
      <c r="A2302" s="13"/>
      <c r="B2302" s="9" cm="1">
        <f t="array" ref="B2302">SUMPRODUCT((Tablo3[Personel Ad]=A2302)*(Tablo3[Ürün Kar Tutarı]))</f>
        <v>0</v>
      </c>
      <c r="D2302" s="14"/>
      <c r="F2302" s="9" cm="1">
        <f t="array" ref="F2302">SUMPRODUCT((Tablo3[Şehirler]=E2302)*(Tablo3[Ürün Kar Tutarı]))</f>
        <v>0</v>
      </c>
      <c r="H2302" s="14"/>
      <c r="J2302" s="9" cm="1">
        <f t="array" ref="J2302">SUMPRODUCT((Tablo3[Urun Ad]=I2302)*(Tablo3[Ürün Kar Tutarı]))</f>
        <v>0</v>
      </c>
      <c r="L2302" s="37"/>
    </row>
    <row r="2303" spans="1:12" x14ac:dyDescent="0.25">
      <c r="A2303" s="13"/>
      <c r="B2303" s="9" cm="1">
        <f t="array" ref="B2303">SUMPRODUCT((Tablo3[Personel Ad]=A2303)*(Tablo3[Ürün Kar Tutarı]))</f>
        <v>0</v>
      </c>
      <c r="D2303" s="14"/>
      <c r="F2303" s="9" cm="1">
        <f t="array" ref="F2303">SUMPRODUCT((Tablo3[Şehirler]=E2303)*(Tablo3[Ürün Kar Tutarı]))</f>
        <v>0</v>
      </c>
      <c r="H2303" s="14"/>
      <c r="J2303" s="9" cm="1">
        <f t="array" ref="J2303">SUMPRODUCT((Tablo3[Urun Ad]=I2303)*(Tablo3[Ürün Kar Tutarı]))</f>
        <v>0</v>
      </c>
      <c r="L2303" s="37"/>
    </row>
    <row r="2304" spans="1:12" x14ac:dyDescent="0.25">
      <c r="A2304" s="13"/>
      <c r="B2304" s="9" cm="1">
        <f t="array" ref="B2304">SUMPRODUCT((Tablo3[Personel Ad]=A2304)*(Tablo3[Ürün Kar Tutarı]))</f>
        <v>0</v>
      </c>
      <c r="D2304" s="14"/>
      <c r="F2304" s="9" cm="1">
        <f t="array" ref="F2304">SUMPRODUCT((Tablo3[Şehirler]=E2304)*(Tablo3[Ürün Kar Tutarı]))</f>
        <v>0</v>
      </c>
      <c r="H2304" s="14"/>
      <c r="J2304" s="9" cm="1">
        <f t="array" ref="J2304">SUMPRODUCT((Tablo3[Urun Ad]=I2304)*(Tablo3[Ürün Kar Tutarı]))</f>
        <v>0</v>
      </c>
      <c r="L2304" s="37"/>
    </row>
    <row r="2305" spans="1:12" x14ac:dyDescent="0.25">
      <c r="A2305" s="13"/>
      <c r="B2305" s="9" cm="1">
        <f t="array" ref="B2305">SUMPRODUCT((Tablo3[Personel Ad]=A2305)*(Tablo3[Ürün Kar Tutarı]))</f>
        <v>0</v>
      </c>
      <c r="D2305" s="14"/>
      <c r="F2305" s="9" cm="1">
        <f t="array" ref="F2305">SUMPRODUCT((Tablo3[Şehirler]=E2305)*(Tablo3[Ürün Kar Tutarı]))</f>
        <v>0</v>
      </c>
      <c r="H2305" s="14"/>
      <c r="J2305" s="9" cm="1">
        <f t="array" ref="J2305">SUMPRODUCT((Tablo3[Urun Ad]=I2305)*(Tablo3[Ürün Kar Tutarı]))</f>
        <v>0</v>
      </c>
      <c r="L2305" s="37"/>
    </row>
    <row r="2306" spans="1:12" x14ac:dyDescent="0.25">
      <c r="A2306" s="13"/>
      <c r="B2306" s="9" cm="1">
        <f t="array" ref="B2306">SUMPRODUCT((Tablo3[Personel Ad]=A2306)*(Tablo3[Ürün Kar Tutarı]))</f>
        <v>0</v>
      </c>
      <c r="D2306" s="14"/>
      <c r="F2306" s="9" cm="1">
        <f t="array" ref="F2306">SUMPRODUCT((Tablo3[Şehirler]=E2306)*(Tablo3[Ürün Kar Tutarı]))</f>
        <v>0</v>
      </c>
      <c r="H2306" s="14"/>
      <c r="J2306" s="9" cm="1">
        <f t="array" ref="J2306">SUMPRODUCT((Tablo3[Urun Ad]=I2306)*(Tablo3[Ürün Kar Tutarı]))</f>
        <v>0</v>
      </c>
      <c r="L2306" s="37"/>
    </row>
    <row r="2307" spans="1:12" x14ac:dyDescent="0.25">
      <c r="A2307" s="13"/>
      <c r="B2307" s="9" cm="1">
        <f t="array" ref="B2307">SUMPRODUCT((Tablo3[Personel Ad]=A2307)*(Tablo3[Ürün Kar Tutarı]))</f>
        <v>0</v>
      </c>
      <c r="D2307" s="14"/>
      <c r="F2307" s="9" cm="1">
        <f t="array" ref="F2307">SUMPRODUCT((Tablo3[Şehirler]=E2307)*(Tablo3[Ürün Kar Tutarı]))</f>
        <v>0</v>
      </c>
      <c r="H2307" s="14"/>
      <c r="J2307" s="9" cm="1">
        <f t="array" ref="J2307">SUMPRODUCT((Tablo3[Urun Ad]=I2307)*(Tablo3[Ürün Kar Tutarı]))</f>
        <v>0</v>
      </c>
      <c r="L2307" s="37"/>
    </row>
    <row r="2308" spans="1:12" x14ac:dyDescent="0.25">
      <c r="A2308" s="13"/>
      <c r="B2308" s="9" cm="1">
        <f t="array" ref="B2308">SUMPRODUCT((Tablo3[Personel Ad]=A2308)*(Tablo3[Ürün Kar Tutarı]))</f>
        <v>0</v>
      </c>
      <c r="D2308" s="14"/>
      <c r="F2308" s="9" cm="1">
        <f t="array" ref="F2308">SUMPRODUCT((Tablo3[Şehirler]=E2308)*(Tablo3[Ürün Kar Tutarı]))</f>
        <v>0</v>
      </c>
      <c r="H2308" s="14"/>
      <c r="J2308" s="9" cm="1">
        <f t="array" ref="J2308">SUMPRODUCT((Tablo3[Urun Ad]=I2308)*(Tablo3[Ürün Kar Tutarı]))</f>
        <v>0</v>
      </c>
      <c r="L2308" s="37"/>
    </row>
    <row r="2309" spans="1:12" x14ac:dyDescent="0.25">
      <c r="A2309" s="13"/>
      <c r="B2309" s="9" cm="1">
        <f t="array" ref="B2309">SUMPRODUCT((Tablo3[Personel Ad]=A2309)*(Tablo3[Ürün Kar Tutarı]))</f>
        <v>0</v>
      </c>
      <c r="D2309" s="14"/>
      <c r="F2309" s="9" cm="1">
        <f t="array" ref="F2309">SUMPRODUCT((Tablo3[Şehirler]=E2309)*(Tablo3[Ürün Kar Tutarı]))</f>
        <v>0</v>
      </c>
      <c r="H2309" s="14"/>
      <c r="J2309" s="9" cm="1">
        <f t="array" ref="J2309">SUMPRODUCT((Tablo3[Urun Ad]=I2309)*(Tablo3[Ürün Kar Tutarı]))</f>
        <v>0</v>
      </c>
      <c r="L2309" s="37"/>
    </row>
    <row r="2310" spans="1:12" x14ac:dyDescent="0.25">
      <c r="A2310" s="13"/>
      <c r="B2310" s="9" cm="1">
        <f t="array" ref="B2310">SUMPRODUCT((Tablo3[Personel Ad]=A2310)*(Tablo3[Ürün Kar Tutarı]))</f>
        <v>0</v>
      </c>
      <c r="D2310" s="14"/>
      <c r="F2310" s="9" cm="1">
        <f t="array" ref="F2310">SUMPRODUCT((Tablo3[Şehirler]=E2310)*(Tablo3[Ürün Kar Tutarı]))</f>
        <v>0</v>
      </c>
      <c r="H2310" s="14"/>
      <c r="J2310" s="9" cm="1">
        <f t="array" ref="J2310">SUMPRODUCT((Tablo3[Urun Ad]=I2310)*(Tablo3[Ürün Kar Tutarı]))</f>
        <v>0</v>
      </c>
      <c r="L2310" s="37"/>
    </row>
    <row r="2311" spans="1:12" x14ac:dyDescent="0.25">
      <c r="A2311" s="13"/>
      <c r="B2311" s="9" cm="1">
        <f t="array" ref="B2311">SUMPRODUCT((Tablo3[Personel Ad]=A2311)*(Tablo3[Ürün Kar Tutarı]))</f>
        <v>0</v>
      </c>
      <c r="D2311" s="14"/>
      <c r="F2311" s="9" cm="1">
        <f t="array" ref="F2311">SUMPRODUCT((Tablo3[Şehirler]=E2311)*(Tablo3[Ürün Kar Tutarı]))</f>
        <v>0</v>
      </c>
      <c r="H2311" s="14"/>
      <c r="J2311" s="9" cm="1">
        <f t="array" ref="J2311">SUMPRODUCT((Tablo3[Urun Ad]=I2311)*(Tablo3[Ürün Kar Tutarı]))</f>
        <v>0</v>
      </c>
      <c r="L2311" s="37"/>
    </row>
    <row r="2312" spans="1:12" x14ac:dyDescent="0.25">
      <c r="A2312" s="13"/>
      <c r="B2312" s="9" cm="1">
        <f t="array" ref="B2312">SUMPRODUCT((Tablo3[Personel Ad]=A2312)*(Tablo3[Ürün Kar Tutarı]))</f>
        <v>0</v>
      </c>
      <c r="D2312" s="14"/>
      <c r="F2312" s="9" cm="1">
        <f t="array" ref="F2312">SUMPRODUCT((Tablo3[Şehirler]=E2312)*(Tablo3[Ürün Kar Tutarı]))</f>
        <v>0</v>
      </c>
      <c r="H2312" s="14"/>
      <c r="J2312" s="9" cm="1">
        <f t="array" ref="J2312">SUMPRODUCT((Tablo3[Urun Ad]=I2312)*(Tablo3[Ürün Kar Tutarı]))</f>
        <v>0</v>
      </c>
      <c r="L2312" s="37"/>
    </row>
    <row r="2313" spans="1:12" x14ac:dyDescent="0.25">
      <c r="A2313" s="13"/>
      <c r="B2313" s="9" cm="1">
        <f t="array" ref="B2313">SUMPRODUCT((Tablo3[Personel Ad]=A2313)*(Tablo3[Ürün Kar Tutarı]))</f>
        <v>0</v>
      </c>
      <c r="D2313" s="14"/>
      <c r="F2313" s="9" cm="1">
        <f t="array" ref="F2313">SUMPRODUCT((Tablo3[Şehirler]=E2313)*(Tablo3[Ürün Kar Tutarı]))</f>
        <v>0</v>
      </c>
      <c r="H2313" s="14"/>
      <c r="J2313" s="9" cm="1">
        <f t="array" ref="J2313">SUMPRODUCT((Tablo3[Urun Ad]=I2313)*(Tablo3[Ürün Kar Tutarı]))</f>
        <v>0</v>
      </c>
      <c r="L2313" s="37"/>
    </row>
    <row r="2314" spans="1:12" x14ac:dyDescent="0.25">
      <c r="A2314" s="13"/>
      <c r="B2314" s="9" cm="1">
        <f t="array" ref="B2314">SUMPRODUCT((Tablo3[Personel Ad]=A2314)*(Tablo3[Ürün Kar Tutarı]))</f>
        <v>0</v>
      </c>
      <c r="D2314" s="14"/>
      <c r="F2314" s="9" cm="1">
        <f t="array" ref="F2314">SUMPRODUCT((Tablo3[Şehirler]=E2314)*(Tablo3[Ürün Kar Tutarı]))</f>
        <v>0</v>
      </c>
      <c r="H2314" s="14"/>
      <c r="J2314" s="9" cm="1">
        <f t="array" ref="J2314">SUMPRODUCT((Tablo3[Urun Ad]=I2314)*(Tablo3[Ürün Kar Tutarı]))</f>
        <v>0</v>
      </c>
      <c r="L2314" s="37"/>
    </row>
    <row r="2315" spans="1:12" x14ac:dyDescent="0.25">
      <c r="A2315" s="13"/>
      <c r="B2315" s="9" cm="1">
        <f t="array" ref="B2315">SUMPRODUCT((Tablo3[Personel Ad]=A2315)*(Tablo3[Ürün Kar Tutarı]))</f>
        <v>0</v>
      </c>
      <c r="D2315" s="14"/>
      <c r="F2315" s="9" cm="1">
        <f t="array" ref="F2315">SUMPRODUCT((Tablo3[Şehirler]=E2315)*(Tablo3[Ürün Kar Tutarı]))</f>
        <v>0</v>
      </c>
      <c r="H2315" s="14"/>
      <c r="J2315" s="9" cm="1">
        <f t="array" ref="J2315">SUMPRODUCT((Tablo3[Urun Ad]=I2315)*(Tablo3[Ürün Kar Tutarı]))</f>
        <v>0</v>
      </c>
      <c r="L2315" s="37"/>
    </row>
    <row r="2316" spans="1:12" x14ac:dyDescent="0.25">
      <c r="A2316" s="13"/>
      <c r="B2316" s="9" cm="1">
        <f t="array" ref="B2316">SUMPRODUCT((Tablo3[Personel Ad]=A2316)*(Tablo3[Ürün Kar Tutarı]))</f>
        <v>0</v>
      </c>
      <c r="D2316" s="14"/>
      <c r="F2316" s="9" cm="1">
        <f t="array" ref="F2316">SUMPRODUCT((Tablo3[Şehirler]=E2316)*(Tablo3[Ürün Kar Tutarı]))</f>
        <v>0</v>
      </c>
      <c r="H2316" s="14"/>
      <c r="J2316" s="9" cm="1">
        <f t="array" ref="J2316">SUMPRODUCT((Tablo3[Urun Ad]=I2316)*(Tablo3[Ürün Kar Tutarı]))</f>
        <v>0</v>
      </c>
      <c r="L2316" s="37"/>
    </row>
    <row r="2317" spans="1:12" x14ac:dyDescent="0.25">
      <c r="A2317" s="13"/>
      <c r="B2317" s="9" cm="1">
        <f t="array" ref="B2317">SUMPRODUCT((Tablo3[Personel Ad]=A2317)*(Tablo3[Ürün Kar Tutarı]))</f>
        <v>0</v>
      </c>
      <c r="D2317" s="14"/>
      <c r="F2317" s="9" cm="1">
        <f t="array" ref="F2317">SUMPRODUCT((Tablo3[Şehirler]=E2317)*(Tablo3[Ürün Kar Tutarı]))</f>
        <v>0</v>
      </c>
      <c r="H2317" s="14"/>
      <c r="J2317" s="9" cm="1">
        <f t="array" ref="J2317">SUMPRODUCT((Tablo3[Urun Ad]=I2317)*(Tablo3[Ürün Kar Tutarı]))</f>
        <v>0</v>
      </c>
      <c r="L2317" s="37"/>
    </row>
    <row r="2318" spans="1:12" x14ac:dyDescent="0.25">
      <c r="A2318" s="13"/>
      <c r="B2318" s="9" cm="1">
        <f t="array" ref="B2318">SUMPRODUCT((Tablo3[Personel Ad]=A2318)*(Tablo3[Ürün Kar Tutarı]))</f>
        <v>0</v>
      </c>
      <c r="D2318" s="14"/>
      <c r="F2318" s="9" cm="1">
        <f t="array" ref="F2318">SUMPRODUCT((Tablo3[Şehirler]=E2318)*(Tablo3[Ürün Kar Tutarı]))</f>
        <v>0</v>
      </c>
      <c r="H2318" s="14"/>
      <c r="J2318" s="9" cm="1">
        <f t="array" ref="J2318">SUMPRODUCT((Tablo3[Urun Ad]=I2318)*(Tablo3[Ürün Kar Tutarı]))</f>
        <v>0</v>
      </c>
      <c r="L2318" s="37"/>
    </row>
    <row r="2319" spans="1:12" x14ac:dyDescent="0.25">
      <c r="A2319" s="13"/>
      <c r="B2319" s="9" cm="1">
        <f t="array" ref="B2319">SUMPRODUCT((Tablo3[Personel Ad]=A2319)*(Tablo3[Ürün Kar Tutarı]))</f>
        <v>0</v>
      </c>
      <c r="D2319" s="14"/>
      <c r="F2319" s="9" cm="1">
        <f t="array" ref="F2319">SUMPRODUCT((Tablo3[Şehirler]=E2319)*(Tablo3[Ürün Kar Tutarı]))</f>
        <v>0</v>
      </c>
      <c r="H2319" s="14"/>
      <c r="J2319" s="9" cm="1">
        <f t="array" ref="J2319">SUMPRODUCT((Tablo3[Urun Ad]=I2319)*(Tablo3[Ürün Kar Tutarı]))</f>
        <v>0</v>
      </c>
      <c r="L2319" s="37"/>
    </row>
    <row r="2320" spans="1:12" x14ac:dyDescent="0.25">
      <c r="A2320" s="13"/>
      <c r="B2320" s="9" cm="1">
        <f t="array" ref="B2320">SUMPRODUCT((Tablo3[Personel Ad]=A2320)*(Tablo3[Ürün Kar Tutarı]))</f>
        <v>0</v>
      </c>
      <c r="D2320" s="14"/>
      <c r="F2320" s="9" cm="1">
        <f t="array" ref="F2320">SUMPRODUCT((Tablo3[Şehirler]=E2320)*(Tablo3[Ürün Kar Tutarı]))</f>
        <v>0</v>
      </c>
      <c r="H2320" s="14"/>
      <c r="J2320" s="9" cm="1">
        <f t="array" ref="J2320">SUMPRODUCT((Tablo3[Urun Ad]=I2320)*(Tablo3[Ürün Kar Tutarı]))</f>
        <v>0</v>
      </c>
      <c r="L2320" s="37"/>
    </row>
    <row r="2321" spans="1:12" x14ac:dyDescent="0.25">
      <c r="A2321" s="13"/>
      <c r="B2321" s="9" cm="1">
        <f t="array" ref="B2321">SUMPRODUCT((Tablo3[Personel Ad]=A2321)*(Tablo3[Ürün Kar Tutarı]))</f>
        <v>0</v>
      </c>
      <c r="D2321" s="14"/>
      <c r="F2321" s="9" cm="1">
        <f t="array" ref="F2321">SUMPRODUCT((Tablo3[Şehirler]=E2321)*(Tablo3[Ürün Kar Tutarı]))</f>
        <v>0</v>
      </c>
      <c r="H2321" s="14"/>
      <c r="J2321" s="9" cm="1">
        <f t="array" ref="J2321">SUMPRODUCT((Tablo3[Urun Ad]=I2321)*(Tablo3[Ürün Kar Tutarı]))</f>
        <v>0</v>
      </c>
      <c r="L2321" s="37"/>
    </row>
    <row r="2322" spans="1:12" x14ac:dyDescent="0.25">
      <c r="A2322" s="13"/>
      <c r="B2322" s="9" cm="1">
        <f t="array" ref="B2322">SUMPRODUCT((Tablo3[Personel Ad]=A2322)*(Tablo3[Ürün Kar Tutarı]))</f>
        <v>0</v>
      </c>
      <c r="D2322" s="14"/>
      <c r="F2322" s="9" cm="1">
        <f t="array" ref="F2322">SUMPRODUCT((Tablo3[Şehirler]=E2322)*(Tablo3[Ürün Kar Tutarı]))</f>
        <v>0</v>
      </c>
      <c r="H2322" s="14"/>
      <c r="J2322" s="9" cm="1">
        <f t="array" ref="J2322">SUMPRODUCT((Tablo3[Urun Ad]=I2322)*(Tablo3[Ürün Kar Tutarı]))</f>
        <v>0</v>
      </c>
      <c r="L2322" s="37"/>
    </row>
    <row r="2323" spans="1:12" x14ac:dyDescent="0.25">
      <c r="A2323" s="13"/>
      <c r="B2323" s="9" cm="1">
        <f t="array" ref="B2323">SUMPRODUCT((Tablo3[Personel Ad]=A2323)*(Tablo3[Ürün Kar Tutarı]))</f>
        <v>0</v>
      </c>
      <c r="D2323" s="14"/>
      <c r="F2323" s="9" cm="1">
        <f t="array" ref="F2323">SUMPRODUCT((Tablo3[Şehirler]=E2323)*(Tablo3[Ürün Kar Tutarı]))</f>
        <v>0</v>
      </c>
      <c r="H2323" s="14"/>
      <c r="J2323" s="9" cm="1">
        <f t="array" ref="J2323">SUMPRODUCT((Tablo3[Urun Ad]=I2323)*(Tablo3[Ürün Kar Tutarı]))</f>
        <v>0</v>
      </c>
      <c r="L2323" s="37"/>
    </row>
    <row r="2324" spans="1:12" x14ac:dyDescent="0.25">
      <c r="A2324" s="13"/>
      <c r="B2324" s="9" cm="1">
        <f t="array" ref="B2324">SUMPRODUCT((Tablo3[Personel Ad]=A2324)*(Tablo3[Ürün Kar Tutarı]))</f>
        <v>0</v>
      </c>
      <c r="D2324" s="14"/>
      <c r="F2324" s="9" cm="1">
        <f t="array" ref="F2324">SUMPRODUCT((Tablo3[Şehirler]=E2324)*(Tablo3[Ürün Kar Tutarı]))</f>
        <v>0</v>
      </c>
      <c r="H2324" s="14"/>
      <c r="J2324" s="9" cm="1">
        <f t="array" ref="J2324">SUMPRODUCT((Tablo3[Urun Ad]=I2324)*(Tablo3[Ürün Kar Tutarı]))</f>
        <v>0</v>
      </c>
      <c r="L2324" s="37"/>
    </row>
    <row r="2325" spans="1:12" x14ac:dyDescent="0.25">
      <c r="A2325" s="13"/>
      <c r="B2325" s="9" cm="1">
        <f t="array" ref="B2325">SUMPRODUCT((Tablo3[Personel Ad]=A2325)*(Tablo3[Ürün Kar Tutarı]))</f>
        <v>0</v>
      </c>
      <c r="D2325" s="14"/>
      <c r="F2325" s="9" cm="1">
        <f t="array" ref="F2325">SUMPRODUCT((Tablo3[Şehirler]=E2325)*(Tablo3[Ürün Kar Tutarı]))</f>
        <v>0</v>
      </c>
      <c r="H2325" s="14"/>
      <c r="J2325" s="9" cm="1">
        <f t="array" ref="J2325">SUMPRODUCT((Tablo3[Urun Ad]=I2325)*(Tablo3[Ürün Kar Tutarı]))</f>
        <v>0</v>
      </c>
      <c r="L2325" s="37"/>
    </row>
    <row r="2326" spans="1:12" x14ac:dyDescent="0.25">
      <c r="A2326" s="13"/>
      <c r="B2326" s="9" cm="1">
        <f t="array" ref="B2326">SUMPRODUCT((Tablo3[Personel Ad]=A2326)*(Tablo3[Ürün Kar Tutarı]))</f>
        <v>0</v>
      </c>
      <c r="D2326" s="14"/>
      <c r="F2326" s="9" cm="1">
        <f t="array" ref="F2326">SUMPRODUCT((Tablo3[Şehirler]=E2326)*(Tablo3[Ürün Kar Tutarı]))</f>
        <v>0</v>
      </c>
      <c r="H2326" s="14"/>
      <c r="J2326" s="9" cm="1">
        <f t="array" ref="J2326">SUMPRODUCT((Tablo3[Urun Ad]=I2326)*(Tablo3[Ürün Kar Tutarı]))</f>
        <v>0</v>
      </c>
      <c r="L2326" s="37"/>
    </row>
    <row r="2327" spans="1:12" x14ac:dyDescent="0.25">
      <c r="A2327" s="13"/>
      <c r="B2327" s="9" cm="1">
        <f t="array" ref="B2327">SUMPRODUCT((Tablo3[Personel Ad]=A2327)*(Tablo3[Ürün Kar Tutarı]))</f>
        <v>0</v>
      </c>
      <c r="D2327" s="14"/>
      <c r="F2327" s="9" cm="1">
        <f t="array" ref="F2327">SUMPRODUCT((Tablo3[Şehirler]=E2327)*(Tablo3[Ürün Kar Tutarı]))</f>
        <v>0</v>
      </c>
      <c r="H2327" s="14"/>
      <c r="J2327" s="9" cm="1">
        <f t="array" ref="J2327">SUMPRODUCT((Tablo3[Urun Ad]=I2327)*(Tablo3[Ürün Kar Tutarı]))</f>
        <v>0</v>
      </c>
      <c r="L2327" s="37"/>
    </row>
    <row r="2328" spans="1:12" x14ac:dyDescent="0.25">
      <c r="A2328" s="13"/>
      <c r="B2328" s="9" cm="1">
        <f t="array" ref="B2328">SUMPRODUCT((Tablo3[Personel Ad]=A2328)*(Tablo3[Ürün Kar Tutarı]))</f>
        <v>0</v>
      </c>
      <c r="D2328" s="14"/>
      <c r="F2328" s="9" cm="1">
        <f t="array" ref="F2328">SUMPRODUCT((Tablo3[Şehirler]=E2328)*(Tablo3[Ürün Kar Tutarı]))</f>
        <v>0</v>
      </c>
      <c r="H2328" s="14"/>
      <c r="J2328" s="9" cm="1">
        <f t="array" ref="J2328">SUMPRODUCT((Tablo3[Urun Ad]=I2328)*(Tablo3[Ürün Kar Tutarı]))</f>
        <v>0</v>
      </c>
      <c r="L2328" s="37"/>
    </row>
    <row r="2329" spans="1:12" x14ac:dyDescent="0.25">
      <c r="A2329" s="13"/>
      <c r="B2329" s="9" cm="1">
        <f t="array" ref="B2329">SUMPRODUCT((Tablo3[Personel Ad]=A2329)*(Tablo3[Ürün Kar Tutarı]))</f>
        <v>0</v>
      </c>
      <c r="D2329" s="14"/>
      <c r="F2329" s="9" cm="1">
        <f t="array" ref="F2329">SUMPRODUCT((Tablo3[Şehirler]=E2329)*(Tablo3[Ürün Kar Tutarı]))</f>
        <v>0</v>
      </c>
      <c r="H2329" s="14"/>
      <c r="J2329" s="9" cm="1">
        <f t="array" ref="J2329">SUMPRODUCT((Tablo3[Urun Ad]=I2329)*(Tablo3[Ürün Kar Tutarı]))</f>
        <v>0</v>
      </c>
      <c r="L2329" s="37"/>
    </row>
    <row r="2330" spans="1:12" x14ac:dyDescent="0.25">
      <c r="A2330" s="13"/>
      <c r="B2330" s="9" cm="1">
        <f t="array" ref="B2330">SUMPRODUCT((Tablo3[Personel Ad]=A2330)*(Tablo3[Ürün Kar Tutarı]))</f>
        <v>0</v>
      </c>
      <c r="D2330" s="14"/>
      <c r="F2330" s="9" cm="1">
        <f t="array" ref="F2330">SUMPRODUCT((Tablo3[Şehirler]=E2330)*(Tablo3[Ürün Kar Tutarı]))</f>
        <v>0</v>
      </c>
      <c r="H2330" s="14"/>
      <c r="J2330" s="9" cm="1">
        <f t="array" ref="J2330">SUMPRODUCT((Tablo3[Urun Ad]=I2330)*(Tablo3[Ürün Kar Tutarı]))</f>
        <v>0</v>
      </c>
      <c r="L2330" s="37"/>
    </row>
    <row r="2331" spans="1:12" x14ac:dyDescent="0.25">
      <c r="A2331" s="13"/>
      <c r="B2331" s="9" cm="1">
        <f t="array" ref="B2331">SUMPRODUCT((Tablo3[Personel Ad]=A2331)*(Tablo3[Ürün Kar Tutarı]))</f>
        <v>0</v>
      </c>
      <c r="D2331" s="14"/>
      <c r="F2331" s="9" cm="1">
        <f t="array" ref="F2331">SUMPRODUCT((Tablo3[Şehirler]=E2331)*(Tablo3[Ürün Kar Tutarı]))</f>
        <v>0</v>
      </c>
      <c r="H2331" s="14"/>
      <c r="J2331" s="9" cm="1">
        <f t="array" ref="J2331">SUMPRODUCT((Tablo3[Urun Ad]=I2331)*(Tablo3[Ürün Kar Tutarı]))</f>
        <v>0</v>
      </c>
      <c r="L2331" s="37"/>
    </row>
    <row r="2332" spans="1:12" x14ac:dyDescent="0.25">
      <c r="A2332" s="13"/>
      <c r="B2332" s="9" cm="1">
        <f t="array" ref="B2332">SUMPRODUCT((Tablo3[Personel Ad]=A2332)*(Tablo3[Ürün Kar Tutarı]))</f>
        <v>0</v>
      </c>
      <c r="D2332" s="14"/>
      <c r="F2332" s="9" cm="1">
        <f t="array" ref="F2332">SUMPRODUCT((Tablo3[Şehirler]=E2332)*(Tablo3[Ürün Kar Tutarı]))</f>
        <v>0</v>
      </c>
      <c r="H2332" s="14"/>
      <c r="J2332" s="9" cm="1">
        <f t="array" ref="J2332">SUMPRODUCT((Tablo3[Urun Ad]=I2332)*(Tablo3[Ürün Kar Tutarı]))</f>
        <v>0</v>
      </c>
      <c r="L2332" s="37"/>
    </row>
    <row r="2333" spans="1:12" x14ac:dyDescent="0.25">
      <c r="A2333" s="13"/>
      <c r="B2333" s="9" cm="1">
        <f t="array" ref="B2333">SUMPRODUCT((Tablo3[Personel Ad]=A2333)*(Tablo3[Ürün Kar Tutarı]))</f>
        <v>0</v>
      </c>
      <c r="D2333" s="14"/>
      <c r="F2333" s="9" cm="1">
        <f t="array" ref="F2333">SUMPRODUCT((Tablo3[Şehirler]=E2333)*(Tablo3[Ürün Kar Tutarı]))</f>
        <v>0</v>
      </c>
      <c r="H2333" s="14"/>
      <c r="J2333" s="9" cm="1">
        <f t="array" ref="J2333">SUMPRODUCT((Tablo3[Urun Ad]=I2333)*(Tablo3[Ürün Kar Tutarı]))</f>
        <v>0</v>
      </c>
      <c r="L2333" s="37"/>
    </row>
    <row r="2334" spans="1:12" x14ac:dyDescent="0.25">
      <c r="A2334" s="13"/>
      <c r="B2334" s="9" cm="1">
        <f t="array" ref="B2334">SUMPRODUCT((Tablo3[Personel Ad]=A2334)*(Tablo3[Ürün Kar Tutarı]))</f>
        <v>0</v>
      </c>
      <c r="D2334" s="14"/>
      <c r="F2334" s="9" cm="1">
        <f t="array" ref="F2334">SUMPRODUCT((Tablo3[Şehirler]=E2334)*(Tablo3[Ürün Kar Tutarı]))</f>
        <v>0</v>
      </c>
      <c r="H2334" s="14"/>
      <c r="J2334" s="9" cm="1">
        <f t="array" ref="J2334">SUMPRODUCT((Tablo3[Urun Ad]=I2334)*(Tablo3[Ürün Kar Tutarı]))</f>
        <v>0</v>
      </c>
      <c r="L2334" s="37"/>
    </row>
    <row r="2335" spans="1:12" x14ac:dyDescent="0.25">
      <c r="A2335" s="13"/>
      <c r="B2335" s="9" cm="1">
        <f t="array" ref="B2335">SUMPRODUCT((Tablo3[Personel Ad]=A2335)*(Tablo3[Ürün Kar Tutarı]))</f>
        <v>0</v>
      </c>
      <c r="D2335" s="14"/>
      <c r="F2335" s="9" cm="1">
        <f t="array" ref="F2335">SUMPRODUCT((Tablo3[Şehirler]=E2335)*(Tablo3[Ürün Kar Tutarı]))</f>
        <v>0</v>
      </c>
      <c r="H2335" s="14"/>
      <c r="J2335" s="9" cm="1">
        <f t="array" ref="J2335">SUMPRODUCT((Tablo3[Urun Ad]=I2335)*(Tablo3[Ürün Kar Tutarı]))</f>
        <v>0</v>
      </c>
      <c r="L2335" s="37"/>
    </row>
    <row r="2336" spans="1:12" x14ac:dyDescent="0.25">
      <c r="A2336" s="13"/>
      <c r="B2336" s="9" cm="1">
        <f t="array" ref="B2336">SUMPRODUCT((Tablo3[Personel Ad]=A2336)*(Tablo3[Ürün Kar Tutarı]))</f>
        <v>0</v>
      </c>
      <c r="D2336" s="14"/>
      <c r="F2336" s="9" cm="1">
        <f t="array" ref="F2336">SUMPRODUCT((Tablo3[Şehirler]=E2336)*(Tablo3[Ürün Kar Tutarı]))</f>
        <v>0</v>
      </c>
      <c r="H2336" s="14"/>
      <c r="J2336" s="9" cm="1">
        <f t="array" ref="J2336">SUMPRODUCT((Tablo3[Urun Ad]=I2336)*(Tablo3[Ürün Kar Tutarı]))</f>
        <v>0</v>
      </c>
      <c r="L2336" s="37"/>
    </row>
    <row r="2337" spans="1:12" x14ac:dyDescent="0.25">
      <c r="A2337" s="13"/>
      <c r="B2337" s="9" cm="1">
        <f t="array" ref="B2337">SUMPRODUCT((Tablo3[Personel Ad]=A2337)*(Tablo3[Ürün Kar Tutarı]))</f>
        <v>0</v>
      </c>
      <c r="D2337" s="14"/>
      <c r="F2337" s="9" cm="1">
        <f t="array" ref="F2337">SUMPRODUCT((Tablo3[Şehirler]=E2337)*(Tablo3[Ürün Kar Tutarı]))</f>
        <v>0</v>
      </c>
      <c r="H2337" s="14"/>
      <c r="J2337" s="9" cm="1">
        <f t="array" ref="J2337">SUMPRODUCT((Tablo3[Urun Ad]=I2337)*(Tablo3[Ürün Kar Tutarı]))</f>
        <v>0</v>
      </c>
      <c r="L2337" s="37"/>
    </row>
    <row r="2338" spans="1:12" x14ac:dyDescent="0.25">
      <c r="A2338" s="13"/>
      <c r="B2338" s="9" cm="1">
        <f t="array" ref="B2338">SUMPRODUCT((Tablo3[Personel Ad]=A2338)*(Tablo3[Ürün Kar Tutarı]))</f>
        <v>0</v>
      </c>
      <c r="D2338" s="14"/>
      <c r="F2338" s="9" cm="1">
        <f t="array" ref="F2338">SUMPRODUCT((Tablo3[Şehirler]=E2338)*(Tablo3[Ürün Kar Tutarı]))</f>
        <v>0</v>
      </c>
      <c r="H2338" s="14"/>
      <c r="J2338" s="9" cm="1">
        <f t="array" ref="J2338">SUMPRODUCT((Tablo3[Urun Ad]=I2338)*(Tablo3[Ürün Kar Tutarı]))</f>
        <v>0</v>
      </c>
      <c r="L2338" s="37"/>
    </row>
    <row r="2339" spans="1:12" x14ac:dyDescent="0.25">
      <c r="A2339" s="13"/>
      <c r="B2339" s="9" cm="1">
        <f t="array" ref="B2339">SUMPRODUCT((Tablo3[Personel Ad]=A2339)*(Tablo3[Ürün Kar Tutarı]))</f>
        <v>0</v>
      </c>
      <c r="D2339" s="14"/>
      <c r="F2339" s="9" cm="1">
        <f t="array" ref="F2339">SUMPRODUCT((Tablo3[Şehirler]=E2339)*(Tablo3[Ürün Kar Tutarı]))</f>
        <v>0</v>
      </c>
      <c r="H2339" s="14"/>
      <c r="J2339" s="9" cm="1">
        <f t="array" ref="J2339">SUMPRODUCT((Tablo3[Urun Ad]=I2339)*(Tablo3[Ürün Kar Tutarı]))</f>
        <v>0</v>
      </c>
      <c r="L2339" s="37"/>
    </row>
    <row r="2340" spans="1:12" x14ac:dyDescent="0.25">
      <c r="A2340" s="13"/>
      <c r="B2340" s="9" cm="1">
        <f t="array" ref="B2340">SUMPRODUCT((Tablo3[Personel Ad]=A2340)*(Tablo3[Ürün Kar Tutarı]))</f>
        <v>0</v>
      </c>
      <c r="D2340" s="14"/>
      <c r="F2340" s="9" cm="1">
        <f t="array" ref="F2340">SUMPRODUCT((Tablo3[Şehirler]=E2340)*(Tablo3[Ürün Kar Tutarı]))</f>
        <v>0</v>
      </c>
      <c r="H2340" s="14"/>
      <c r="J2340" s="9" cm="1">
        <f t="array" ref="J2340">SUMPRODUCT((Tablo3[Urun Ad]=I2340)*(Tablo3[Ürün Kar Tutarı]))</f>
        <v>0</v>
      </c>
      <c r="L2340" s="37"/>
    </row>
    <row r="2341" spans="1:12" x14ac:dyDescent="0.25">
      <c r="A2341" s="13"/>
      <c r="B2341" s="9" cm="1">
        <f t="array" ref="B2341">SUMPRODUCT((Tablo3[Personel Ad]=A2341)*(Tablo3[Ürün Kar Tutarı]))</f>
        <v>0</v>
      </c>
      <c r="D2341" s="14"/>
      <c r="F2341" s="9" cm="1">
        <f t="array" ref="F2341">SUMPRODUCT((Tablo3[Şehirler]=E2341)*(Tablo3[Ürün Kar Tutarı]))</f>
        <v>0</v>
      </c>
      <c r="H2341" s="14"/>
      <c r="J2341" s="9" cm="1">
        <f t="array" ref="J2341">SUMPRODUCT((Tablo3[Urun Ad]=I2341)*(Tablo3[Ürün Kar Tutarı]))</f>
        <v>0</v>
      </c>
      <c r="L2341" s="37"/>
    </row>
    <row r="2342" spans="1:12" x14ac:dyDescent="0.25">
      <c r="A2342" s="13"/>
      <c r="B2342" s="9" cm="1">
        <f t="array" ref="B2342">SUMPRODUCT((Tablo3[Personel Ad]=A2342)*(Tablo3[Ürün Kar Tutarı]))</f>
        <v>0</v>
      </c>
      <c r="D2342" s="14"/>
      <c r="F2342" s="9" cm="1">
        <f t="array" ref="F2342">SUMPRODUCT((Tablo3[Şehirler]=E2342)*(Tablo3[Ürün Kar Tutarı]))</f>
        <v>0</v>
      </c>
      <c r="H2342" s="14"/>
      <c r="J2342" s="9" cm="1">
        <f t="array" ref="J2342">SUMPRODUCT((Tablo3[Urun Ad]=I2342)*(Tablo3[Ürün Kar Tutarı]))</f>
        <v>0</v>
      </c>
      <c r="L2342" s="37"/>
    </row>
    <row r="2343" spans="1:12" x14ac:dyDescent="0.25">
      <c r="A2343" s="13"/>
      <c r="B2343" s="9" cm="1">
        <f t="array" ref="B2343">SUMPRODUCT((Tablo3[Personel Ad]=A2343)*(Tablo3[Ürün Kar Tutarı]))</f>
        <v>0</v>
      </c>
      <c r="D2343" s="14"/>
      <c r="F2343" s="9" cm="1">
        <f t="array" ref="F2343">SUMPRODUCT((Tablo3[Şehirler]=E2343)*(Tablo3[Ürün Kar Tutarı]))</f>
        <v>0</v>
      </c>
      <c r="H2343" s="14"/>
      <c r="J2343" s="9" cm="1">
        <f t="array" ref="J2343">SUMPRODUCT((Tablo3[Urun Ad]=I2343)*(Tablo3[Ürün Kar Tutarı]))</f>
        <v>0</v>
      </c>
      <c r="L2343" s="37"/>
    </row>
    <row r="2344" spans="1:12" x14ac:dyDescent="0.25">
      <c r="A2344" s="13"/>
      <c r="B2344" s="9" cm="1">
        <f t="array" ref="B2344">SUMPRODUCT((Tablo3[Personel Ad]=A2344)*(Tablo3[Ürün Kar Tutarı]))</f>
        <v>0</v>
      </c>
      <c r="D2344" s="14"/>
      <c r="F2344" s="9" cm="1">
        <f t="array" ref="F2344">SUMPRODUCT((Tablo3[Şehirler]=E2344)*(Tablo3[Ürün Kar Tutarı]))</f>
        <v>0</v>
      </c>
      <c r="H2344" s="14"/>
      <c r="J2344" s="9" cm="1">
        <f t="array" ref="J2344">SUMPRODUCT((Tablo3[Urun Ad]=I2344)*(Tablo3[Ürün Kar Tutarı]))</f>
        <v>0</v>
      </c>
      <c r="L2344" s="37"/>
    </row>
    <row r="2345" spans="1:12" x14ac:dyDescent="0.25">
      <c r="A2345" s="13"/>
      <c r="B2345" s="9" cm="1">
        <f t="array" ref="B2345">SUMPRODUCT((Tablo3[Personel Ad]=A2345)*(Tablo3[Ürün Kar Tutarı]))</f>
        <v>0</v>
      </c>
      <c r="D2345" s="14"/>
      <c r="F2345" s="9" cm="1">
        <f t="array" ref="F2345">SUMPRODUCT((Tablo3[Şehirler]=E2345)*(Tablo3[Ürün Kar Tutarı]))</f>
        <v>0</v>
      </c>
      <c r="H2345" s="14"/>
      <c r="J2345" s="9" cm="1">
        <f t="array" ref="J2345">SUMPRODUCT((Tablo3[Urun Ad]=I2345)*(Tablo3[Ürün Kar Tutarı]))</f>
        <v>0</v>
      </c>
      <c r="L2345" s="37"/>
    </row>
    <row r="2346" spans="1:12" x14ac:dyDescent="0.25">
      <c r="A2346" s="13"/>
      <c r="B2346" s="9" cm="1">
        <f t="array" ref="B2346">SUMPRODUCT((Tablo3[Personel Ad]=A2346)*(Tablo3[Ürün Kar Tutarı]))</f>
        <v>0</v>
      </c>
      <c r="D2346" s="14"/>
      <c r="F2346" s="9" cm="1">
        <f t="array" ref="F2346">SUMPRODUCT((Tablo3[Şehirler]=E2346)*(Tablo3[Ürün Kar Tutarı]))</f>
        <v>0</v>
      </c>
      <c r="H2346" s="14"/>
      <c r="J2346" s="9" cm="1">
        <f t="array" ref="J2346">SUMPRODUCT((Tablo3[Urun Ad]=I2346)*(Tablo3[Ürün Kar Tutarı]))</f>
        <v>0</v>
      </c>
      <c r="L2346" s="37"/>
    </row>
    <row r="2347" spans="1:12" x14ac:dyDescent="0.25">
      <c r="A2347" s="13"/>
      <c r="B2347" s="9" cm="1">
        <f t="array" ref="B2347">SUMPRODUCT((Tablo3[Personel Ad]=A2347)*(Tablo3[Ürün Kar Tutarı]))</f>
        <v>0</v>
      </c>
      <c r="D2347" s="14"/>
      <c r="F2347" s="9" cm="1">
        <f t="array" ref="F2347">SUMPRODUCT((Tablo3[Şehirler]=E2347)*(Tablo3[Ürün Kar Tutarı]))</f>
        <v>0</v>
      </c>
      <c r="H2347" s="14"/>
      <c r="J2347" s="9" cm="1">
        <f t="array" ref="J2347">SUMPRODUCT((Tablo3[Urun Ad]=I2347)*(Tablo3[Ürün Kar Tutarı]))</f>
        <v>0</v>
      </c>
      <c r="L2347" s="37"/>
    </row>
    <row r="2348" spans="1:12" x14ac:dyDescent="0.25">
      <c r="A2348" s="13"/>
      <c r="B2348" s="9" cm="1">
        <f t="array" ref="B2348">SUMPRODUCT((Tablo3[Personel Ad]=A2348)*(Tablo3[Ürün Kar Tutarı]))</f>
        <v>0</v>
      </c>
      <c r="D2348" s="14"/>
      <c r="F2348" s="9" cm="1">
        <f t="array" ref="F2348">SUMPRODUCT((Tablo3[Şehirler]=E2348)*(Tablo3[Ürün Kar Tutarı]))</f>
        <v>0</v>
      </c>
      <c r="H2348" s="14"/>
      <c r="J2348" s="9" cm="1">
        <f t="array" ref="J2348">SUMPRODUCT((Tablo3[Urun Ad]=I2348)*(Tablo3[Ürün Kar Tutarı]))</f>
        <v>0</v>
      </c>
      <c r="L2348" s="37"/>
    </row>
    <row r="2349" spans="1:12" x14ac:dyDescent="0.25">
      <c r="A2349" s="13"/>
      <c r="B2349" s="9" cm="1">
        <f t="array" ref="B2349">SUMPRODUCT((Tablo3[Personel Ad]=A2349)*(Tablo3[Ürün Kar Tutarı]))</f>
        <v>0</v>
      </c>
      <c r="D2349" s="14"/>
      <c r="F2349" s="9" cm="1">
        <f t="array" ref="F2349">SUMPRODUCT((Tablo3[Şehirler]=E2349)*(Tablo3[Ürün Kar Tutarı]))</f>
        <v>0</v>
      </c>
      <c r="H2349" s="14"/>
      <c r="J2349" s="9" cm="1">
        <f t="array" ref="J2349">SUMPRODUCT((Tablo3[Urun Ad]=I2349)*(Tablo3[Ürün Kar Tutarı]))</f>
        <v>0</v>
      </c>
      <c r="L2349" s="37"/>
    </row>
    <row r="2350" spans="1:12" x14ac:dyDescent="0.25">
      <c r="A2350" s="13"/>
      <c r="B2350" s="9" cm="1">
        <f t="array" ref="B2350">SUMPRODUCT((Tablo3[Personel Ad]=A2350)*(Tablo3[Ürün Kar Tutarı]))</f>
        <v>0</v>
      </c>
      <c r="D2350" s="14"/>
      <c r="F2350" s="9" cm="1">
        <f t="array" ref="F2350">SUMPRODUCT((Tablo3[Şehirler]=E2350)*(Tablo3[Ürün Kar Tutarı]))</f>
        <v>0</v>
      </c>
      <c r="H2350" s="14"/>
      <c r="J2350" s="9" cm="1">
        <f t="array" ref="J2350">SUMPRODUCT((Tablo3[Urun Ad]=I2350)*(Tablo3[Ürün Kar Tutarı]))</f>
        <v>0</v>
      </c>
      <c r="L2350" s="37"/>
    </row>
    <row r="2351" spans="1:12" x14ac:dyDescent="0.25">
      <c r="A2351" s="13"/>
      <c r="B2351" s="9" cm="1">
        <f t="array" ref="B2351">SUMPRODUCT((Tablo3[Personel Ad]=A2351)*(Tablo3[Ürün Kar Tutarı]))</f>
        <v>0</v>
      </c>
      <c r="D2351" s="14"/>
      <c r="F2351" s="9" cm="1">
        <f t="array" ref="F2351">SUMPRODUCT((Tablo3[Şehirler]=E2351)*(Tablo3[Ürün Kar Tutarı]))</f>
        <v>0</v>
      </c>
      <c r="H2351" s="14"/>
      <c r="J2351" s="9" cm="1">
        <f t="array" ref="J2351">SUMPRODUCT((Tablo3[Urun Ad]=I2351)*(Tablo3[Ürün Kar Tutarı]))</f>
        <v>0</v>
      </c>
      <c r="L2351" s="37"/>
    </row>
    <row r="2352" spans="1:12" x14ac:dyDescent="0.25">
      <c r="A2352" s="13"/>
      <c r="B2352" s="9" cm="1">
        <f t="array" ref="B2352">SUMPRODUCT((Tablo3[Personel Ad]=A2352)*(Tablo3[Ürün Kar Tutarı]))</f>
        <v>0</v>
      </c>
      <c r="D2352" s="14"/>
      <c r="F2352" s="9" cm="1">
        <f t="array" ref="F2352">SUMPRODUCT((Tablo3[Şehirler]=E2352)*(Tablo3[Ürün Kar Tutarı]))</f>
        <v>0</v>
      </c>
      <c r="H2352" s="14"/>
      <c r="J2352" s="9" cm="1">
        <f t="array" ref="J2352">SUMPRODUCT((Tablo3[Urun Ad]=I2352)*(Tablo3[Ürün Kar Tutarı]))</f>
        <v>0</v>
      </c>
      <c r="L2352" s="37"/>
    </row>
    <row r="2353" spans="1:12" x14ac:dyDescent="0.25">
      <c r="A2353" s="13"/>
      <c r="B2353" s="9" cm="1">
        <f t="array" ref="B2353">SUMPRODUCT((Tablo3[Personel Ad]=A2353)*(Tablo3[Ürün Kar Tutarı]))</f>
        <v>0</v>
      </c>
      <c r="D2353" s="14"/>
      <c r="F2353" s="9" cm="1">
        <f t="array" ref="F2353">SUMPRODUCT((Tablo3[Şehirler]=E2353)*(Tablo3[Ürün Kar Tutarı]))</f>
        <v>0</v>
      </c>
      <c r="H2353" s="14"/>
      <c r="J2353" s="9" cm="1">
        <f t="array" ref="J2353">SUMPRODUCT((Tablo3[Urun Ad]=I2353)*(Tablo3[Ürün Kar Tutarı]))</f>
        <v>0</v>
      </c>
      <c r="L2353" s="37"/>
    </row>
    <row r="2354" spans="1:12" x14ac:dyDescent="0.25">
      <c r="A2354" s="13"/>
      <c r="B2354" s="9" cm="1">
        <f t="array" ref="B2354">SUMPRODUCT((Tablo3[Personel Ad]=A2354)*(Tablo3[Ürün Kar Tutarı]))</f>
        <v>0</v>
      </c>
      <c r="D2354" s="14"/>
      <c r="F2354" s="9" cm="1">
        <f t="array" ref="F2354">SUMPRODUCT((Tablo3[Şehirler]=E2354)*(Tablo3[Ürün Kar Tutarı]))</f>
        <v>0</v>
      </c>
      <c r="H2354" s="14"/>
      <c r="J2354" s="9" cm="1">
        <f t="array" ref="J2354">SUMPRODUCT((Tablo3[Urun Ad]=I2354)*(Tablo3[Ürün Kar Tutarı]))</f>
        <v>0</v>
      </c>
      <c r="L2354" s="37"/>
    </row>
    <row r="2355" spans="1:12" x14ac:dyDescent="0.25">
      <c r="A2355" s="13"/>
      <c r="B2355" s="9" cm="1">
        <f t="array" ref="B2355">SUMPRODUCT((Tablo3[Personel Ad]=A2355)*(Tablo3[Ürün Kar Tutarı]))</f>
        <v>0</v>
      </c>
      <c r="D2355" s="14"/>
      <c r="F2355" s="9" cm="1">
        <f t="array" ref="F2355">SUMPRODUCT((Tablo3[Şehirler]=E2355)*(Tablo3[Ürün Kar Tutarı]))</f>
        <v>0</v>
      </c>
      <c r="H2355" s="14"/>
      <c r="J2355" s="9" cm="1">
        <f t="array" ref="J2355">SUMPRODUCT((Tablo3[Urun Ad]=I2355)*(Tablo3[Ürün Kar Tutarı]))</f>
        <v>0</v>
      </c>
      <c r="L2355" s="37"/>
    </row>
    <row r="2356" spans="1:12" x14ac:dyDescent="0.25">
      <c r="A2356" s="13"/>
      <c r="B2356" s="9" cm="1">
        <f t="array" ref="B2356">SUMPRODUCT((Tablo3[Personel Ad]=A2356)*(Tablo3[Ürün Kar Tutarı]))</f>
        <v>0</v>
      </c>
      <c r="D2356" s="14"/>
      <c r="F2356" s="9" cm="1">
        <f t="array" ref="F2356">SUMPRODUCT((Tablo3[Şehirler]=E2356)*(Tablo3[Ürün Kar Tutarı]))</f>
        <v>0</v>
      </c>
      <c r="H2356" s="14"/>
      <c r="J2356" s="9" cm="1">
        <f t="array" ref="J2356">SUMPRODUCT((Tablo3[Urun Ad]=I2356)*(Tablo3[Ürün Kar Tutarı]))</f>
        <v>0</v>
      </c>
      <c r="L2356" s="37"/>
    </row>
    <row r="2357" spans="1:12" x14ac:dyDescent="0.25">
      <c r="A2357" s="13"/>
      <c r="B2357" s="9" cm="1">
        <f t="array" ref="B2357">SUMPRODUCT((Tablo3[Personel Ad]=A2357)*(Tablo3[Ürün Kar Tutarı]))</f>
        <v>0</v>
      </c>
      <c r="D2357" s="14"/>
      <c r="F2357" s="9" cm="1">
        <f t="array" ref="F2357">SUMPRODUCT((Tablo3[Şehirler]=E2357)*(Tablo3[Ürün Kar Tutarı]))</f>
        <v>0</v>
      </c>
      <c r="H2357" s="14"/>
      <c r="J2357" s="9" cm="1">
        <f t="array" ref="J2357">SUMPRODUCT((Tablo3[Urun Ad]=I2357)*(Tablo3[Ürün Kar Tutarı]))</f>
        <v>0</v>
      </c>
      <c r="L2357" s="37"/>
    </row>
    <row r="2358" spans="1:12" x14ac:dyDescent="0.25">
      <c r="A2358" s="13"/>
      <c r="B2358" s="9" cm="1">
        <f t="array" ref="B2358">SUMPRODUCT((Tablo3[Personel Ad]=A2358)*(Tablo3[Ürün Kar Tutarı]))</f>
        <v>0</v>
      </c>
      <c r="D2358" s="14"/>
      <c r="F2358" s="9" cm="1">
        <f t="array" ref="F2358">SUMPRODUCT((Tablo3[Şehirler]=E2358)*(Tablo3[Ürün Kar Tutarı]))</f>
        <v>0</v>
      </c>
      <c r="H2358" s="14"/>
      <c r="J2358" s="9" cm="1">
        <f t="array" ref="J2358">SUMPRODUCT((Tablo3[Urun Ad]=I2358)*(Tablo3[Ürün Kar Tutarı]))</f>
        <v>0</v>
      </c>
      <c r="L2358" s="37"/>
    </row>
    <row r="2359" spans="1:12" x14ac:dyDescent="0.25">
      <c r="A2359" s="13"/>
      <c r="B2359" s="9" cm="1">
        <f t="array" ref="B2359">SUMPRODUCT((Tablo3[Personel Ad]=A2359)*(Tablo3[Ürün Kar Tutarı]))</f>
        <v>0</v>
      </c>
      <c r="D2359" s="14"/>
      <c r="F2359" s="9" cm="1">
        <f t="array" ref="F2359">SUMPRODUCT((Tablo3[Şehirler]=E2359)*(Tablo3[Ürün Kar Tutarı]))</f>
        <v>0</v>
      </c>
      <c r="H2359" s="14"/>
      <c r="J2359" s="9" cm="1">
        <f t="array" ref="J2359">SUMPRODUCT((Tablo3[Urun Ad]=I2359)*(Tablo3[Ürün Kar Tutarı]))</f>
        <v>0</v>
      </c>
      <c r="L2359" s="37"/>
    </row>
    <row r="2360" spans="1:12" x14ac:dyDescent="0.25">
      <c r="A2360" s="13"/>
      <c r="B2360" s="9" cm="1">
        <f t="array" ref="B2360">SUMPRODUCT((Tablo3[Personel Ad]=A2360)*(Tablo3[Ürün Kar Tutarı]))</f>
        <v>0</v>
      </c>
      <c r="D2360" s="14"/>
      <c r="F2360" s="9" cm="1">
        <f t="array" ref="F2360">SUMPRODUCT((Tablo3[Şehirler]=E2360)*(Tablo3[Ürün Kar Tutarı]))</f>
        <v>0</v>
      </c>
      <c r="H2360" s="14"/>
      <c r="J2360" s="9" cm="1">
        <f t="array" ref="J2360">SUMPRODUCT((Tablo3[Urun Ad]=I2360)*(Tablo3[Ürün Kar Tutarı]))</f>
        <v>0</v>
      </c>
      <c r="L2360" s="37"/>
    </row>
    <row r="2361" spans="1:12" x14ac:dyDescent="0.25">
      <c r="A2361" s="13"/>
      <c r="B2361" s="9" cm="1">
        <f t="array" ref="B2361">SUMPRODUCT((Tablo3[Personel Ad]=A2361)*(Tablo3[Ürün Kar Tutarı]))</f>
        <v>0</v>
      </c>
      <c r="D2361" s="14"/>
      <c r="F2361" s="9" cm="1">
        <f t="array" ref="F2361">SUMPRODUCT((Tablo3[Şehirler]=E2361)*(Tablo3[Ürün Kar Tutarı]))</f>
        <v>0</v>
      </c>
      <c r="H2361" s="14"/>
      <c r="J2361" s="9" cm="1">
        <f t="array" ref="J2361">SUMPRODUCT((Tablo3[Urun Ad]=I2361)*(Tablo3[Ürün Kar Tutarı]))</f>
        <v>0</v>
      </c>
      <c r="L2361" s="37"/>
    </row>
    <row r="2362" spans="1:12" x14ac:dyDescent="0.25">
      <c r="A2362" s="13"/>
      <c r="B2362" s="9" cm="1">
        <f t="array" ref="B2362">SUMPRODUCT((Tablo3[Personel Ad]=A2362)*(Tablo3[Ürün Kar Tutarı]))</f>
        <v>0</v>
      </c>
      <c r="D2362" s="14"/>
      <c r="F2362" s="9" cm="1">
        <f t="array" ref="F2362">SUMPRODUCT((Tablo3[Şehirler]=E2362)*(Tablo3[Ürün Kar Tutarı]))</f>
        <v>0</v>
      </c>
      <c r="H2362" s="14"/>
      <c r="J2362" s="9" cm="1">
        <f t="array" ref="J2362">SUMPRODUCT((Tablo3[Urun Ad]=I2362)*(Tablo3[Ürün Kar Tutarı]))</f>
        <v>0</v>
      </c>
      <c r="L2362" s="37"/>
    </row>
    <row r="2363" spans="1:12" x14ac:dyDescent="0.25">
      <c r="A2363" s="13"/>
      <c r="B2363" s="9" cm="1">
        <f t="array" ref="B2363">SUMPRODUCT((Tablo3[Personel Ad]=A2363)*(Tablo3[Ürün Kar Tutarı]))</f>
        <v>0</v>
      </c>
      <c r="D2363" s="14"/>
      <c r="F2363" s="9" cm="1">
        <f t="array" ref="F2363">SUMPRODUCT((Tablo3[Şehirler]=E2363)*(Tablo3[Ürün Kar Tutarı]))</f>
        <v>0</v>
      </c>
      <c r="H2363" s="14"/>
      <c r="J2363" s="9" cm="1">
        <f t="array" ref="J2363">SUMPRODUCT((Tablo3[Urun Ad]=I2363)*(Tablo3[Ürün Kar Tutarı]))</f>
        <v>0</v>
      </c>
      <c r="L2363" s="37"/>
    </row>
    <row r="2364" spans="1:12" x14ac:dyDescent="0.25">
      <c r="A2364" s="13"/>
      <c r="B2364" s="9" cm="1">
        <f t="array" ref="B2364">SUMPRODUCT((Tablo3[Personel Ad]=A2364)*(Tablo3[Ürün Kar Tutarı]))</f>
        <v>0</v>
      </c>
      <c r="D2364" s="14"/>
      <c r="F2364" s="9" cm="1">
        <f t="array" ref="F2364">SUMPRODUCT((Tablo3[Şehirler]=E2364)*(Tablo3[Ürün Kar Tutarı]))</f>
        <v>0</v>
      </c>
      <c r="H2364" s="14"/>
      <c r="J2364" s="9" cm="1">
        <f t="array" ref="J2364">SUMPRODUCT((Tablo3[Urun Ad]=I2364)*(Tablo3[Ürün Kar Tutarı]))</f>
        <v>0</v>
      </c>
      <c r="L2364" s="37"/>
    </row>
    <row r="2365" spans="1:12" x14ac:dyDescent="0.25">
      <c r="A2365" s="13"/>
      <c r="B2365" s="9" cm="1">
        <f t="array" ref="B2365">SUMPRODUCT((Tablo3[Personel Ad]=A2365)*(Tablo3[Ürün Kar Tutarı]))</f>
        <v>0</v>
      </c>
      <c r="D2365" s="14"/>
      <c r="F2365" s="9" cm="1">
        <f t="array" ref="F2365">SUMPRODUCT((Tablo3[Şehirler]=E2365)*(Tablo3[Ürün Kar Tutarı]))</f>
        <v>0</v>
      </c>
      <c r="H2365" s="14"/>
      <c r="J2365" s="9" cm="1">
        <f t="array" ref="J2365">SUMPRODUCT((Tablo3[Urun Ad]=I2365)*(Tablo3[Ürün Kar Tutarı]))</f>
        <v>0</v>
      </c>
      <c r="L2365" s="37"/>
    </row>
    <row r="2366" spans="1:12" x14ac:dyDescent="0.25">
      <c r="A2366" s="13"/>
      <c r="B2366" s="9" cm="1">
        <f t="array" ref="B2366">SUMPRODUCT((Tablo3[Personel Ad]=A2366)*(Tablo3[Ürün Kar Tutarı]))</f>
        <v>0</v>
      </c>
      <c r="D2366" s="14"/>
      <c r="F2366" s="9" cm="1">
        <f t="array" ref="F2366">SUMPRODUCT((Tablo3[Şehirler]=E2366)*(Tablo3[Ürün Kar Tutarı]))</f>
        <v>0</v>
      </c>
      <c r="H2366" s="14"/>
      <c r="J2366" s="9" cm="1">
        <f t="array" ref="J2366">SUMPRODUCT((Tablo3[Urun Ad]=I2366)*(Tablo3[Ürün Kar Tutarı]))</f>
        <v>0</v>
      </c>
      <c r="L2366" s="37"/>
    </row>
    <row r="2367" spans="1:12" x14ac:dyDescent="0.25">
      <c r="A2367" s="13"/>
      <c r="B2367" s="9" cm="1">
        <f t="array" ref="B2367">SUMPRODUCT((Tablo3[Personel Ad]=A2367)*(Tablo3[Ürün Kar Tutarı]))</f>
        <v>0</v>
      </c>
      <c r="D2367" s="14"/>
      <c r="F2367" s="9" cm="1">
        <f t="array" ref="F2367">SUMPRODUCT((Tablo3[Şehirler]=E2367)*(Tablo3[Ürün Kar Tutarı]))</f>
        <v>0</v>
      </c>
      <c r="H2367" s="14"/>
      <c r="J2367" s="9" cm="1">
        <f t="array" ref="J2367">SUMPRODUCT((Tablo3[Urun Ad]=I2367)*(Tablo3[Ürün Kar Tutarı]))</f>
        <v>0</v>
      </c>
      <c r="L2367" s="37"/>
    </row>
    <row r="2368" spans="1:12" x14ac:dyDescent="0.25">
      <c r="A2368" s="13"/>
      <c r="B2368" s="9" cm="1">
        <f t="array" ref="B2368">SUMPRODUCT((Tablo3[Personel Ad]=A2368)*(Tablo3[Ürün Kar Tutarı]))</f>
        <v>0</v>
      </c>
      <c r="D2368" s="14"/>
      <c r="F2368" s="9" cm="1">
        <f t="array" ref="F2368">SUMPRODUCT((Tablo3[Şehirler]=E2368)*(Tablo3[Ürün Kar Tutarı]))</f>
        <v>0</v>
      </c>
      <c r="H2368" s="14"/>
      <c r="J2368" s="9" cm="1">
        <f t="array" ref="J2368">SUMPRODUCT((Tablo3[Urun Ad]=I2368)*(Tablo3[Ürün Kar Tutarı]))</f>
        <v>0</v>
      </c>
      <c r="L2368" s="37"/>
    </row>
    <row r="2369" spans="1:12" x14ac:dyDescent="0.25">
      <c r="A2369" s="13"/>
      <c r="B2369" s="9" cm="1">
        <f t="array" ref="B2369">SUMPRODUCT((Tablo3[Personel Ad]=A2369)*(Tablo3[Ürün Kar Tutarı]))</f>
        <v>0</v>
      </c>
      <c r="D2369" s="14"/>
      <c r="F2369" s="9" cm="1">
        <f t="array" ref="F2369">SUMPRODUCT((Tablo3[Şehirler]=E2369)*(Tablo3[Ürün Kar Tutarı]))</f>
        <v>0</v>
      </c>
      <c r="H2369" s="14"/>
      <c r="J2369" s="9" cm="1">
        <f t="array" ref="J2369">SUMPRODUCT((Tablo3[Urun Ad]=I2369)*(Tablo3[Ürün Kar Tutarı]))</f>
        <v>0</v>
      </c>
      <c r="L2369" s="37"/>
    </row>
    <row r="2370" spans="1:12" x14ac:dyDescent="0.25">
      <c r="A2370" s="13"/>
      <c r="B2370" s="9" cm="1">
        <f t="array" ref="B2370">SUMPRODUCT((Tablo3[Personel Ad]=A2370)*(Tablo3[Ürün Kar Tutarı]))</f>
        <v>0</v>
      </c>
      <c r="D2370" s="14"/>
      <c r="F2370" s="9" cm="1">
        <f t="array" ref="F2370">SUMPRODUCT((Tablo3[Şehirler]=E2370)*(Tablo3[Ürün Kar Tutarı]))</f>
        <v>0</v>
      </c>
      <c r="H2370" s="14"/>
      <c r="J2370" s="9" cm="1">
        <f t="array" ref="J2370">SUMPRODUCT((Tablo3[Urun Ad]=I2370)*(Tablo3[Ürün Kar Tutarı]))</f>
        <v>0</v>
      </c>
      <c r="L2370" s="37"/>
    </row>
    <row r="2371" spans="1:12" x14ac:dyDescent="0.25">
      <c r="A2371" s="13"/>
      <c r="B2371" s="9" cm="1">
        <f t="array" ref="B2371">SUMPRODUCT((Tablo3[Personel Ad]=A2371)*(Tablo3[Ürün Kar Tutarı]))</f>
        <v>0</v>
      </c>
      <c r="D2371" s="14"/>
      <c r="F2371" s="9" cm="1">
        <f t="array" ref="F2371">SUMPRODUCT((Tablo3[Şehirler]=E2371)*(Tablo3[Ürün Kar Tutarı]))</f>
        <v>0</v>
      </c>
      <c r="H2371" s="14"/>
      <c r="J2371" s="9" cm="1">
        <f t="array" ref="J2371">SUMPRODUCT((Tablo3[Urun Ad]=I2371)*(Tablo3[Ürün Kar Tutarı]))</f>
        <v>0</v>
      </c>
      <c r="L2371" s="37"/>
    </row>
    <row r="2372" spans="1:12" x14ac:dyDescent="0.25">
      <c r="A2372" s="13"/>
      <c r="B2372" s="9" cm="1">
        <f t="array" ref="B2372">SUMPRODUCT((Tablo3[Personel Ad]=A2372)*(Tablo3[Ürün Kar Tutarı]))</f>
        <v>0</v>
      </c>
      <c r="D2372" s="14"/>
      <c r="F2372" s="9" cm="1">
        <f t="array" ref="F2372">SUMPRODUCT((Tablo3[Şehirler]=E2372)*(Tablo3[Ürün Kar Tutarı]))</f>
        <v>0</v>
      </c>
      <c r="H2372" s="14"/>
      <c r="J2372" s="9" cm="1">
        <f t="array" ref="J2372">SUMPRODUCT((Tablo3[Urun Ad]=I2372)*(Tablo3[Ürün Kar Tutarı]))</f>
        <v>0</v>
      </c>
      <c r="L2372" s="37"/>
    </row>
    <row r="2373" spans="1:12" x14ac:dyDescent="0.25">
      <c r="A2373" s="13"/>
      <c r="B2373" s="9" cm="1">
        <f t="array" ref="B2373">SUMPRODUCT((Tablo3[Personel Ad]=A2373)*(Tablo3[Ürün Kar Tutarı]))</f>
        <v>0</v>
      </c>
      <c r="D2373" s="14"/>
      <c r="F2373" s="9" cm="1">
        <f t="array" ref="F2373">SUMPRODUCT((Tablo3[Şehirler]=E2373)*(Tablo3[Ürün Kar Tutarı]))</f>
        <v>0</v>
      </c>
      <c r="H2373" s="14"/>
      <c r="J2373" s="9" cm="1">
        <f t="array" ref="J2373">SUMPRODUCT((Tablo3[Urun Ad]=I2373)*(Tablo3[Ürün Kar Tutarı]))</f>
        <v>0</v>
      </c>
      <c r="L2373" s="37"/>
    </row>
    <row r="2374" spans="1:12" x14ac:dyDescent="0.25">
      <c r="A2374" s="13"/>
      <c r="B2374" s="9" cm="1">
        <f t="array" ref="B2374">SUMPRODUCT((Tablo3[Personel Ad]=A2374)*(Tablo3[Ürün Kar Tutarı]))</f>
        <v>0</v>
      </c>
      <c r="D2374" s="14"/>
      <c r="F2374" s="9" cm="1">
        <f t="array" ref="F2374">SUMPRODUCT((Tablo3[Şehirler]=E2374)*(Tablo3[Ürün Kar Tutarı]))</f>
        <v>0</v>
      </c>
      <c r="H2374" s="14"/>
      <c r="J2374" s="9" cm="1">
        <f t="array" ref="J2374">SUMPRODUCT((Tablo3[Urun Ad]=I2374)*(Tablo3[Ürün Kar Tutarı]))</f>
        <v>0</v>
      </c>
      <c r="L2374" s="37"/>
    </row>
    <row r="2375" spans="1:12" x14ac:dyDescent="0.25">
      <c r="A2375" s="13"/>
      <c r="B2375" s="9" cm="1">
        <f t="array" ref="B2375">SUMPRODUCT((Tablo3[Personel Ad]=A2375)*(Tablo3[Ürün Kar Tutarı]))</f>
        <v>0</v>
      </c>
      <c r="D2375" s="14"/>
      <c r="F2375" s="9" cm="1">
        <f t="array" ref="F2375">SUMPRODUCT((Tablo3[Şehirler]=E2375)*(Tablo3[Ürün Kar Tutarı]))</f>
        <v>0</v>
      </c>
      <c r="H2375" s="14"/>
      <c r="J2375" s="9" cm="1">
        <f t="array" ref="J2375">SUMPRODUCT((Tablo3[Urun Ad]=I2375)*(Tablo3[Ürün Kar Tutarı]))</f>
        <v>0</v>
      </c>
      <c r="L2375" s="37"/>
    </row>
    <row r="2376" spans="1:12" x14ac:dyDescent="0.25">
      <c r="A2376" s="13"/>
      <c r="B2376" s="9" cm="1">
        <f t="array" ref="B2376">SUMPRODUCT((Tablo3[Personel Ad]=A2376)*(Tablo3[Ürün Kar Tutarı]))</f>
        <v>0</v>
      </c>
      <c r="D2376" s="14"/>
      <c r="F2376" s="9" cm="1">
        <f t="array" ref="F2376">SUMPRODUCT((Tablo3[Şehirler]=E2376)*(Tablo3[Ürün Kar Tutarı]))</f>
        <v>0</v>
      </c>
      <c r="H2376" s="14"/>
      <c r="J2376" s="9" cm="1">
        <f t="array" ref="J2376">SUMPRODUCT((Tablo3[Urun Ad]=I2376)*(Tablo3[Ürün Kar Tutarı]))</f>
        <v>0</v>
      </c>
      <c r="L2376" s="37"/>
    </row>
    <row r="2377" spans="1:12" x14ac:dyDescent="0.25">
      <c r="A2377" s="13"/>
      <c r="B2377" s="9" cm="1">
        <f t="array" ref="B2377">SUMPRODUCT((Tablo3[Personel Ad]=A2377)*(Tablo3[Ürün Kar Tutarı]))</f>
        <v>0</v>
      </c>
      <c r="D2377" s="14"/>
      <c r="F2377" s="9" cm="1">
        <f t="array" ref="F2377">SUMPRODUCT((Tablo3[Şehirler]=E2377)*(Tablo3[Ürün Kar Tutarı]))</f>
        <v>0</v>
      </c>
      <c r="H2377" s="14"/>
      <c r="J2377" s="9" cm="1">
        <f t="array" ref="J2377">SUMPRODUCT((Tablo3[Urun Ad]=I2377)*(Tablo3[Ürün Kar Tutarı]))</f>
        <v>0</v>
      </c>
      <c r="L2377" s="37"/>
    </row>
    <row r="2378" spans="1:12" x14ac:dyDescent="0.25">
      <c r="A2378" s="13"/>
      <c r="B2378" s="9" cm="1">
        <f t="array" ref="B2378">SUMPRODUCT((Tablo3[Personel Ad]=A2378)*(Tablo3[Ürün Kar Tutarı]))</f>
        <v>0</v>
      </c>
      <c r="D2378" s="14"/>
      <c r="F2378" s="9" cm="1">
        <f t="array" ref="F2378">SUMPRODUCT((Tablo3[Şehirler]=E2378)*(Tablo3[Ürün Kar Tutarı]))</f>
        <v>0</v>
      </c>
      <c r="H2378" s="14"/>
      <c r="J2378" s="9" cm="1">
        <f t="array" ref="J2378">SUMPRODUCT((Tablo3[Urun Ad]=I2378)*(Tablo3[Ürün Kar Tutarı]))</f>
        <v>0</v>
      </c>
      <c r="L2378" s="37"/>
    </row>
    <row r="2379" spans="1:12" x14ac:dyDescent="0.25">
      <c r="A2379" s="13"/>
      <c r="B2379" s="9" cm="1">
        <f t="array" ref="B2379">SUMPRODUCT((Tablo3[Personel Ad]=A2379)*(Tablo3[Ürün Kar Tutarı]))</f>
        <v>0</v>
      </c>
      <c r="D2379" s="14"/>
      <c r="F2379" s="9" cm="1">
        <f t="array" ref="F2379">SUMPRODUCT((Tablo3[Şehirler]=E2379)*(Tablo3[Ürün Kar Tutarı]))</f>
        <v>0</v>
      </c>
      <c r="H2379" s="14"/>
      <c r="J2379" s="9" cm="1">
        <f t="array" ref="J2379">SUMPRODUCT((Tablo3[Urun Ad]=I2379)*(Tablo3[Ürün Kar Tutarı]))</f>
        <v>0</v>
      </c>
      <c r="L2379" s="37"/>
    </row>
    <row r="2380" spans="1:12" x14ac:dyDescent="0.25">
      <c r="A2380" s="13"/>
      <c r="B2380" s="9" cm="1">
        <f t="array" ref="B2380">SUMPRODUCT((Tablo3[Personel Ad]=A2380)*(Tablo3[Ürün Kar Tutarı]))</f>
        <v>0</v>
      </c>
      <c r="D2380" s="14"/>
      <c r="F2380" s="9" cm="1">
        <f t="array" ref="F2380">SUMPRODUCT((Tablo3[Şehirler]=E2380)*(Tablo3[Ürün Kar Tutarı]))</f>
        <v>0</v>
      </c>
      <c r="H2380" s="14"/>
      <c r="J2380" s="9" cm="1">
        <f t="array" ref="J2380">SUMPRODUCT((Tablo3[Urun Ad]=I2380)*(Tablo3[Ürün Kar Tutarı]))</f>
        <v>0</v>
      </c>
      <c r="L2380" s="37"/>
    </row>
    <row r="2381" spans="1:12" x14ac:dyDescent="0.25">
      <c r="A2381" s="13"/>
      <c r="B2381" s="9" cm="1">
        <f t="array" ref="B2381">SUMPRODUCT((Tablo3[Personel Ad]=A2381)*(Tablo3[Ürün Kar Tutarı]))</f>
        <v>0</v>
      </c>
      <c r="D2381" s="14"/>
      <c r="F2381" s="9" cm="1">
        <f t="array" ref="F2381">SUMPRODUCT((Tablo3[Şehirler]=E2381)*(Tablo3[Ürün Kar Tutarı]))</f>
        <v>0</v>
      </c>
      <c r="H2381" s="14"/>
      <c r="J2381" s="9" cm="1">
        <f t="array" ref="J2381">SUMPRODUCT((Tablo3[Urun Ad]=I2381)*(Tablo3[Ürün Kar Tutarı]))</f>
        <v>0</v>
      </c>
      <c r="L2381" s="37"/>
    </row>
    <row r="2382" spans="1:12" x14ac:dyDescent="0.25">
      <c r="A2382" s="13"/>
      <c r="B2382" s="9" cm="1">
        <f t="array" ref="B2382">SUMPRODUCT((Tablo3[Personel Ad]=A2382)*(Tablo3[Ürün Kar Tutarı]))</f>
        <v>0</v>
      </c>
      <c r="D2382" s="14"/>
      <c r="F2382" s="9" cm="1">
        <f t="array" ref="F2382">SUMPRODUCT((Tablo3[Şehirler]=E2382)*(Tablo3[Ürün Kar Tutarı]))</f>
        <v>0</v>
      </c>
      <c r="H2382" s="14"/>
      <c r="J2382" s="9" cm="1">
        <f t="array" ref="J2382">SUMPRODUCT((Tablo3[Urun Ad]=I2382)*(Tablo3[Ürün Kar Tutarı]))</f>
        <v>0</v>
      </c>
      <c r="L2382" s="37"/>
    </row>
    <row r="2383" spans="1:12" x14ac:dyDescent="0.25">
      <c r="A2383" s="13"/>
      <c r="B2383" s="9" cm="1">
        <f t="array" ref="B2383">SUMPRODUCT((Tablo3[Personel Ad]=A2383)*(Tablo3[Ürün Kar Tutarı]))</f>
        <v>0</v>
      </c>
      <c r="D2383" s="14"/>
      <c r="F2383" s="9" cm="1">
        <f t="array" ref="F2383">SUMPRODUCT((Tablo3[Şehirler]=E2383)*(Tablo3[Ürün Kar Tutarı]))</f>
        <v>0</v>
      </c>
      <c r="H2383" s="14"/>
      <c r="J2383" s="9" cm="1">
        <f t="array" ref="J2383">SUMPRODUCT((Tablo3[Urun Ad]=I2383)*(Tablo3[Ürün Kar Tutarı]))</f>
        <v>0</v>
      </c>
      <c r="L2383" s="37"/>
    </row>
    <row r="2384" spans="1:12" x14ac:dyDescent="0.25">
      <c r="A2384" s="13"/>
      <c r="B2384" s="9" cm="1">
        <f t="array" ref="B2384">SUMPRODUCT((Tablo3[Personel Ad]=A2384)*(Tablo3[Ürün Kar Tutarı]))</f>
        <v>0</v>
      </c>
      <c r="D2384" s="14"/>
      <c r="F2384" s="9" cm="1">
        <f t="array" ref="F2384">SUMPRODUCT((Tablo3[Şehirler]=E2384)*(Tablo3[Ürün Kar Tutarı]))</f>
        <v>0</v>
      </c>
      <c r="H2384" s="14"/>
      <c r="J2384" s="9" cm="1">
        <f t="array" ref="J2384">SUMPRODUCT((Tablo3[Urun Ad]=I2384)*(Tablo3[Ürün Kar Tutarı]))</f>
        <v>0</v>
      </c>
      <c r="L2384" s="37"/>
    </row>
    <row r="2385" spans="1:12" x14ac:dyDescent="0.25">
      <c r="A2385" s="13"/>
      <c r="B2385" s="9" cm="1">
        <f t="array" ref="B2385">SUMPRODUCT((Tablo3[Personel Ad]=A2385)*(Tablo3[Ürün Kar Tutarı]))</f>
        <v>0</v>
      </c>
      <c r="D2385" s="14"/>
      <c r="F2385" s="9" cm="1">
        <f t="array" ref="F2385">SUMPRODUCT((Tablo3[Şehirler]=E2385)*(Tablo3[Ürün Kar Tutarı]))</f>
        <v>0</v>
      </c>
      <c r="H2385" s="14"/>
      <c r="J2385" s="9" cm="1">
        <f t="array" ref="J2385">SUMPRODUCT((Tablo3[Urun Ad]=I2385)*(Tablo3[Ürün Kar Tutarı]))</f>
        <v>0</v>
      </c>
      <c r="L2385" s="37"/>
    </row>
    <row r="2386" spans="1:12" x14ac:dyDescent="0.25">
      <c r="A2386" s="13"/>
      <c r="B2386" s="9" cm="1">
        <f t="array" ref="B2386">SUMPRODUCT((Tablo3[Personel Ad]=A2386)*(Tablo3[Ürün Kar Tutarı]))</f>
        <v>0</v>
      </c>
      <c r="D2386" s="14"/>
      <c r="F2386" s="9" cm="1">
        <f t="array" ref="F2386">SUMPRODUCT((Tablo3[Şehirler]=E2386)*(Tablo3[Ürün Kar Tutarı]))</f>
        <v>0</v>
      </c>
      <c r="H2386" s="14"/>
      <c r="J2386" s="9" cm="1">
        <f t="array" ref="J2386">SUMPRODUCT((Tablo3[Urun Ad]=I2386)*(Tablo3[Ürün Kar Tutarı]))</f>
        <v>0</v>
      </c>
      <c r="L2386" s="37"/>
    </row>
    <row r="2387" spans="1:12" x14ac:dyDescent="0.25">
      <c r="A2387" s="13"/>
      <c r="B2387" s="9" cm="1">
        <f t="array" ref="B2387">SUMPRODUCT((Tablo3[Personel Ad]=A2387)*(Tablo3[Ürün Kar Tutarı]))</f>
        <v>0</v>
      </c>
      <c r="D2387" s="14"/>
      <c r="F2387" s="9" cm="1">
        <f t="array" ref="F2387">SUMPRODUCT((Tablo3[Şehirler]=E2387)*(Tablo3[Ürün Kar Tutarı]))</f>
        <v>0</v>
      </c>
      <c r="H2387" s="14"/>
      <c r="J2387" s="9" cm="1">
        <f t="array" ref="J2387">SUMPRODUCT((Tablo3[Urun Ad]=I2387)*(Tablo3[Ürün Kar Tutarı]))</f>
        <v>0</v>
      </c>
      <c r="L2387" s="37"/>
    </row>
    <row r="2388" spans="1:12" x14ac:dyDescent="0.25">
      <c r="A2388" s="13"/>
      <c r="B2388" s="9" cm="1">
        <f t="array" ref="B2388">SUMPRODUCT((Tablo3[Personel Ad]=A2388)*(Tablo3[Ürün Kar Tutarı]))</f>
        <v>0</v>
      </c>
      <c r="D2388" s="14"/>
      <c r="F2388" s="9" cm="1">
        <f t="array" ref="F2388">SUMPRODUCT((Tablo3[Şehirler]=E2388)*(Tablo3[Ürün Kar Tutarı]))</f>
        <v>0</v>
      </c>
      <c r="H2388" s="14"/>
      <c r="J2388" s="9" cm="1">
        <f t="array" ref="J2388">SUMPRODUCT((Tablo3[Urun Ad]=I2388)*(Tablo3[Ürün Kar Tutarı]))</f>
        <v>0</v>
      </c>
      <c r="L2388" s="37"/>
    </row>
    <row r="2389" spans="1:12" x14ac:dyDescent="0.25">
      <c r="A2389" s="13"/>
      <c r="B2389" s="9" cm="1">
        <f t="array" ref="B2389">SUMPRODUCT((Tablo3[Personel Ad]=A2389)*(Tablo3[Ürün Kar Tutarı]))</f>
        <v>0</v>
      </c>
      <c r="D2389" s="14"/>
      <c r="F2389" s="9" cm="1">
        <f t="array" ref="F2389">SUMPRODUCT((Tablo3[Şehirler]=E2389)*(Tablo3[Ürün Kar Tutarı]))</f>
        <v>0</v>
      </c>
      <c r="H2389" s="14"/>
      <c r="J2389" s="9" cm="1">
        <f t="array" ref="J2389">SUMPRODUCT((Tablo3[Urun Ad]=I2389)*(Tablo3[Ürün Kar Tutarı]))</f>
        <v>0</v>
      </c>
      <c r="L2389" s="37"/>
    </row>
    <row r="2390" spans="1:12" x14ac:dyDescent="0.25">
      <c r="A2390" s="13"/>
      <c r="B2390" s="9" cm="1">
        <f t="array" ref="B2390">SUMPRODUCT((Tablo3[Personel Ad]=A2390)*(Tablo3[Ürün Kar Tutarı]))</f>
        <v>0</v>
      </c>
      <c r="D2390" s="14"/>
      <c r="F2390" s="9" cm="1">
        <f t="array" ref="F2390">SUMPRODUCT((Tablo3[Şehirler]=E2390)*(Tablo3[Ürün Kar Tutarı]))</f>
        <v>0</v>
      </c>
      <c r="H2390" s="14"/>
      <c r="J2390" s="9" cm="1">
        <f t="array" ref="J2390">SUMPRODUCT((Tablo3[Urun Ad]=I2390)*(Tablo3[Ürün Kar Tutarı]))</f>
        <v>0</v>
      </c>
      <c r="L2390" s="37"/>
    </row>
    <row r="2391" spans="1:12" x14ac:dyDescent="0.25">
      <c r="A2391" s="13"/>
      <c r="B2391" s="9" cm="1">
        <f t="array" ref="B2391">SUMPRODUCT((Tablo3[Personel Ad]=A2391)*(Tablo3[Ürün Kar Tutarı]))</f>
        <v>0</v>
      </c>
      <c r="D2391" s="14"/>
      <c r="F2391" s="9" cm="1">
        <f t="array" ref="F2391">SUMPRODUCT((Tablo3[Şehirler]=E2391)*(Tablo3[Ürün Kar Tutarı]))</f>
        <v>0</v>
      </c>
      <c r="H2391" s="14"/>
      <c r="J2391" s="9" cm="1">
        <f t="array" ref="J2391">SUMPRODUCT((Tablo3[Urun Ad]=I2391)*(Tablo3[Ürün Kar Tutarı]))</f>
        <v>0</v>
      </c>
      <c r="L2391" s="37"/>
    </row>
    <row r="2392" spans="1:12" x14ac:dyDescent="0.25">
      <c r="A2392" s="13"/>
      <c r="B2392" s="9" cm="1">
        <f t="array" ref="B2392">SUMPRODUCT((Tablo3[Personel Ad]=A2392)*(Tablo3[Ürün Kar Tutarı]))</f>
        <v>0</v>
      </c>
      <c r="D2392" s="14"/>
      <c r="F2392" s="9" cm="1">
        <f t="array" ref="F2392">SUMPRODUCT((Tablo3[Şehirler]=E2392)*(Tablo3[Ürün Kar Tutarı]))</f>
        <v>0</v>
      </c>
      <c r="H2392" s="14"/>
      <c r="J2392" s="9" cm="1">
        <f t="array" ref="J2392">SUMPRODUCT((Tablo3[Urun Ad]=I2392)*(Tablo3[Ürün Kar Tutarı]))</f>
        <v>0</v>
      </c>
      <c r="L2392" s="37"/>
    </row>
    <row r="2393" spans="1:12" x14ac:dyDescent="0.25">
      <c r="A2393" s="13"/>
      <c r="B2393" s="9" cm="1">
        <f t="array" ref="B2393">SUMPRODUCT((Tablo3[Personel Ad]=A2393)*(Tablo3[Ürün Kar Tutarı]))</f>
        <v>0</v>
      </c>
      <c r="D2393" s="14"/>
      <c r="F2393" s="9" cm="1">
        <f t="array" ref="F2393">SUMPRODUCT((Tablo3[Şehirler]=E2393)*(Tablo3[Ürün Kar Tutarı]))</f>
        <v>0</v>
      </c>
      <c r="H2393" s="14"/>
      <c r="J2393" s="9" cm="1">
        <f t="array" ref="J2393">SUMPRODUCT((Tablo3[Urun Ad]=I2393)*(Tablo3[Ürün Kar Tutarı]))</f>
        <v>0</v>
      </c>
      <c r="L2393" s="37"/>
    </row>
    <row r="2394" spans="1:12" x14ac:dyDescent="0.25">
      <c r="A2394" s="13"/>
      <c r="B2394" s="9" cm="1">
        <f t="array" ref="B2394">SUMPRODUCT((Tablo3[Personel Ad]=A2394)*(Tablo3[Ürün Kar Tutarı]))</f>
        <v>0</v>
      </c>
      <c r="D2394" s="14"/>
      <c r="F2394" s="9" cm="1">
        <f t="array" ref="F2394">SUMPRODUCT((Tablo3[Şehirler]=E2394)*(Tablo3[Ürün Kar Tutarı]))</f>
        <v>0</v>
      </c>
      <c r="H2394" s="14"/>
      <c r="J2394" s="9" cm="1">
        <f t="array" ref="J2394">SUMPRODUCT((Tablo3[Urun Ad]=I2394)*(Tablo3[Ürün Kar Tutarı]))</f>
        <v>0</v>
      </c>
      <c r="L2394" s="37"/>
    </row>
    <row r="2395" spans="1:12" x14ac:dyDescent="0.25">
      <c r="A2395" s="13"/>
      <c r="B2395" s="9" cm="1">
        <f t="array" ref="B2395">SUMPRODUCT((Tablo3[Personel Ad]=A2395)*(Tablo3[Ürün Kar Tutarı]))</f>
        <v>0</v>
      </c>
      <c r="D2395" s="14"/>
      <c r="F2395" s="9" cm="1">
        <f t="array" ref="F2395">SUMPRODUCT((Tablo3[Şehirler]=E2395)*(Tablo3[Ürün Kar Tutarı]))</f>
        <v>0</v>
      </c>
      <c r="H2395" s="14"/>
      <c r="J2395" s="9" cm="1">
        <f t="array" ref="J2395">SUMPRODUCT((Tablo3[Urun Ad]=I2395)*(Tablo3[Ürün Kar Tutarı]))</f>
        <v>0</v>
      </c>
      <c r="L2395" s="37"/>
    </row>
    <row r="2396" spans="1:12" x14ac:dyDescent="0.25">
      <c r="A2396" s="13"/>
      <c r="B2396" s="9" cm="1">
        <f t="array" ref="B2396">SUMPRODUCT((Tablo3[Personel Ad]=A2396)*(Tablo3[Ürün Kar Tutarı]))</f>
        <v>0</v>
      </c>
      <c r="D2396" s="14"/>
      <c r="F2396" s="9" cm="1">
        <f t="array" ref="F2396">SUMPRODUCT((Tablo3[Şehirler]=E2396)*(Tablo3[Ürün Kar Tutarı]))</f>
        <v>0</v>
      </c>
      <c r="H2396" s="14"/>
      <c r="J2396" s="9" cm="1">
        <f t="array" ref="J2396">SUMPRODUCT((Tablo3[Urun Ad]=I2396)*(Tablo3[Ürün Kar Tutarı]))</f>
        <v>0</v>
      </c>
      <c r="L2396" s="37"/>
    </row>
    <row r="2397" spans="1:12" x14ac:dyDescent="0.25">
      <c r="A2397" s="13"/>
      <c r="B2397" s="9" cm="1">
        <f t="array" ref="B2397">SUMPRODUCT((Tablo3[Personel Ad]=A2397)*(Tablo3[Ürün Kar Tutarı]))</f>
        <v>0</v>
      </c>
      <c r="D2397" s="14"/>
      <c r="F2397" s="9" cm="1">
        <f t="array" ref="F2397">SUMPRODUCT((Tablo3[Şehirler]=E2397)*(Tablo3[Ürün Kar Tutarı]))</f>
        <v>0</v>
      </c>
      <c r="H2397" s="14"/>
      <c r="J2397" s="9" cm="1">
        <f t="array" ref="J2397">SUMPRODUCT((Tablo3[Urun Ad]=I2397)*(Tablo3[Ürün Kar Tutarı]))</f>
        <v>0</v>
      </c>
      <c r="L2397" s="37"/>
    </row>
    <row r="2398" spans="1:12" x14ac:dyDescent="0.25">
      <c r="A2398" s="13"/>
      <c r="B2398" s="9" cm="1">
        <f t="array" ref="B2398">SUMPRODUCT((Tablo3[Personel Ad]=A2398)*(Tablo3[Ürün Kar Tutarı]))</f>
        <v>0</v>
      </c>
      <c r="D2398" s="14"/>
      <c r="F2398" s="9" cm="1">
        <f t="array" ref="F2398">SUMPRODUCT((Tablo3[Şehirler]=E2398)*(Tablo3[Ürün Kar Tutarı]))</f>
        <v>0</v>
      </c>
      <c r="H2398" s="14"/>
      <c r="J2398" s="9" cm="1">
        <f t="array" ref="J2398">SUMPRODUCT((Tablo3[Urun Ad]=I2398)*(Tablo3[Ürün Kar Tutarı]))</f>
        <v>0</v>
      </c>
      <c r="L2398" s="37"/>
    </row>
    <row r="2399" spans="1:12" x14ac:dyDescent="0.25">
      <c r="A2399" s="13"/>
      <c r="B2399" s="9" cm="1">
        <f t="array" ref="B2399">SUMPRODUCT((Tablo3[Personel Ad]=A2399)*(Tablo3[Ürün Kar Tutarı]))</f>
        <v>0</v>
      </c>
      <c r="D2399" s="14"/>
      <c r="F2399" s="9" cm="1">
        <f t="array" ref="F2399">SUMPRODUCT((Tablo3[Şehirler]=E2399)*(Tablo3[Ürün Kar Tutarı]))</f>
        <v>0</v>
      </c>
      <c r="H2399" s="14"/>
      <c r="J2399" s="9" cm="1">
        <f t="array" ref="J2399">SUMPRODUCT((Tablo3[Urun Ad]=I2399)*(Tablo3[Ürün Kar Tutarı]))</f>
        <v>0</v>
      </c>
      <c r="L2399" s="37"/>
    </row>
    <row r="2400" spans="1:12" x14ac:dyDescent="0.25">
      <c r="A2400" s="13"/>
      <c r="B2400" s="9" cm="1">
        <f t="array" ref="B2400">SUMPRODUCT((Tablo3[Personel Ad]=A2400)*(Tablo3[Ürün Kar Tutarı]))</f>
        <v>0</v>
      </c>
      <c r="D2400" s="14"/>
      <c r="F2400" s="9" cm="1">
        <f t="array" ref="F2400">SUMPRODUCT((Tablo3[Şehirler]=E2400)*(Tablo3[Ürün Kar Tutarı]))</f>
        <v>0</v>
      </c>
      <c r="H2400" s="14"/>
      <c r="J2400" s="9" cm="1">
        <f t="array" ref="J2400">SUMPRODUCT((Tablo3[Urun Ad]=I2400)*(Tablo3[Ürün Kar Tutarı]))</f>
        <v>0</v>
      </c>
      <c r="L2400" s="37"/>
    </row>
    <row r="2401" spans="1:12" x14ac:dyDescent="0.25">
      <c r="A2401" s="13"/>
      <c r="B2401" s="9" cm="1">
        <f t="array" ref="B2401">SUMPRODUCT((Tablo3[Personel Ad]=A2401)*(Tablo3[Ürün Kar Tutarı]))</f>
        <v>0</v>
      </c>
      <c r="D2401" s="14"/>
      <c r="F2401" s="9" cm="1">
        <f t="array" ref="F2401">SUMPRODUCT((Tablo3[Şehirler]=E2401)*(Tablo3[Ürün Kar Tutarı]))</f>
        <v>0</v>
      </c>
      <c r="H2401" s="14"/>
      <c r="J2401" s="9" cm="1">
        <f t="array" ref="J2401">SUMPRODUCT((Tablo3[Urun Ad]=I2401)*(Tablo3[Ürün Kar Tutarı]))</f>
        <v>0</v>
      </c>
      <c r="L2401" s="37"/>
    </row>
    <row r="2402" spans="1:12" x14ac:dyDescent="0.25">
      <c r="A2402" s="13"/>
      <c r="B2402" s="9" cm="1">
        <f t="array" ref="B2402">SUMPRODUCT((Tablo3[Personel Ad]=A2402)*(Tablo3[Ürün Kar Tutarı]))</f>
        <v>0</v>
      </c>
      <c r="D2402" s="14"/>
      <c r="F2402" s="9" cm="1">
        <f t="array" ref="F2402">SUMPRODUCT((Tablo3[Şehirler]=E2402)*(Tablo3[Ürün Kar Tutarı]))</f>
        <v>0</v>
      </c>
      <c r="H2402" s="14"/>
      <c r="J2402" s="9" cm="1">
        <f t="array" ref="J2402">SUMPRODUCT((Tablo3[Urun Ad]=I2402)*(Tablo3[Ürün Kar Tutarı]))</f>
        <v>0</v>
      </c>
      <c r="L2402" s="37"/>
    </row>
    <row r="2403" spans="1:12" x14ac:dyDescent="0.25">
      <c r="A2403" s="13"/>
      <c r="B2403" s="9" cm="1">
        <f t="array" ref="B2403">SUMPRODUCT((Tablo3[Personel Ad]=A2403)*(Tablo3[Ürün Kar Tutarı]))</f>
        <v>0</v>
      </c>
      <c r="D2403" s="14"/>
      <c r="F2403" s="9" cm="1">
        <f t="array" ref="F2403">SUMPRODUCT((Tablo3[Şehirler]=E2403)*(Tablo3[Ürün Kar Tutarı]))</f>
        <v>0</v>
      </c>
      <c r="H2403" s="14"/>
      <c r="J2403" s="9" cm="1">
        <f t="array" ref="J2403">SUMPRODUCT((Tablo3[Urun Ad]=I2403)*(Tablo3[Ürün Kar Tutarı]))</f>
        <v>0</v>
      </c>
      <c r="L2403" s="37"/>
    </row>
    <row r="2404" spans="1:12" x14ac:dyDescent="0.25">
      <c r="A2404" s="13"/>
      <c r="B2404" s="9" cm="1">
        <f t="array" ref="B2404">SUMPRODUCT((Tablo3[Personel Ad]=A2404)*(Tablo3[Ürün Kar Tutarı]))</f>
        <v>0</v>
      </c>
      <c r="D2404" s="14"/>
      <c r="F2404" s="9" cm="1">
        <f t="array" ref="F2404">SUMPRODUCT((Tablo3[Şehirler]=E2404)*(Tablo3[Ürün Kar Tutarı]))</f>
        <v>0</v>
      </c>
      <c r="H2404" s="14"/>
      <c r="J2404" s="9" cm="1">
        <f t="array" ref="J2404">SUMPRODUCT((Tablo3[Urun Ad]=I2404)*(Tablo3[Ürün Kar Tutarı]))</f>
        <v>0</v>
      </c>
      <c r="L2404" s="37"/>
    </row>
    <row r="2405" spans="1:12" x14ac:dyDescent="0.25">
      <c r="A2405" s="13"/>
      <c r="B2405" s="9" cm="1">
        <f t="array" ref="B2405">SUMPRODUCT((Tablo3[Personel Ad]=A2405)*(Tablo3[Ürün Kar Tutarı]))</f>
        <v>0</v>
      </c>
      <c r="D2405" s="14"/>
      <c r="F2405" s="9" cm="1">
        <f t="array" ref="F2405">SUMPRODUCT((Tablo3[Şehirler]=E2405)*(Tablo3[Ürün Kar Tutarı]))</f>
        <v>0</v>
      </c>
      <c r="H2405" s="14"/>
      <c r="J2405" s="9" cm="1">
        <f t="array" ref="J2405">SUMPRODUCT((Tablo3[Urun Ad]=I2405)*(Tablo3[Ürün Kar Tutarı]))</f>
        <v>0</v>
      </c>
      <c r="L2405" s="37"/>
    </row>
    <row r="2406" spans="1:12" x14ac:dyDescent="0.25">
      <c r="A2406" s="13"/>
      <c r="B2406" s="9" cm="1">
        <f t="array" ref="B2406">SUMPRODUCT((Tablo3[Personel Ad]=A2406)*(Tablo3[Ürün Kar Tutarı]))</f>
        <v>0</v>
      </c>
      <c r="D2406" s="14"/>
      <c r="F2406" s="9" cm="1">
        <f t="array" ref="F2406">SUMPRODUCT((Tablo3[Şehirler]=E2406)*(Tablo3[Ürün Kar Tutarı]))</f>
        <v>0</v>
      </c>
      <c r="H2406" s="14"/>
      <c r="J2406" s="9" cm="1">
        <f t="array" ref="J2406">SUMPRODUCT((Tablo3[Urun Ad]=I2406)*(Tablo3[Ürün Kar Tutarı]))</f>
        <v>0</v>
      </c>
      <c r="L2406" s="37"/>
    </row>
    <row r="2407" spans="1:12" x14ac:dyDescent="0.25">
      <c r="A2407" s="13"/>
      <c r="B2407" s="9" cm="1">
        <f t="array" ref="B2407">SUMPRODUCT((Tablo3[Personel Ad]=A2407)*(Tablo3[Ürün Kar Tutarı]))</f>
        <v>0</v>
      </c>
      <c r="D2407" s="14"/>
      <c r="F2407" s="9" cm="1">
        <f t="array" ref="F2407">SUMPRODUCT((Tablo3[Şehirler]=E2407)*(Tablo3[Ürün Kar Tutarı]))</f>
        <v>0</v>
      </c>
      <c r="H2407" s="14"/>
      <c r="J2407" s="9" cm="1">
        <f t="array" ref="J2407">SUMPRODUCT((Tablo3[Urun Ad]=I2407)*(Tablo3[Ürün Kar Tutarı]))</f>
        <v>0</v>
      </c>
      <c r="L2407" s="37"/>
    </row>
    <row r="2408" spans="1:12" x14ac:dyDescent="0.25">
      <c r="A2408" s="13"/>
      <c r="B2408" s="9" cm="1">
        <f t="array" ref="B2408">SUMPRODUCT((Tablo3[Personel Ad]=A2408)*(Tablo3[Ürün Kar Tutarı]))</f>
        <v>0</v>
      </c>
      <c r="D2408" s="14"/>
      <c r="F2408" s="9" cm="1">
        <f t="array" ref="F2408">SUMPRODUCT((Tablo3[Şehirler]=E2408)*(Tablo3[Ürün Kar Tutarı]))</f>
        <v>0</v>
      </c>
      <c r="H2408" s="14"/>
      <c r="J2408" s="9" cm="1">
        <f t="array" ref="J2408">SUMPRODUCT((Tablo3[Urun Ad]=I2408)*(Tablo3[Ürün Kar Tutarı]))</f>
        <v>0</v>
      </c>
      <c r="L2408" s="37"/>
    </row>
    <row r="2409" spans="1:12" x14ac:dyDescent="0.25">
      <c r="A2409" s="13"/>
      <c r="B2409" s="9" cm="1">
        <f t="array" ref="B2409">SUMPRODUCT((Tablo3[Personel Ad]=A2409)*(Tablo3[Ürün Kar Tutarı]))</f>
        <v>0</v>
      </c>
      <c r="D2409" s="14"/>
      <c r="F2409" s="9" cm="1">
        <f t="array" ref="F2409">SUMPRODUCT((Tablo3[Şehirler]=E2409)*(Tablo3[Ürün Kar Tutarı]))</f>
        <v>0</v>
      </c>
      <c r="H2409" s="14"/>
      <c r="J2409" s="9" cm="1">
        <f t="array" ref="J2409">SUMPRODUCT((Tablo3[Urun Ad]=I2409)*(Tablo3[Ürün Kar Tutarı]))</f>
        <v>0</v>
      </c>
      <c r="L2409" s="37"/>
    </row>
    <row r="2410" spans="1:12" x14ac:dyDescent="0.25">
      <c r="A2410" s="13"/>
      <c r="B2410" s="9" cm="1">
        <f t="array" ref="B2410">SUMPRODUCT((Tablo3[Personel Ad]=A2410)*(Tablo3[Ürün Kar Tutarı]))</f>
        <v>0</v>
      </c>
      <c r="D2410" s="14"/>
      <c r="F2410" s="9" cm="1">
        <f t="array" ref="F2410">SUMPRODUCT((Tablo3[Şehirler]=E2410)*(Tablo3[Ürün Kar Tutarı]))</f>
        <v>0</v>
      </c>
      <c r="H2410" s="14"/>
      <c r="J2410" s="9" cm="1">
        <f t="array" ref="J2410">SUMPRODUCT((Tablo3[Urun Ad]=I2410)*(Tablo3[Ürün Kar Tutarı]))</f>
        <v>0</v>
      </c>
      <c r="L2410" s="37"/>
    </row>
    <row r="2411" spans="1:12" x14ac:dyDescent="0.25">
      <c r="A2411" s="13"/>
      <c r="B2411" s="9" cm="1">
        <f t="array" ref="B2411">SUMPRODUCT((Tablo3[Personel Ad]=A2411)*(Tablo3[Ürün Kar Tutarı]))</f>
        <v>0</v>
      </c>
      <c r="D2411" s="14"/>
      <c r="F2411" s="9" cm="1">
        <f t="array" ref="F2411">SUMPRODUCT((Tablo3[Şehirler]=E2411)*(Tablo3[Ürün Kar Tutarı]))</f>
        <v>0</v>
      </c>
      <c r="H2411" s="14"/>
      <c r="J2411" s="9" cm="1">
        <f t="array" ref="J2411">SUMPRODUCT((Tablo3[Urun Ad]=I2411)*(Tablo3[Ürün Kar Tutarı]))</f>
        <v>0</v>
      </c>
      <c r="L2411" s="37"/>
    </row>
    <row r="2412" spans="1:12" x14ac:dyDescent="0.25">
      <c r="A2412" s="13"/>
      <c r="B2412" s="9" cm="1">
        <f t="array" ref="B2412">SUMPRODUCT((Tablo3[Personel Ad]=A2412)*(Tablo3[Ürün Kar Tutarı]))</f>
        <v>0</v>
      </c>
      <c r="D2412" s="14"/>
      <c r="F2412" s="9" cm="1">
        <f t="array" ref="F2412">SUMPRODUCT((Tablo3[Şehirler]=E2412)*(Tablo3[Ürün Kar Tutarı]))</f>
        <v>0</v>
      </c>
      <c r="H2412" s="14"/>
      <c r="J2412" s="9" cm="1">
        <f t="array" ref="J2412">SUMPRODUCT((Tablo3[Urun Ad]=I2412)*(Tablo3[Ürün Kar Tutarı]))</f>
        <v>0</v>
      </c>
      <c r="L2412" s="37"/>
    </row>
    <row r="2413" spans="1:12" x14ac:dyDescent="0.25">
      <c r="A2413" s="13"/>
      <c r="B2413" s="9" cm="1">
        <f t="array" ref="B2413">SUMPRODUCT((Tablo3[Personel Ad]=A2413)*(Tablo3[Ürün Kar Tutarı]))</f>
        <v>0</v>
      </c>
      <c r="D2413" s="14"/>
      <c r="F2413" s="9" cm="1">
        <f t="array" ref="F2413">SUMPRODUCT((Tablo3[Şehirler]=E2413)*(Tablo3[Ürün Kar Tutarı]))</f>
        <v>0</v>
      </c>
      <c r="H2413" s="14"/>
      <c r="J2413" s="9" cm="1">
        <f t="array" ref="J2413">SUMPRODUCT((Tablo3[Urun Ad]=I2413)*(Tablo3[Ürün Kar Tutarı]))</f>
        <v>0</v>
      </c>
      <c r="L2413" s="37"/>
    </row>
    <row r="2414" spans="1:12" x14ac:dyDescent="0.25">
      <c r="A2414" s="13"/>
      <c r="B2414" s="9" cm="1">
        <f t="array" ref="B2414">SUMPRODUCT((Tablo3[Personel Ad]=A2414)*(Tablo3[Ürün Kar Tutarı]))</f>
        <v>0</v>
      </c>
      <c r="D2414" s="14"/>
      <c r="F2414" s="9" cm="1">
        <f t="array" ref="F2414">SUMPRODUCT((Tablo3[Şehirler]=E2414)*(Tablo3[Ürün Kar Tutarı]))</f>
        <v>0</v>
      </c>
      <c r="H2414" s="14"/>
      <c r="J2414" s="9" cm="1">
        <f t="array" ref="J2414">SUMPRODUCT((Tablo3[Urun Ad]=I2414)*(Tablo3[Ürün Kar Tutarı]))</f>
        <v>0</v>
      </c>
      <c r="L2414" s="37"/>
    </row>
    <row r="2415" spans="1:12" x14ac:dyDescent="0.25">
      <c r="A2415" s="13"/>
      <c r="B2415" s="9" cm="1">
        <f t="array" ref="B2415">SUMPRODUCT((Tablo3[Personel Ad]=A2415)*(Tablo3[Ürün Kar Tutarı]))</f>
        <v>0</v>
      </c>
      <c r="D2415" s="14"/>
      <c r="F2415" s="9" cm="1">
        <f t="array" ref="F2415">SUMPRODUCT((Tablo3[Şehirler]=E2415)*(Tablo3[Ürün Kar Tutarı]))</f>
        <v>0</v>
      </c>
      <c r="H2415" s="14"/>
      <c r="J2415" s="9" cm="1">
        <f t="array" ref="J2415">SUMPRODUCT((Tablo3[Urun Ad]=I2415)*(Tablo3[Ürün Kar Tutarı]))</f>
        <v>0</v>
      </c>
      <c r="L2415" s="37"/>
    </row>
    <row r="2416" spans="1:12" x14ac:dyDescent="0.25">
      <c r="A2416" s="13"/>
      <c r="B2416" s="9" cm="1">
        <f t="array" ref="B2416">SUMPRODUCT((Tablo3[Personel Ad]=A2416)*(Tablo3[Ürün Kar Tutarı]))</f>
        <v>0</v>
      </c>
      <c r="D2416" s="14"/>
      <c r="F2416" s="9" cm="1">
        <f t="array" ref="F2416">SUMPRODUCT((Tablo3[Şehirler]=E2416)*(Tablo3[Ürün Kar Tutarı]))</f>
        <v>0</v>
      </c>
      <c r="H2416" s="14"/>
      <c r="J2416" s="9" cm="1">
        <f t="array" ref="J2416">SUMPRODUCT((Tablo3[Urun Ad]=I2416)*(Tablo3[Ürün Kar Tutarı]))</f>
        <v>0</v>
      </c>
      <c r="L2416" s="37"/>
    </row>
    <row r="2417" spans="1:12" x14ac:dyDescent="0.25">
      <c r="A2417" s="13"/>
      <c r="B2417" s="9" cm="1">
        <f t="array" ref="B2417">SUMPRODUCT((Tablo3[Personel Ad]=A2417)*(Tablo3[Ürün Kar Tutarı]))</f>
        <v>0</v>
      </c>
      <c r="D2417" s="14"/>
      <c r="F2417" s="9" cm="1">
        <f t="array" ref="F2417">SUMPRODUCT((Tablo3[Şehirler]=E2417)*(Tablo3[Ürün Kar Tutarı]))</f>
        <v>0</v>
      </c>
      <c r="H2417" s="14"/>
      <c r="J2417" s="9" cm="1">
        <f t="array" ref="J2417">SUMPRODUCT((Tablo3[Urun Ad]=I2417)*(Tablo3[Ürün Kar Tutarı]))</f>
        <v>0</v>
      </c>
      <c r="L2417" s="37"/>
    </row>
    <row r="2418" spans="1:12" x14ac:dyDescent="0.25">
      <c r="A2418" s="13"/>
      <c r="B2418" s="9" cm="1">
        <f t="array" ref="B2418">SUMPRODUCT((Tablo3[Personel Ad]=A2418)*(Tablo3[Ürün Kar Tutarı]))</f>
        <v>0</v>
      </c>
      <c r="D2418" s="14"/>
      <c r="F2418" s="9" cm="1">
        <f t="array" ref="F2418">SUMPRODUCT((Tablo3[Şehirler]=E2418)*(Tablo3[Ürün Kar Tutarı]))</f>
        <v>0</v>
      </c>
      <c r="H2418" s="14"/>
      <c r="J2418" s="9" cm="1">
        <f t="array" ref="J2418">SUMPRODUCT((Tablo3[Urun Ad]=I2418)*(Tablo3[Ürün Kar Tutarı]))</f>
        <v>0</v>
      </c>
      <c r="L2418" s="37"/>
    </row>
    <row r="2419" spans="1:12" x14ac:dyDescent="0.25">
      <c r="A2419" s="13"/>
      <c r="B2419" s="9" cm="1">
        <f t="array" ref="B2419">SUMPRODUCT((Tablo3[Personel Ad]=A2419)*(Tablo3[Ürün Kar Tutarı]))</f>
        <v>0</v>
      </c>
      <c r="D2419" s="14"/>
      <c r="F2419" s="9" cm="1">
        <f t="array" ref="F2419">SUMPRODUCT((Tablo3[Şehirler]=E2419)*(Tablo3[Ürün Kar Tutarı]))</f>
        <v>0</v>
      </c>
      <c r="H2419" s="14"/>
      <c r="J2419" s="9" cm="1">
        <f t="array" ref="J2419">SUMPRODUCT((Tablo3[Urun Ad]=I2419)*(Tablo3[Ürün Kar Tutarı]))</f>
        <v>0</v>
      </c>
      <c r="L2419" s="37"/>
    </row>
    <row r="2420" spans="1:12" x14ac:dyDescent="0.25">
      <c r="A2420" s="13"/>
      <c r="B2420" s="9" cm="1">
        <f t="array" ref="B2420">SUMPRODUCT((Tablo3[Personel Ad]=A2420)*(Tablo3[Ürün Kar Tutarı]))</f>
        <v>0</v>
      </c>
      <c r="D2420" s="14"/>
      <c r="F2420" s="9" cm="1">
        <f t="array" ref="F2420">SUMPRODUCT((Tablo3[Şehirler]=E2420)*(Tablo3[Ürün Kar Tutarı]))</f>
        <v>0</v>
      </c>
      <c r="H2420" s="14"/>
      <c r="J2420" s="9" cm="1">
        <f t="array" ref="J2420">SUMPRODUCT((Tablo3[Urun Ad]=I2420)*(Tablo3[Ürün Kar Tutarı]))</f>
        <v>0</v>
      </c>
      <c r="L2420" s="37"/>
    </row>
    <row r="2421" spans="1:12" x14ac:dyDescent="0.25">
      <c r="A2421" s="13"/>
      <c r="B2421" s="9" cm="1">
        <f t="array" ref="B2421">SUMPRODUCT((Tablo3[Personel Ad]=A2421)*(Tablo3[Ürün Kar Tutarı]))</f>
        <v>0</v>
      </c>
      <c r="D2421" s="14"/>
      <c r="F2421" s="9" cm="1">
        <f t="array" ref="F2421">SUMPRODUCT((Tablo3[Şehirler]=E2421)*(Tablo3[Ürün Kar Tutarı]))</f>
        <v>0</v>
      </c>
      <c r="H2421" s="14"/>
      <c r="J2421" s="9" cm="1">
        <f t="array" ref="J2421">SUMPRODUCT((Tablo3[Urun Ad]=I2421)*(Tablo3[Ürün Kar Tutarı]))</f>
        <v>0</v>
      </c>
      <c r="L2421" s="37"/>
    </row>
    <row r="2422" spans="1:12" x14ac:dyDescent="0.25">
      <c r="A2422" s="13"/>
      <c r="B2422" s="9" cm="1">
        <f t="array" ref="B2422">SUMPRODUCT((Tablo3[Personel Ad]=A2422)*(Tablo3[Ürün Kar Tutarı]))</f>
        <v>0</v>
      </c>
      <c r="D2422" s="14"/>
      <c r="F2422" s="9" cm="1">
        <f t="array" ref="F2422">SUMPRODUCT((Tablo3[Şehirler]=E2422)*(Tablo3[Ürün Kar Tutarı]))</f>
        <v>0</v>
      </c>
      <c r="H2422" s="14"/>
      <c r="J2422" s="9" cm="1">
        <f t="array" ref="J2422">SUMPRODUCT((Tablo3[Urun Ad]=I2422)*(Tablo3[Ürün Kar Tutarı]))</f>
        <v>0</v>
      </c>
      <c r="L2422" s="37"/>
    </row>
    <row r="2423" spans="1:12" x14ac:dyDescent="0.25">
      <c r="A2423" s="13"/>
      <c r="B2423" s="9" cm="1">
        <f t="array" ref="B2423">SUMPRODUCT((Tablo3[Personel Ad]=A2423)*(Tablo3[Ürün Kar Tutarı]))</f>
        <v>0</v>
      </c>
      <c r="D2423" s="14"/>
      <c r="F2423" s="9" cm="1">
        <f t="array" ref="F2423">SUMPRODUCT((Tablo3[Şehirler]=E2423)*(Tablo3[Ürün Kar Tutarı]))</f>
        <v>0</v>
      </c>
      <c r="H2423" s="14"/>
      <c r="J2423" s="9" cm="1">
        <f t="array" ref="J2423">SUMPRODUCT((Tablo3[Urun Ad]=I2423)*(Tablo3[Ürün Kar Tutarı]))</f>
        <v>0</v>
      </c>
      <c r="L2423" s="37"/>
    </row>
    <row r="2424" spans="1:12" x14ac:dyDescent="0.25">
      <c r="A2424" s="13"/>
      <c r="B2424" s="9" cm="1">
        <f t="array" ref="B2424">SUMPRODUCT((Tablo3[Personel Ad]=A2424)*(Tablo3[Ürün Kar Tutarı]))</f>
        <v>0</v>
      </c>
      <c r="D2424" s="14"/>
      <c r="F2424" s="9" cm="1">
        <f t="array" ref="F2424">SUMPRODUCT((Tablo3[Şehirler]=E2424)*(Tablo3[Ürün Kar Tutarı]))</f>
        <v>0</v>
      </c>
      <c r="H2424" s="14"/>
      <c r="J2424" s="9" cm="1">
        <f t="array" ref="J2424">SUMPRODUCT((Tablo3[Urun Ad]=I2424)*(Tablo3[Ürün Kar Tutarı]))</f>
        <v>0</v>
      </c>
      <c r="L2424" s="37"/>
    </row>
    <row r="2425" spans="1:12" x14ac:dyDescent="0.25">
      <c r="A2425" s="13"/>
      <c r="B2425" s="9" cm="1">
        <f t="array" ref="B2425">SUMPRODUCT((Tablo3[Personel Ad]=A2425)*(Tablo3[Ürün Kar Tutarı]))</f>
        <v>0</v>
      </c>
      <c r="D2425" s="14"/>
      <c r="F2425" s="9" cm="1">
        <f t="array" ref="F2425">SUMPRODUCT((Tablo3[Şehirler]=E2425)*(Tablo3[Ürün Kar Tutarı]))</f>
        <v>0</v>
      </c>
      <c r="H2425" s="14"/>
      <c r="J2425" s="9" cm="1">
        <f t="array" ref="J2425">SUMPRODUCT((Tablo3[Urun Ad]=I2425)*(Tablo3[Ürün Kar Tutarı]))</f>
        <v>0</v>
      </c>
      <c r="L2425" s="37"/>
    </row>
    <row r="2426" spans="1:12" x14ac:dyDescent="0.25">
      <c r="A2426" s="13"/>
      <c r="B2426" s="9" cm="1">
        <f t="array" ref="B2426">SUMPRODUCT((Tablo3[Personel Ad]=A2426)*(Tablo3[Ürün Kar Tutarı]))</f>
        <v>0</v>
      </c>
      <c r="D2426" s="14"/>
      <c r="F2426" s="9" cm="1">
        <f t="array" ref="F2426">SUMPRODUCT((Tablo3[Şehirler]=E2426)*(Tablo3[Ürün Kar Tutarı]))</f>
        <v>0</v>
      </c>
      <c r="H2426" s="14"/>
      <c r="J2426" s="9" cm="1">
        <f t="array" ref="J2426">SUMPRODUCT((Tablo3[Urun Ad]=I2426)*(Tablo3[Ürün Kar Tutarı]))</f>
        <v>0</v>
      </c>
      <c r="L2426" s="37"/>
    </row>
    <row r="2427" spans="1:12" x14ac:dyDescent="0.25">
      <c r="A2427" s="13"/>
      <c r="B2427" s="9" cm="1">
        <f t="array" ref="B2427">SUMPRODUCT((Tablo3[Personel Ad]=A2427)*(Tablo3[Ürün Kar Tutarı]))</f>
        <v>0</v>
      </c>
      <c r="D2427" s="14"/>
      <c r="F2427" s="9" cm="1">
        <f t="array" ref="F2427">SUMPRODUCT((Tablo3[Şehirler]=E2427)*(Tablo3[Ürün Kar Tutarı]))</f>
        <v>0</v>
      </c>
      <c r="H2427" s="14"/>
      <c r="J2427" s="9" cm="1">
        <f t="array" ref="J2427">SUMPRODUCT((Tablo3[Urun Ad]=I2427)*(Tablo3[Ürün Kar Tutarı]))</f>
        <v>0</v>
      </c>
      <c r="L2427" s="37"/>
    </row>
    <row r="2428" spans="1:12" x14ac:dyDescent="0.25">
      <c r="A2428" s="13"/>
      <c r="B2428" s="9" cm="1">
        <f t="array" ref="B2428">SUMPRODUCT((Tablo3[Personel Ad]=A2428)*(Tablo3[Ürün Kar Tutarı]))</f>
        <v>0</v>
      </c>
      <c r="D2428" s="14"/>
      <c r="F2428" s="9" cm="1">
        <f t="array" ref="F2428">SUMPRODUCT((Tablo3[Şehirler]=E2428)*(Tablo3[Ürün Kar Tutarı]))</f>
        <v>0</v>
      </c>
      <c r="H2428" s="14"/>
      <c r="J2428" s="9" cm="1">
        <f t="array" ref="J2428">SUMPRODUCT((Tablo3[Urun Ad]=I2428)*(Tablo3[Ürün Kar Tutarı]))</f>
        <v>0</v>
      </c>
      <c r="L2428" s="37"/>
    </row>
    <row r="2429" spans="1:12" x14ac:dyDescent="0.25">
      <c r="A2429" s="13"/>
      <c r="B2429" s="9" cm="1">
        <f t="array" ref="B2429">SUMPRODUCT((Tablo3[Personel Ad]=A2429)*(Tablo3[Ürün Kar Tutarı]))</f>
        <v>0</v>
      </c>
      <c r="D2429" s="14"/>
      <c r="F2429" s="9" cm="1">
        <f t="array" ref="F2429">SUMPRODUCT((Tablo3[Şehirler]=E2429)*(Tablo3[Ürün Kar Tutarı]))</f>
        <v>0</v>
      </c>
      <c r="H2429" s="14"/>
      <c r="J2429" s="9" cm="1">
        <f t="array" ref="J2429">SUMPRODUCT((Tablo3[Urun Ad]=I2429)*(Tablo3[Ürün Kar Tutarı]))</f>
        <v>0</v>
      </c>
      <c r="L2429" s="37"/>
    </row>
    <row r="2430" spans="1:12" x14ac:dyDescent="0.25">
      <c r="A2430" s="13"/>
      <c r="B2430" s="9" cm="1">
        <f t="array" ref="B2430">SUMPRODUCT((Tablo3[Personel Ad]=A2430)*(Tablo3[Ürün Kar Tutarı]))</f>
        <v>0</v>
      </c>
      <c r="D2430" s="14"/>
      <c r="F2430" s="9" cm="1">
        <f t="array" ref="F2430">SUMPRODUCT((Tablo3[Şehirler]=E2430)*(Tablo3[Ürün Kar Tutarı]))</f>
        <v>0</v>
      </c>
      <c r="H2430" s="14"/>
      <c r="J2430" s="9" cm="1">
        <f t="array" ref="J2430">SUMPRODUCT((Tablo3[Urun Ad]=I2430)*(Tablo3[Ürün Kar Tutarı]))</f>
        <v>0</v>
      </c>
      <c r="L2430" s="37"/>
    </row>
    <row r="2431" spans="1:12" x14ac:dyDescent="0.25">
      <c r="A2431" s="13"/>
      <c r="B2431" s="9" cm="1">
        <f t="array" ref="B2431">SUMPRODUCT((Tablo3[Personel Ad]=A2431)*(Tablo3[Ürün Kar Tutarı]))</f>
        <v>0</v>
      </c>
      <c r="D2431" s="14"/>
      <c r="F2431" s="9" cm="1">
        <f t="array" ref="F2431">SUMPRODUCT((Tablo3[Şehirler]=E2431)*(Tablo3[Ürün Kar Tutarı]))</f>
        <v>0</v>
      </c>
      <c r="H2431" s="14"/>
      <c r="J2431" s="9" cm="1">
        <f t="array" ref="J2431">SUMPRODUCT((Tablo3[Urun Ad]=I2431)*(Tablo3[Ürün Kar Tutarı]))</f>
        <v>0</v>
      </c>
      <c r="L2431" s="37"/>
    </row>
    <row r="2432" spans="1:12" x14ac:dyDescent="0.25">
      <c r="A2432" s="13"/>
      <c r="B2432" s="9" cm="1">
        <f t="array" ref="B2432">SUMPRODUCT((Tablo3[Personel Ad]=A2432)*(Tablo3[Ürün Kar Tutarı]))</f>
        <v>0</v>
      </c>
      <c r="D2432" s="14"/>
      <c r="F2432" s="9" cm="1">
        <f t="array" ref="F2432">SUMPRODUCT((Tablo3[Şehirler]=E2432)*(Tablo3[Ürün Kar Tutarı]))</f>
        <v>0</v>
      </c>
      <c r="H2432" s="14"/>
      <c r="J2432" s="9" cm="1">
        <f t="array" ref="J2432">SUMPRODUCT((Tablo3[Urun Ad]=I2432)*(Tablo3[Ürün Kar Tutarı]))</f>
        <v>0</v>
      </c>
      <c r="L2432" s="37"/>
    </row>
    <row r="2433" spans="1:12" x14ac:dyDescent="0.25">
      <c r="A2433" s="13"/>
      <c r="B2433" s="9" cm="1">
        <f t="array" ref="B2433">SUMPRODUCT((Tablo3[Personel Ad]=A2433)*(Tablo3[Ürün Kar Tutarı]))</f>
        <v>0</v>
      </c>
      <c r="D2433" s="14"/>
      <c r="F2433" s="9" cm="1">
        <f t="array" ref="F2433">SUMPRODUCT((Tablo3[Şehirler]=E2433)*(Tablo3[Ürün Kar Tutarı]))</f>
        <v>0</v>
      </c>
      <c r="H2433" s="14"/>
      <c r="J2433" s="9" cm="1">
        <f t="array" ref="J2433">SUMPRODUCT((Tablo3[Urun Ad]=I2433)*(Tablo3[Ürün Kar Tutarı]))</f>
        <v>0</v>
      </c>
      <c r="L2433" s="37"/>
    </row>
    <row r="2434" spans="1:12" x14ac:dyDescent="0.25">
      <c r="A2434" s="13"/>
      <c r="B2434" s="9" cm="1">
        <f t="array" ref="B2434">SUMPRODUCT((Tablo3[Personel Ad]=A2434)*(Tablo3[Ürün Kar Tutarı]))</f>
        <v>0</v>
      </c>
      <c r="D2434" s="14"/>
      <c r="F2434" s="9" cm="1">
        <f t="array" ref="F2434">SUMPRODUCT((Tablo3[Şehirler]=E2434)*(Tablo3[Ürün Kar Tutarı]))</f>
        <v>0</v>
      </c>
      <c r="H2434" s="14"/>
      <c r="J2434" s="9" cm="1">
        <f t="array" ref="J2434">SUMPRODUCT((Tablo3[Urun Ad]=I2434)*(Tablo3[Ürün Kar Tutarı]))</f>
        <v>0</v>
      </c>
      <c r="L2434" s="37"/>
    </row>
    <row r="2435" spans="1:12" x14ac:dyDescent="0.25">
      <c r="A2435" s="13"/>
      <c r="B2435" s="9" cm="1">
        <f t="array" ref="B2435">SUMPRODUCT((Tablo3[Personel Ad]=A2435)*(Tablo3[Ürün Kar Tutarı]))</f>
        <v>0</v>
      </c>
      <c r="D2435" s="14"/>
      <c r="F2435" s="9" cm="1">
        <f t="array" ref="F2435">SUMPRODUCT((Tablo3[Şehirler]=E2435)*(Tablo3[Ürün Kar Tutarı]))</f>
        <v>0</v>
      </c>
      <c r="H2435" s="14"/>
      <c r="J2435" s="9" cm="1">
        <f t="array" ref="J2435">SUMPRODUCT((Tablo3[Urun Ad]=I2435)*(Tablo3[Ürün Kar Tutarı]))</f>
        <v>0</v>
      </c>
      <c r="L2435" s="37"/>
    </row>
    <row r="2436" spans="1:12" x14ac:dyDescent="0.25">
      <c r="A2436" s="13"/>
      <c r="B2436" s="9" cm="1">
        <f t="array" ref="B2436">SUMPRODUCT((Tablo3[Personel Ad]=A2436)*(Tablo3[Ürün Kar Tutarı]))</f>
        <v>0</v>
      </c>
      <c r="D2436" s="14"/>
      <c r="F2436" s="9" cm="1">
        <f t="array" ref="F2436">SUMPRODUCT((Tablo3[Şehirler]=E2436)*(Tablo3[Ürün Kar Tutarı]))</f>
        <v>0</v>
      </c>
      <c r="H2436" s="14"/>
      <c r="J2436" s="9" cm="1">
        <f t="array" ref="J2436">SUMPRODUCT((Tablo3[Urun Ad]=I2436)*(Tablo3[Ürün Kar Tutarı]))</f>
        <v>0</v>
      </c>
      <c r="L2436" s="37"/>
    </row>
    <row r="2437" spans="1:12" x14ac:dyDescent="0.25">
      <c r="A2437" s="13"/>
      <c r="B2437" s="9" cm="1">
        <f t="array" ref="B2437">SUMPRODUCT((Tablo3[Personel Ad]=A2437)*(Tablo3[Ürün Kar Tutarı]))</f>
        <v>0</v>
      </c>
      <c r="D2437" s="14"/>
      <c r="F2437" s="9" cm="1">
        <f t="array" ref="F2437">SUMPRODUCT((Tablo3[Şehirler]=E2437)*(Tablo3[Ürün Kar Tutarı]))</f>
        <v>0</v>
      </c>
      <c r="H2437" s="14"/>
      <c r="J2437" s="9" cm="1">
        <f t="array" ref="J2437">SUMPRODUCT((Tablo3[Urun Ad]=I2437)*(Tablo3[Ürün Kar Tutarı]))</f>
        <v>0</v>
      </c>
      <c r="L2437" s="37"/>
    </row>
    <row r="2438" spans="1:12" x14ac:dyDescent="0.25">
      <c r="A2438" s="13"/>
      <c r="B2438" s="9" cm="1">
        <f t="array" ref="B2438">SUMPRODUCT((Tablo3[Personel Ad]=A2438)*(Tablo3[Ürün Kar Tutarı]))</f>
        <v>0</v>
      </c>
      <c r="D2438" s="14"/>
      <c r="F2438" s="9" cm="1">
        <f t="array" ref="F2438">SUMPRODUCT((Tablo3[Şehirler]=E2438)*(Tablo3[Ürün Kar Tutarı]))</f>
        <v>0</v>
      </c>
      <c r="H2438" s="14"/>
      <c r="J2438" s="9" cm="1">
        <f t="array" ref="J2438">SUMPRODUCT((Tablo3[Urun Ad]=I2438)*(Tablo3[Ürün Kar Tutarı]))</f>
        <v>0</v>
      </c>
      <c r="L2438" s="37"/>
    </row>
    <row r="2439" spans="1:12" x14ac:dyDescent="0.25">
      <c r="A2439" s="13"/>
      <c r="B2439" s="9" cm="1">
        <f t="array" ref="B2439">SUMPRODUCT((Tablo3[Personel Ad]=A2439)*(Tablo3[Ürün Kar Tutarı]))</f>
        <v>0</v>
      </c>
      <c r="D2439" s="14"/>
      <c r="F2439" s="9" cm="1">
        <f t="array" ref="F2439">SUMPRODUCT((Tablo3[Şehirler]=E2439)*(Tablo3[Ürün Kar Tutarı]))</f>
        <v>0</v>
      </c>
      <c r="H2439" s="14"/>
      <c r="J2439" s="9" cm="1">
        <f t="array" ref="J2439">SUMPRODUCT((Tablo3[Urun Ad]=I2439)*(Tablo3[Ürün Kar Tutarı]))</f>
        <v>0</v>
      </c>
      <c r="L2439" s="37"/>
    </row>
    <row r="2440" spans="1:12" x14ac:dyDescent="0.25">
      <c r="A2440" s="13"/>
      <c r="B2440" s="9" cm="1">
        <f t="array" ref="B2440">SUMPRODUCT((Tablo3[Personel Ad]=A2440)*(Tablo3[Ürün Kar Tutarı]))</f>
        <v>0</v>
      </c>
      <c r="D2440" s="14"/>
      <c r="F2440" s="9" cm="1">
        <f t="array" ref="F2440">SUMPRODUCT((Tablo3[Şehirler]=E2440)*(Tablo3[Ürün Kar Tutarı]))</f>
        <v>0</v>
      </c>
      <c r="H2440" s="14"/>
      <c r="J2440" s="9" cm="1">
        <f t="array" ref="J2440">SUMPRODUCT((Tablo3[Urun Ad]=I2440)*(Tablo3[Ürün Kar Tutarı]))</f>
        <v>0</v>
      </c>
      <c r="L2440" s="37"/>
    </row>
    <row r="2441" spans="1:12" x14ac:dyDescent="0.25">
      <c r="A2441" s="13"/>
      <c r="B2441" s="9" cm="1">
        <f t="array" ref="B2441">SUMPRODUCT((Tablo3[Personel Ad]=A2441)*(Tablo3[Ürün Kar Tutarı]))</f>
        <v>0</v>
      </c>
      <c r="D2441" s="14"/>
      <c r="F2441" s="9" cm="1">
        <f t="array" ref="F2441">SUMPRODUCT((Tablo3[Şehirler]=E2441)*(Tablo3[Ürün Kar Tutarı]))</f>
        <v>0</v>
      </c>
      <c r="H2441" s="14"/>
      <c r="J2441" s="9" cm="1">
        <f t="array" ref="J2441">SUMPRODUCT((Tablo3[Urun Ad]=I2441)*(Tablo3[Ürün Kar Tutarı]))</f>
        <v>0</v>
      </c>
      <c r="L2441" s="37"/>
    </row>
    <row r="2442" spans="1:12" x14ac:dyDescent="0.25">
      <c r="A2442" s="13"/>
      <c r="B2442" s="9" cm="1">
        <f t="array" ref="B2442">SUMPRODUCT((Tablo3[Personel Ad]=A2442)*(Tablo3[Ürün Kar Tutarı]))</f>
        <v>0</v>
      </c>
      <c r="D2442" s="14"/>
      <c r="F2442" s="9" cm="1">
        <f t="array" ref="F2442">SUMPRODUCT((Tablo3[Şehirler]=E2442)*(Tablo3[Ürün Kar Tutarı]))</f>
        <v>0</v>
      </c>
      <c r="H2442" s="14"/>
      <c r="J2442" s="9" cm="1">
        <f t="array" ref="J2442">SUMPRODUCT((Tablo3[Urun Ad]=I2442)*(Tablo3[Ürün Kar Tutarı]))</f>
        <v>0</v>
      </c>
      <c r="L2442" s="37"/>
    </row>
    <row r="2443" spans="1:12" x14ac:dyDescent="0.25">
      <c r="A2443" s="13"/>
      <c r="B2443" s="9" cm="1">
        <f t="array" ref="B2443">SUMPRODUCT((Tablo3[Personel Ad]=A2443)*(Tablo3[Ürün Kar Tutarı]))</f>
        <v>0</v>
      </c>
      <c r="D2443" s="14"/>
      <c r="F2443" s="9" cm="1">
        <f t="array" ref="F2443">SUMPRODUCT((Tablo3[Şehirler]=E2443)*(Tablo3[Ürün Kar Tutarı]))</f>
        <v>0</v>
      </c>
      <c r="H2443" s="14"/>
      <c r="J2443" s="9" cm="1">
        <f t="array" ref="J2443">SUMPRODUCT((Tablo3[Urun Ad]=I2443)*(Tablo3[Ürün Kar Tutarı]))</f>
        <v>0</v>
      </c>
      <c r="L2443" s="37"/>
    </row>
    <row r="2444" spans="1:12" x14ac:dyDescent="0.25">
      <c r="A2444" s="13"/>
      <c r="B2444" s="9" cm="1">
        <f t="array" ref="B2444">SUMPRODUCT((Tablo3[Personel Ad]=A2444)*(Tablo3[Ürün Kar Tutarı]))</f>
        <v>0</v>
      </c>
      <c r="D2444" s="14"/>
      <c r="F2444" s="9" cm="1">
        <f t="array" ref="F2444">SUMPRODUCT((Tablo3[Şehirler]=E2444)*(Tablo3[Ürün Kar Tutarı]))</f>
        <v>0</v>
      </c>
      <c r="H2444" s="14"/>
      <c r="J2444" s="9" cm="1">
        <f t="array" ref="J2444">SUMPRODUCT((Tablo3[Urun Ad]=I2444)*(Tablo3[Ürün Kar Tutarı]))</f>
        <v>0</v>
      </c>
      <c r="L2444" s="37"/>
    </row>
    <row r="2445" spans="1:12" x14ac:dyDescent="0.25">
      <c r="A2445" s="13"/>
      <c r="B2445" s="9" cm="1">
        <f t="array" ref="B2445">SUMPRODUCT((Tablo3[Personel Ad]=A2445)*(Tablo3[Ürün Kar Tutarı]))</f>
        <v>0</v>
      </c>
      <c r="D2445" s="14"/>
      <c r="F2445" s="9" cm="1">
        <f t="array" ref="F2445">SUMPRODUCT((Tablo3[Şehirler]=E2445)*(Tablo3[Ürün Kar Tutarı]))</f>
        <v>0</v>
      </c>
      <c r="H2445" s="14"/>
      <c r="J2445" s="9" cm="1">
        <f t="array" ref="J2445">SUMPRODUCT((Tablo3[Urun Ad]=I2445)*(Tablo3[Ürün Kar Tutarı]))</f>
        <v>0</v>
      </c>
      <c r="L2445" s="37"/>
    </row>
    <row r="2446" spans="1:12" x14ac:dyDescent="0.25">
      <c r="A2446" s="13"/>
      <c r="B2446" s="9" cm="1">
        <f t="array" ref="B2446">SUMPRODUCT((Tablo3[Personel Ad]=A2446)*(Tablo3[Ürün Kar Tutarı]))</f>
        <v>0</v>
      </c>
      <c r="D2446" s="14"/>
      <c r="F2446" s="9" cm="1">
        <f t="array" ref="F2446">SUMPRODUCT((Tablo3[Şehirler]=E2446)*(Tablo3[Ürün Kar Tutarı]))</f>
        <v>0</v>
      </c>
      <c r="H2446" s="14"/>
      <c r="J2446" s="9" cm="1">
        <f t="array" ref="J2446">SUMPRODUCT((Tablo3[Urun Ad]=I2446)*(Tablo3[Ürün Kar Tutarı]))</f>
        <v>0</v>
      </c>
      <c r="L2446" s="37"/>
    </row>
    <row r="2447" spans="1:12" x14ac:dyDescent="0.25">
      <c r="A2447" s="13"/>
      <c r="B2447" s="9" cm="1">
        <f t="array" ref="B2447">SUMPRODUCT((Tablo3[Personel Ad]=A2447)*(Tablo3[Ürün Kar Tutarı]))</f>
        <v>0</v>
      </c>
      <c r="D2447" s="14"/>
      <c r="F2447" s="9" cm="1">
        <f t="array" ref="F2447">SUMPRODUCT((Tablo3[Şehirler]=E2447)*(Tablo3[Ürün Kar Tutarı]))</f>
        <v>0</v>
      </c>
      <c r="H2447" s="14"/>
      <c r="J2447" s="9" cm="1">
        <f t="array" ref="J2447">SUMPRODUCT((Tablo3[Urun Ad]=I2447)*(Tablo3[Ürün Kar Tutarı]))</f>
        <v>0</v>
      </c>
      <c r="L2447" s="37"/>
    </row>
    <row r="2448" spans="1:12" x14ac:dyDescent="0.25">
      <c r="A2448" s="13"/>
      <c r="B2448" s="9" cm="1">
        <f t="array" ref="B2448">SUMPRODUCT((Tablo3[Personel Ad]=A2448)*(Tablo3[Ürün Kar Tutarı]))</f>
        <v>0</v>
      </c>
      <c r="D2448" s="14"/>
      <c r="F2448" s="9" cm="1">
        <f t="array" ref="F2448">SUMPRODUCT((Tablo3[Şehirler]=E2448)*(Tablo3[Ürün Kar Tutarı]))</f>
        <v>0</v>
      </c>
      <c r="H2448" s="14"/>
      <c r="J2448" s="9" cm="1">
        <f t="array" ref="J2448">SUMPRODUCT((Tablo3[Urun Ad]=I2448)*(Tablo3[Ürün Kar Tutarı]))</f>
        <v>0</v>
      </c>
      <c r="L2448" s="37"/>
    </row>
    <row r="2449" spans="1:12" x14ac:dyDescent="0.25">
      <c r="A2449" s="13"/>
      <c r="B2449" s="9" cm="1">
        <f t="array" ref="B2449">SUMPRODUCT((Tablo3[Personel Ad]=A2449)*(Tablo3[Ürün Kar Tutarı]))</f>
        <v>0</v>
      </c>
      <c r="D2449" s="14"/>
      <c r="F2449" s="9" cm="1">
        <f t="array" ref="F2449">SUMPRODUCT((Tablo3[Şehirler]=E2449)*(Tablo3[Ürün Kar Tutarı]))</f>
        <v>0</v>
      </c>
      <c r="H2449" s="14"/>
      <c r="J2449" s="9" cm="1">
        <f t="array" ref="J2449">SUMPRODUCT((Tablo3[Urun Ad]=I2449)*(Tablo3[Ürün Kar Tutarı]))</f>
        <v>0</v>
      </c>
      <c r="L2449" s="37"/>
    </row>
    <row r="2450" spans="1:12" x14ac:dyDescent="0.25">
      <c r="A2450" s="13"/>
      <c r="B2450" s="9" cm="1">
        <f t="array" ref="B2450">SUMPRODUCT((Tablo3[Personel Ad]=A2450)*(Tablo3[Ürün Kar Tutarı]))</f>
        <v>0</v>
      </c>
      <c r="D2450" s="14"/>
      <c r="F2450" s="9" cm="1">
        <f t="array" ref="F2450">SUMPRODUCT((Tablo3[Şehirler]=E2450)*(Tablo3[Ürün Kar Tutarı]))</f>
        <v>0</v>
      </c>
      <c r="H2450" s="14"/>
      <c r="J2450" s="9" cm="1">
        <f t="array" ref="J2450">SUMPRODUCT((Tablo3[Urun Ad]=I2450)*(Tablo3[Ürün Kar Tutarı]))</f>
        <v>0</v>
      </c>
      <c r="L2450" s="37"/>
    </row>
    <row r="2451" spans="1:12" x14ac:dyDescent="0.25">
      <c r="A2451" s="13"/>
      <c r="B2451" s="9" cm="1">
        <f t="array" ref="B2451">SUMPRODUCT((Tablo3[Personel Ad]=A2451)*(Tablo3[Ürün Kar Tutarı]))</f>
        <v>0</v>
      </c>
      <c r="D2451" s="14"/>
      <c r="F2451" s="9" cm="1">
        <f t="array" ref="F2451">SUMPRODUCT((Tablo3[Şehirler]=E2451)*(Tablo3[Ürün Kar Tutarı]))</f>
        <v>0</v>
      </c>
      <c r="H2451" s="14"/>
      <c r="J2451" s="9" cm="1">
        <f t="array" ref="J2451">SUMPRODUCT((Tablo3[Urun Ad]=I2451)*(Tablo3[Ürün Kar Tutarı]))</f>
        <v>0</v>
      </c>
      <c r="L2451" s="37"/>
    </row>
    <row r="2452" spans="1:12" x14ac:dyDescent="0.25">
      <c r="A2452" s="13"/>
      <c r="B2452" s="9" cm="1">
        <f t="array" ref="B2452">SUMPRODUCT((Tablo3[Personel Ad]=A2452)*(Tablo3[Ürün Kar Tutarı]))</f>
        <v>0</v>
      </c>
      <c r="D2452" s="14"/>
      <c r="F2452" s="9" cm="1">
        <f t="array" ref="F2452">SUMPRODUCT((Tablo3[Şehirler]=E2452)*(Tablo3[Ürün Kar Tutarı]))</f>
        <v>0</v>
      </c>
      <c r="H2452" s="14"/>
      <c r="J2452" s="9" cm="1">
        <f t="array" ref="J2452">SUMPRODUCT((Tablo3[Urun Ad]=I2452)*(Tablo3[Ürün Kar Tutarı]))</f>
        <v>0</v>
      </c>
      <c r="L2452" s="37"/>
    </row>
    <row r="2453" spans="1:12" x14ac:dyDescent="0.25">
      <c r="A2453" s="13"/>
      <c r="B2453" s="9" cm="1">
        <f t="array" ref="B2453">SUMPRODUCT((Tablo3[Personel Ad]=A2453)*(Tablo3[Ürün Kar Tutarı]))</f>
        <v>0</v>
      </c>
      <c r="D2453" s="14"/>
      <c r="F2453" s="9" cm="1">
        <f t="array" ref="F2453">SUMPRODUCT((Tablo3[Şehirler]=E2453)*(Tablo3[Ürün Kar Tutarı]))</f>
        <v>0</v>
      </c>
      <c r="H2453" s="14"/>
      <c r="J2453" s="9" cm="1">
        <f t="array" ref="J2453">SUMPRODUCT((Tablo3[Urun Ad]=I2453)*(Tablo3[Ürün Kar Tutarı]))</f>
        <v>0</v>
      </c>
      <c r="L2453" s="37"/>
    </row>
    <row r="2454" spans="1:12" x14ac:dyDescent="0.25">
      <c r="A2454" s="13"/>
      <c r="B2454" s="9" cm="1">
        <f t="array" ref="B2454">SUMPRODUCT((Tablo3[Personel Ad]=A2454)*(Tablo3[Ürün Kar Tutarı]))</f>
        <v>0</v>
      </c>
      <c r="D2454" s="14"/>
      <c r="F2454" s="9" cm="1">
        <f t="array" ref="F2454">SUMPRODUCT((Tablo3[Şehirler]=E2454)*(Tablo3[Ürün Kar Tutarı]))</f>
        <v>0</v>
      </c>
      <c r="H2454" s="14"/>
      <c r="J2454" s="9" cm="1">
        <f t="array" ref="J2454">SUMPRODUCT((Tablo3[Urun Ad]=I2454)*(Tablo3[Ürün Kar Tutarı]))</f>
        <v>0</v>
      </c>
      <c r="L2454" s="37"/>
    </row>
    <row r="2455" spans="1:12" x14ac:dyDescent="0.25">
      <c r="A2455" s="13"/>
      <c r="B2455" s="9" cm="1">
        <f t="array" ref="B2455">SUMPRODUCT((Tablo3[Personel Ad]=A2455)*(Tablo3[Ürün Kar Tutarı]))</f>
        <v>0</v>
      </c>
      <c r="D2455" s="14"/>
      <c r="F2455" s="9" cm="1">
        <f t="array" ref="F2455">SUMPRODUCT((Tablo3[Şehirler]=E2455)*(Tablo3[Ürün Kar Tutarı]))</f>
        <v>0</v>
      </c>
      <c r="H2455" s="14"/>
      <c r="J2455" s="9" cm="1">
        <f t="array" ref="J2455">SUMPRODUCT((Tablo3[Urun Ad]=I2455)*(Tablo3[Ürün Kar Tutarı]))</f>
        <v>0</v>
      </c>
      <c r="L2455" s="37"/>
    </row>
    <row r="2456" spans="1:12" x14ac:dyDescent="0.25">
      <c r="A2456" s="13"/>
      <c r="B2456" s="9" cm="1">
        <f t="array" ref="B2456">SUMPRODUCT((Tablo3[Personel Ad]=A2456)*(Tablo3[Ürün Kar Tutarı]))</f>
        <v>0</v>
      </c>
      <c r="D2456" s="14"/>
      <c r="F2456" s="9" cm="1">
        <f t="array" ref="F2456">SUMPRODUCT((Tablo3[Şehirler]=E2456)*(Tablo3[Ürün Kar Tutarı]))</f>
        <v>0</v>
      </c>
      <c r="H2456" s="14"/>
      <c r="J2456" s="9" cm="1">
        <f t="array" ref="J2456">SUMPRODUCT((Tablo3[Urun Ad]=I2456)*(Tablo3[Ürün Kar Tutarı]))</f>
        <v>0</v>
      </c>
      <c r="L2456" s="37"/>
    </row>
    <row r="2457" spans="1:12" x14ac:dyDescent="0.25">
      <c r="A2457" s="13"/>
      <c r="B2457" s="9" cm="1">
        <f t="array" ref="B2457">SUMPRODUCT((Tablo3[Personel Ad]=A2457)*(Tablo3[Ürün Kar Tutarı]))</f>
        <v>0</v>
      </c>
      <c r="D2457" s="14"/>
      <c r="F2457" s="9" cm="1">
        <f t="array" ref="F2457">SUMPRODUCT((Tablo3[Şehirler]=E2457)*(Tablo3[Ürün Kar Tutarı]))</f>
        <v>0</v>
      </c>
      <c r="H2457" s="14"/>
      <c r="J2457" s="9" cm="1">
        <f t="array" ref="J2457">SUMPRODUCT((Tablo3[Urun Ad]=I2457)*(Tablo3[Ürün Kar Tutarı]))</f>
        <v>0</v>
      </c>
      <c r="L2457" s="37"/>
    </row>
    <row r="2458" spans="1:12" x14ac:dyDescent="0.25">
      <c r="A2458" s="13"/>
      <c r="B2458" s="9" cm="1">
        <f t="array" ref="B2458">SUMPRODUCT((Tablo3[Personel Ad]=A2458)*(Tablo3[Ürün Kar Tutarı]))</f>
        <v>0</v>
      </c>
      <c r="D2458" s="14"/>
      <c r="F2458" s="9" cm="1">
        <f t="array" ref="F2458">SUMPRODUCT((Tablo3[Şehirler]=E2458)*(Tablo3[Ürün Kar Tutarı]))</f>
        <v>0</v>
      </c>
      <c r="H2458" s="14"/>
      <c r="J2458" s="9" cm="1">
        <f t="array" ref="J2458">SUMPRODUCT((Tablo3[Urun Ad]=I2458)*(Tablo3[Ürün Kar Tutarı]))</f>
        <v>0</v>
      </c>
      <c r="L2458" s="37"/>
    </row>
    <row r="2459" spans="1:12" x14ac:dyDescent="0.25">
      <c r="A2459" s="13"/>
      <c r="B2459" s="9" cm="1">
        <f t="array" ref="B2459">SUMPRODUCT((Tablo3[Personel Ad]=A2459)*(Tablo3[Ürün Kar Tutarı]))</f>
        <v>0</v>
      </c>
      <c r="D2459" s="14"/>
      <c r="F2459" s="9" cm="1">
        <f t="array" ref="F2459">SUMPRODUCT((Tablo3[Şehirler]=E2459)*(Tablo3[Ürün Kar Tutarı]))</f>
        <v>0</v>
      </c>
      <c r="H2459" s="14"/>
      <c r="J2459" s="9" cm="1">
        <f t="array" ref="J2459">SUMPRODUCT((Tablo3[Urun Ad]=I2459)*(Tablo3[Ürün Kar Tutarı]))</f>
        <v>0</v>
      </c>
      <c r="L2459" s="37"/>
    </row>
    <row r="2460" spans="1:12" x14ac:dyDescent="0.25">
      <c r="A2460" s="13"/>
      <c r="B2460" s="9" cm="1">
        <f t="array" ref="B2460">SUMPRODUCT((Tablo3[Personel Ad]=A2460)*(Tablo3[Ürün Kar Tutarı]))</f>
        <v>0</v>
      </c>
      <c r="D2460" s="14"/>
      <c r="F2460" s="9" cm="1">
        <f t="array" ref="F2460">SUMPRODUCT((Tablo3[Şehirler]=E2460)*(Tablo3[Ürün Kar Tutarı]))</f>
        <v>0</v>
      </c>
      <c r="H2460" s="14"/>
      <c r="J2460" s="9" cm="1">
        <f t="array" ref="J2460">SUMPRODUCT((Tablo3[Urun Ad]=I2460)*(Tablo3[Ürün Kar Tutarı]))</f>
        <v>0</v>
      </c>
      <c r="L2460" s="37"/>
    </row>
    <row r="2461" spans="1:12" x14ac:dyDescent="0.25">
      <c r="A2461" s="13"/>
      <c r="B2461" s="9" cm="1">
        <f t="array" ref="B2461">SUMPRODUCT((Tablo3[Personel Ad]=A2461)*(Tablo3[Ürün Kar Tutarı]))</f>
        <v>0</v>
      </c>
      <c r="D2461" s="14"/>
      <c r="F2461" s="9" cm="1">
        <f t="array" ref="F2461">SUMPRODUCT((Tablo3[Şehirler]=E2461)*(Tablo3[Ürün Kar Tutarı]))</f>
        <v>0</v>
      </c>
      <c r="H2461" s="14"/>
      <c r="J2461" s="9" cm="1">
        <f t="array" ref="J2461">SUMPRODUCT((Tablo3[Urun Ad]=I2461)*(Tablo3[Ürün Kar Tutarı]))</f>
        <v>0</v>
      </c>
      <c r="L2461" s="37"/>
    </row>
    <row r="2462" spans="1:12" x14ac:dyDescent="0.25">
      <c r="A2462" s="13"/>
      <c r="B2462" s="9" cm="1">
        <f t="array" ref="B2462">SUMPRODUCT((Tablo3[Personel Ad]=A2462)*(Tablo3[Ürün Kar Tutarı]))</f>
        <v>0</v>
      </c>
      <c r="D2462" s="14"/>
      <c r="F2462" s="9" cm="1">
        <f t="array" ref="F2462">SUMPRODUCT((Tablo3[Şehirler]=E2462)*(Tablo3[Ürün Kar Tutarı]))</f>
        <v>0</v>
      </c>
      <c r="H2462" s="14"/>
      <c r="J2462" s="9" cm="1">
        <f t="array" ref="J2462">SUMPRODUCT((Tablo3[Urun Ad]=I2462)*(Tablo3[Ürün Kar Tutarı]))</f>
        <v>0</v>
      </c>
      <c r="L2462" s="37"/>
    </row>
    <row r="2463" spans="1:12" x14ac:dyDescent="0.25">
      <c r="A2463" s="13"/>
      <c r="B2463" s="9" cm="1">
        <f t="array" ref="B2463">SUMPRODUCT((Tablo3[Personel Ad]=A2463)*(Tablo3[Ürün Kar Tutarı]))</f>
        <v>0</v>
      </c>
      <c r="D2463" s="14"/>
      <c r="F2463" s="9" cm="1">
        <f t="array" ref="F2463">SUMPRODUCT((Tablo3[Şehirler]=E2463)*(Tablo3[Ürün Kar Tutarı]))</f>
        <v>0</v>
      </c>
      <c r="H2463" s="14"/>
      <c r="J2463" s="9" cm="1">
        <f t="array" ref="J2463">SUMPRODUCT((Tablo3[Urun Ad]=I2463)*(Tablo3[Ürün Kar Tutarı]))</f>
        <v>0</v>
      </c>
      <c r="L2463" s="37"/>
    </row>
    <row r="2464" spans="1:12" x14ac:dyDescent="0.25">
      <c r="A2464" s="13"/>
      <c r="B2464" s="9" cm="1">
        <f t="array" ref="B2464">SUMPRODUCT((Tablo3[Personel Ad]=A2464)*(Tablo3[Ürün Kar Tutarı]))</f>
        <v>0</v>
      </c>
      <c r="D2464" s="14"/>
      <c r="F2464" s="9" cm="1">
        <f t="array" ref="F2464">SUMPRODUCT((Tablo3[Şehirler]=E2464)*(Tablo3[Ürün Kar Tutarı]))</f>
        <v>0</v>
      </c>
      <c r="H2464" s="14"/>
      <c r="J2464" s="9" cm="1">
        <f t="array" ref="J2464">SUMPRODUCT((Tablo3[Urun Ad]=I2464)*(Tablo3[Ürün Kar Tutarı]))</f>
        <v>0</v>
      </c>
      <c r="L2464" s="37"/>
    </row>
    <row r="2465" spans="1:12" x14ac:dyDescent="0.25">
      <c r="A2465" s="13"/>
      <c r="B2465" s="9" cm="1">
        <f t="array" ref="B2465">SUMPRODUCT((Tablo3[Personel Ad]=A2465)*(Tablo3[Ürün Kar Tutarı]))</f>
        <v>0</v>
      </c>
      <c r="D2465" s="14"/>
      <c r="F2465" s="9" cm="1">
        <f t="array" ref="F2465">SUMPRODUCT((Tablo3[Şehirler]=E2465)*(Tablo3[Ürün Kar Tutarı]))</f>
        <v>0</v>
      </c>
      <c r="H2465" s="14"/>
      <c r="J2465" s="9" cm="1">
        <f t="array" ref="J2465">SUMPRODUCT((Tablo3[Urun Ad]=I2465)*(Tablo3[Ürün Kar Tutarı]))</f>
        <v>0</v>
      </c>
      <c r="L2465" s="37"/>
    </row>
    <row r="2466" spans="1:12" x14ac:dyDescent="0.25">
      <c r="A2466" s="13"/>
      <c r="B2466" s="9" cm="1">
        <f t="array" ref="B2466">SUMPRODUCT((Tablo3[Personel Ad]=A2466)*(Tablo3[Ürün Kar Tutarı]))</f>
        <v>0</v>
      </c>
      <c r="D2466" s="14"/>
      <c r="F2466" s="9" cm="1">
        <f t="array" ref="F2466">SUMPRODUCT((Tablo3[Şehirler]=E2466)*(Tablo3[Ürün Kar Tutarı]))</f>
        <v>0</v>
      </c>
      <c r="H2466" s="14"/>
      <c r="J2466" s="9" cm="1">
        <f t="array" ref="J2466">SUMPRODUCT((Tablo3[Urun Ad]=I2466)*(Tablo3[Ürün Kar Tutarı]))</f>
        <v>0</v>
      </c>
      <c r="L2466" s="37"/>
    </row>
    <row r="2467" spans="1:12" x14ac:dyDescent="0.25">
      <c r="A2467" s="13"/>
      <c r="B2467" s="9" cm="1">
        <f t="array" ref="B2467">SUMPRODUCT((Tablo3[Personel Ad]=A2467)*(Tablo3[Ürün Kar Tutarı]))</f>
        <v>0</v>
      </c>
      <c r="D2467" s="14"/>
      <c r="F2467" s="9" cm="1">
        <f t="array" ref="F2467">SUMPRODUCT((Tablo3[Şehirler]=E2467)*(Tablo3[Ürün Kar Tutarı]))</f>
        <v>0</v>
      </c>
      <c r="H2467" s="14"/>
      <c r="J2467" s="9" cm="1">
        <f t="array" ref="J2467">SUMPRODUCT((Tablo3[Urun Ad]=I2467)*(Tablo3[Ürün Kar Tutarı]))</f>
        <v>0</v>
      </c>
      <c r="L2467" s="37"/>
    </row>
    <row r="2468" spans="1:12" x14ac:dyDescent="0.25">
      <c r="A2468" s="13"/>
      <c r="B2468" s="9" cm="1">
        <f t="array" ref="B2468">SUMPRODUCT((Tablo3[Personel Ad]=A2468)*(Tablo3[Ürün Kar Tutarı]))</f>
        <v>0</v>
      </c>
      <c r="D2468" s="14"/>
      <c r="F2468" s="9" cm="1">
        <f t="array" ref="F2468">SUMPRODUCT((Tablo3[Şehirler]=E2468)*(Tablo3[Ürün Kar Tutarı]))</f>
        <v>0</v>
      </c>
      <c r="H2468" s="14"/>
      <c r="J2468" s="9" cm="1">
        <f t="array" ref="J2468">SUMPRODUCT((Tablo3[Urun Ad]=I2468)*(Tablo3[Ürün Kar Tutarı]))</f>
        <v>0</v>
      </c>
      <c r="L2468" s="37"/>
    </row>
    <row r="2469" spans="1:12" x14ac:dyDescent="0.25">
      <c r="A2469" s="13"/>
      <c r="B2469" s="9" cm="1">
        <f t="array" ref="B2469">SUMPRODUCT((Tablo3[Personel Ad]=A2469)*(Tablo3[Ürün Kar Tutarı]))</f>
        <v>0</v>
      </c>
      <c r="D2469" s="14"/>
      <c r="F2469" s="9" cm="1">
        <f t="array" ref="F2469">SUMPRODUCT((Tablo3[Şehirler]=E2469)*(Tablo3[Ürün Kar Tutarı]))</f>
        <v>0</v>
      </c>
      <c r="H2469" s="14"/>
      <c r="J2469" s="9" cm="1">
        <f t="array" ref="J2469">SUMPRODUCT((Tablo3[Urun Ad]=I2469)*(Tablo3[Ürün Kar Tutarı]))</f>
        <v>0</v>
      </c>
      <c r="L2469" s="37"/>
    </row>
    <row r="2470" spans="1:12" x14ac:dyDescent="0.25">
      <c r="A2470" s="13"/>
      <c r="B2470" s="9" cm="1">
        <f t="array" ref="B2470">SUMPRODUCT((Tablo3[Personel Ad]=A2470)*(Tablo3[Ürün Kar Tutarı]))</f>
        <v>0</v>
      </c>
      <c r="D2470" s="14"/>
      <c r="F2470" s="9" cm="1">
        <f t="array" ref="F2470">SUMPRODUCT((Tablo3[Şehirler]=E2470)*(Tablo3[Ürün Kar Tutarı]))</f>
        <v>0</v>
      </c>
      <c r="H2470" s="14"/>
      <c r="J2470" s="9" cm="1">
        <f t="array" ref="J2470">SUMPRODUCT((Tablo3[Urun Ad]=I2470)*(Tablo3[Ürün Kar Tutarı]))</f>
        <v>0</v>
      </c>
      <c r="L2470" s="37"/>
    </row>
    <row r="2471" spans="1:12" x14ac:dyDescent="0.25">
      <c r="A2471" s="13"/>
      <c r="B2471" s="9" cm="1">
        <f t="array" ref="B2471">SUMPRODUCT((Tablo3[Personel Ad]=A2471)*(Tablo3[Ürün Kar Tutarı]))</f>
        <v>0</v>
      </c>
      <c r="D2471" s="14"/>
      <c r="F2471" s="9" cm="1">
        <f t="array" ref="F2471">SUMPRODUCT((Tablo3[Şehirler]=E2471)*(Tablo3[Ürün Kar Tutarı]))</f>
        <v>0</v>
      </c>
      <c r="H2471" s="14"/>
      <c r="J2471" s="9" cm="1">
        <f t="array" ref="J2471">SUMPRODUCT((Tablo3[Urun Ad]=I2471)*(Tablo3[Ürün Kar Tutarı]))</f>
        <v>0</v>
      </c>
      <c r="L2471" s="37"/>
    </row>
    <row r="2472" spans="1:12" x14ac:dyDescent="0.25">
      <c r="A2472" s="13"/>
      <c r="B2472" s="9" cm="1">
        <f t="array" ref="B2472">SUMPRODUCT((Tablo3[Personel Ad]=A2472)*(Tablo3[Ürün Kar Tutarı]))</f>
        <v>0</v>
      </c>
      <c r="D2472" s="14"/>
      <c r="F2472" s="9" cm="1">
        <f t="array" ref="F2472">SUMPRODUCT((Tablo3[Şehirler]=E2472)*(Tablo3[Ürün Kar Tutarı]))</f>
        <v>0</v>
      </c>
      <c r="H2472" s="14"/>
      <c r="J2472" s="9" cm="1">
        <f t="array" ref="J2472">SUMPRODUCT((Tablo3[Urun Ad]=I2472)*(Tablo3[Ürün Kar Tutarı]))</f>
        <v>0</v>
      </c>
      <c r="L2472" s="37"/>
    </row>
    <row r="2473" spans="1:12" x14ac:dyDescent="0.25">
      <c r="A2473" s="13"/>
      <c r="B2473" s="9" cm="1">
        <f t="array" ref="B2473">SUMPRODUCT((Tablo3[Personel Ad]=A2473)*(Tablo3[Ürün Kar Tutarı]))</f>
        <v>0</v>
      </c>
      <c r="D2473" s="14"/>
      <c r="F2473" s="9" cm="1">
        <f t="array" ref="F2473">SUMPRODUCT((Tablo3[Şehirler]=E2473)*(Tablo3[Ürün Kar Tutarı]))</f>
        <v>0</v>
      </c>
      <c r="H2473" s="14"/>
      <c r="J2473" s="9" cm="1">
        <f t="array" ref="J2473">SUMPRODUCT((Tablo3[Urun Ad]=I2473)*(Tablo3[Ürün Kar Tutarı]))</f>
        <v>0</v>
      </c>
      <c r="L2473" s="37"/>
    </row>
    <row r="2474" spans="1:12" x14ac:dyDescent="0.25">
      <c r="A2474" s="13"/>
      <c r="B2474" s="9" cm="1">
        <f t="array" ref="B2474">SUMPRODUCT((Tablo3[Personel Ad]=A2474)*(Tablo3[Ürün Kar Tutarı]))</f>
        <v>0</v>
      </c>
      <c r="D2474" s="14"/>
      <c r="F2474" s="9" cm="1">
        <f t="array" ref="F2474">SUMPRODUCT((Tablo3[Şehirler]=E2474)*(Tablo3[Ürün Kar Tutarı]))</f>
        <v>0</v>
      </c>
      <c r="H2474" s="14"/>
      <c r="J2474" s="9" cm="1">
        <f t="array" ref="J2474">SUMPRODUCT((Tablo3[Urun Ad]=I2474)*(Tablo3[Ürün Kar Tutarı]))</f>
        <v>0</v>
      </c>
      <c r="L2474" s="37"/>
    </row>
    <row r="2475" spans="1:12" x14ac:dyDescent="0.25">
      <c r="A2475" s="13"/>
      <c r="B2475" s="9" cm="1">
        <f t="array" ref="B2475">SUMPRODUCT((Tablo3[Personel Ad]=A2475)*(Tablo3[Ürün Kar Tutarı]))</f>
        <v>0</v>
      </c>
      <c r="D2475" s="14"/>
      <c r="F2475" s="9" cm="1">
        <f t="array" ref="F2475">SUMPRODUCT((Tablo3[Şehirler]=E2475)*(Tablo3[Ürün Kar Tutarı]))</f>
        <v>0</v>
      </c>
      <c r="H2475" s="14"/>
      <c r="J2475" s="9" cm="1">
        <f t="array" ref="J2475">SUMPRODUCT((Tablo3[Urun Ad]=I2475)*(Tablo3[Ürün Kar Tutarı]))</f>
        <v>0</v>
      </c>
      <c r="L2475" s="37"/>
    </row>
    <row r="2476" spans="1:12" x14ac:dyDescent="0.25">
      <c r="A2476" s="13"/>
      <c r="B2476" s="9" cm="1">
        <f t="array" ref="B2476">SUMPRODUCT((Tablo3[Personel Ad]=A2476)*(Tablo3[Ürün Kar Tutarı]))</f>
        <v>0</v>
      </c>
      <c r="D2476" s="14"/>
      <c r="F2476" s="9" cm="1">
        <f t="array" ref="F2476">SUMPRODUCT((Tablo3[Şehirler]=E2476)*(Tablo3[Ürün Kar Tutarı]))</f>
        <v>0</v>
      </c>
      <c r="H2476" s="14"/>
      <c r="J2476" s="9" cm="1">
        <f t="array" ref="J2476">SUMPRODUCT((Tablo3[Urun Ad]=I2476)*(Tablo3[Ürün Kar Tutarı]))</f>
        <v>0</v>
      </c>
      <c r="L2476" s="37"/>
    </row>
    <row r="2477" spans="1:12" x14ac:dyDescent="0.25">
      <c r="A2477" s="13"/>
      <c r="B2477" s="9" cm="1">
        <f t="array" ref="B2477">SUMPRODUCT((Tablo3[Personel Ad]=A2477)*(Tablo3[Ürün Kar Tutarı]))</f>
        <v>0</v>
      </c>
      <c r="D2477" s="14"/>
      <c r="F2477" s="9" cm="1">
        <f t="array" ref="F2477">SUMPRODUCT((Tablo3[Şehirler]=E2477)*(Tablo3[Ürün Kar Tutarı]))</f>
        <v>0</v>
      </c>
      <c r="H2477" s="14"/>
      <c r="J2477" s="9" cm="1">
        <f t="array" ref="J2477">SUMPRODUCT((Tablo3[Urun Ad]=I2477)*(Tablo3[Ürün Kar Tutarı]))</f>
        <v>0</v>
      </c>
      <c r="L2477" s="37"/>
    </row>
    <row r="2478" spans="1:12" x14ac:dyDescent="0.25">
      <c r="A2478" s="13"/>
      <c r="B2478" s="9" cm="1">
        <f t="array" ref="B2478">SUMPRODUCT((Tablo3[Personel Ad]=A2478)*(Tablo3[Ürün Kar Tutarı]))</f>
        <v>0</v>
      </c>
      <c r="D2478" s="14"/>
      <c r="F2478" s="9" cm="1">
        <f t="array" ref="F2478">SUMPRODUCT((Tablo3[Şehirler]=E2478)*(Tablo3[Ürün Kar Tutarı]))</f>
        <v>0</v>
      </c>
      <c r="H2478" s="14"/>
      <c r="J2478" s="9" cm="1">
        <f t="array" ref="J2478">SUMPRODUCT((Tablo3[Urun Ad]=I2478)*(Tablo3[Ürün Kar Tutarı]))</f>
        <v>0</v>
      </c>
      <c r="L2478" s="37"/>
    </row>
    <row r="2479" spans="1:12" x14ac:dyDescent="0.25">
      <c r="A2479" s="13"/>
      <c r="B2479" s="9" cm="1">
        <f t="array" ref="B2479">SUMPRODUCT((Tablo3[Personel Ad]=A2479)*(Tablo3[Ürün Kar Tutarı]))</f>
        <v>0</v>
      </c>
      <c r="D2479" s="14"/>
      <c r="F2479" s="9" cm="1">
        <f t="array" ref="F2479">SUMPRODUCT((Tablo3[Şehirler]=E2479)*(Tablo3[Ürün Kar Tutarı]))</f>
        <v>0</v>
      </c>
      <c r="H2479" s="14"/>
      <c r="J2479" s="9" cm="1">
        <f t="array" ref="J2479">SUMPRODUCT((Tablo3[Urun Ad]=I2479)*(Tablo3[Ürün Kar Tutarı]))</f>
        <v>0</v>
      </c>
      <c r="L2479" s="37"/>
    </row>
    <row r="2480" spans="1:12" x14ac:dyDescent="0.25">
      <c r="A2480" s="13"/>
      <c r="B2480" s="9" cm="1">
        <f t="array" ref="B2480">SUMPRODUCT((Tablo3[Personel Ad]=A2480)*(Tablo3[Ürün Kar Tutarı]))</f>
        <v>0</v>
      </c>
      <c r="D2480" s="14"/>
      <c r="F2480" s="9" cm="1">
        <f t="array" ref="F2480">SUMPRODUCT((Tablo3[Şehirler]=E2480)*(Tablo3[Ürün Kar Tutarı]))</f>
        <v>0</v>
      </c>
      <c r="H2480" s="14"/>
      <c r="J2480" s="9" cm="1">
        <f t="array" ref="J2480">SUMPRODUCT((Tablo3[Urun Ad]=I2480)*(Tablo3[Ürün Kar Tutarı]))</f>
        <v>0</v>
      </c>
      <c r="L2480" s="37"/>
    </row>
    <row r="2481" spans="1:12" x14ac:dyDescent="0.25">
      <c r="A2481" s="13"/>
      <c r="B2481" s="9" cm="1">
        <f t="array" ref="B2481">SUMPRODUCT((Tablo3[Personel Ad]=A2481)*(Tablo3[Ürün Kar Tutarı]))</f>
        <v>0</v>
      </c>
      <c r="D2481" s="14"/>
      <c r="F2481" s="9" cm="1">
        <f t="array" ref="F2481">SUMPRODUCT((Tablo3[Şehirler]=E2481)*(Tablo3[Ürün Kar Tutarı]))</f>
        <v>0</v>
      </c>
      <c r="H2481" s="14"/>
      <c r="J2481" s="9" cm="1">
        <f t="array" ref="J2481">SUMPRODUCT((Tablo3[Urun Ad]=I2481)*(Tablo3[Ürün Kar Tutarı]))</f>
        <v>0</v>
      </c>
      <c r="L2481" s="37"/>
    </row>
    <row r="2482" spans="1:12" x14ac:dyDescent="0.25">
      <c r="A2482" s="13"/>
      <c r="B2482" s="9" cm="1">
        <f t="array" ref="B2482">SUMPRODUCT((Tablo3[Personel Ad]=A2482)*(Tablo3[Ürün Kar Tutarı]))</f>
        <v>0</v>
      </c>
      <c r="D2482" s="14"/>
      <c r="F2482" s="9" cm="1">
        <f t="array" ref="F2482">SUMPRODUCT((Tablo3[Şehirler]=E2482)*(Tablo3[Ürün Kar Tutarı]))</f>
        <v>0</v>
      </c>
      <c r="H2482" s="14"/>
      <c r="J2482" s="9" cm="1">
        <f t="array" ref="J2482">SUMPRODUCT((Tablo3[Urun Ad]=I2482)*(Tablo3[Ürün Kar Tutarı]))</f>
        <v>0</v>
      </c>
      <c r="L2482" s="37"/>
    </row>
    <row r="2483" spans="1:12" x14ac:dyDescent="0.25">
      <c r="A2483" s="13"/>
      <c r="B2483" s="9" cm="1">
        <f t="array" ref="B2483">SUMPRODUCT((Tablo3[Personel Ad]=A2483)*(Tablo3[Ürün Kar Tutarı]))</f>
        <v>0</v>
      </c>
      <c r="D2483" s="14"/>
      <c r="F2483" s="9" cm="1">
        <f t="array" ref="F2483">SUMPRODUCT((Tablo3[Şehirler]=E2483)*(Tablo3[Ürün Kar Tutarı]))</f>
        <v>0</v>
      </c>
      <c r="H2483" s="14"/>
      <c r="J2483" s="9" cm="1">
        <f t="array" ref="J2483">SUMPRODUCT((Tablo3[Urun Ad]=I2483)*(Tablo3[Ürün Kar Tutarı]))</f>
        <v>0</v>
      </c>
      <c r="L2483" s="37"/>
    </row>
    <row r="2484" spans="1:12" x14ac:dyDescent="0.25">
      <c r="A2484" s="13"/>
      <c r="B2484" s="9" cm="1">
        <f t="array" ref="B2484">SUMPRODUCT((Tablo3[Personel Ad]=A2484)*(Tablo3[Ürün Kar Tutarı]))</f>
        <v>0</v>
      </c>
      <c r="D2484" s="14"/>
      <c r="F2484" s="9" cm="1">
        <f t="array" ref="F2484">SUMPRODUCT((Tablo3[Şehirler]=E2484)*(Tablo3[Ürün Kar Tutarı]))</f>
        <v>0</v>
      </c>
      <c r="H2484" s="14"/>
      <c r="J2484" s="9" cm="1">
        <f t="array" ref="J2484">SUMPRODUCT((Tablo3[Urun Ad]=I2484)*(Tablo3[Ürün Kar Tutarı]))</f>
        <v>0</v>
      </c>
      <c r="L2484" s="37"/>
    </row>
    <row r="2485" spans="1:12" x14ac:dyDescent="0.25">
      <c r="A2485" s="13"/>
      <c r="B2485" s="9" cm="1">
        <f t="array" ref="B2485">SUMPRODUCT((Tablo3[Personel Ad]=A2485)*(Tablo3[Ürün Kar Tutarı]))</f>
        <v>0</v>
      </c>
      <c r="D2485" s="14"/>
      <c r="F2485" s="9" cm="1">
        <f t="array" ref="F2485">SUMPRODUCT((Tablo3[Şehirler]=E2485)*(Tablo3[Ürün Kar Tutarı]))</f>
        <v>0</v>
      </c>
      <c r="H2485" s="14"/>
      <c r="J2485" s="9" cm="1">
        <f t="array" ref="J2485">SUMPRODUCT((Tablo3[Urun Ad]=I2485)*(Tablo3[Ürün Kar Tutarı]))</f>
        <v>0</v>
      </c>
      <c r="L2485" s="37"/>
    </row>
    <row r="2486" spans="1:12" x14ac:dyDescent="0.25">
      <c r="A2486" s="13"/>
      <c r="B2486" s="9" cm="1">
        <f t="array" ref="B2486">SUMPRODUCT((Tablo3[Personel Ad]=A2486)*(Tablo3[Ürün Kar Tutarı]))</f>
        <v>0</v>
      </c>
      <c r="D2486" s="14"/>
      <c r="F2486" s="9" cm="1">
        <f t="array" ref="F2486">SUMPRODUCT((Tablo3[Şehirler]=E2486)*(Tablo3[Ürün Kar Tutarı]))</f>
        <v>0</v>
      </c>
      <c r="H2486" s="14"/>
      <c r="J2486" s="9" cm="1">
        <f t="array" ref="J2486">SUMPRODUCT((Tablo3[Urun Ad]=I2486)*(Tablo3[Ürün Kar Tutarı]))</f>
        <v>0</v>
      </c>
      <c r="L2486" s="37"/>
    </row>
    <row r="2487" spans="1:12" x14ac:dyDescent="0.25">
      <c r="A2487" s="13"/>
      <c r="B2487" s="9" cm="1">
        <f t="array" ref="B2487">SUMPRODUCT((Tablo3[Personel Ad]=A2487)*(Tablo3[Ürün Kar Tutarı]))</f>
        <v>0</v>
      </c>
      <c r="D2487" s="14"/>
      <c r="F2487" s="9" cm="1">
        <f t="array" ref="F2487">SUMPRODUCT((Tablo3[Şehirler]=E2487)*(Tablo3[Ürün Kar Tutarı]))</f>
        <v>0</v>
      </c>
      <c r="H2487" s="14"/>
      <c r="J2487" s="9" cm="1">
        <f t="array" ref="J2487">SUMPRODUCT((Tablo3[Urun Ad]=I2487)*(Tablo3[Ürün Kar Tutarı]))</f>
        <v>0</v>
      </c>
      <c r="L2487" s="37"/>
    </row>
    <row r="2488" spans="1:12" x14ac:dyDescent="0.25">
      <c r="A2488" s="13"/>
      <c r="B2488" s="9" cm="1">
        <f t="array" ref="B2488">SUMPRODUCT((Tablo3[Personel Ad]=A2488)*(Tablo3[Ürün Kar Tutarı]))</f>
        <v>0</v>
      </c>
      <c r="D2488" s="14"/>
      <c r="F2488" s="9" cm="1">
        <f t="array" ref="F2488">SUMPRODUCT((Tablo3[Şehirler]=E2488)*(Tablo3[Ürün Kar Tutarı]))</f>
        <v>0</v>
      </c>
      <c r="H2488" s="14"/>
      <c r="J2488" s="9" cm="1">
        <f t="array" ref="J2488">SUMPRODUCT((Tablo3[Urun Ad]=I2488)*(Tablo3[Ürün Kar Tutarı]))</f>
        <v>0</v>
      </c>
      <c r="L2488" s="37"/>
    </row>
    <row r="2489" spans="1:12" x14ac:dyDescent="0.25">
      <c r="A2489" s="13"/>
      <c r="B2489" s="9" cm="1">
        <f t="array" ref="B2489">SUMPRODUCT((Tablo3[Personel Ad]=A2489)*(Tablo3[Ürün Kar Tutarı]))</f>
        <v>0</v>
      </c>
      <c r="D2489" s="14"/>
      <c r="F2489" s="9" cm="1">
        <f t="array" ref="F2489">SUMPRODUCT((Tablo3[Şehirler]=E2489)*(Tablo3[Ürün Kar Tutarı]))</f>
        <v>0</v>
      </c>
      <c r="H2489" s="14"/>
      <c r="J2489" s="9" cm="1">
        <f t="array" ref="J2489">SUMPRODUCT((Tablo3[Urun Ad]=I2489)*(Tablo3[Ürün Kar Tutarı]))</f>
        <v>0</v>
      </c>
      <c r="L2489" s="37"/>
    </row>
    <row r="2490" spans="1:12" x14ac:dyDescent="0.25">
      <c r="A2490" s="13"/>
      <c r="B2490" s="9" cm="1">
        <f t="array" ref="B2490">SUMPRODUCT((Tablo3[Personel Ad]=A2490)*(Tablo3[Ürün Kar Tutarı]))</f>
        <v>0</v>
      </c>
      <c r="D2490" s="14"/>
      <c r="F2490" s="9" cm="1">
        <f t="array" ref="F2490">SUMPRODUCT((Tablo3[Şehirler]=E2490)*(Tablo3[Ürün Kar Tutarı]))</f>
        <v>0</v>
      </c>
      <c r="H2490" s="14"/>
      <c r="J2490" s="9" cm="1">
        <f t="array" ref="J2490">SUMPRODUCT((Tablo3[Urun Ad]=I2490)*(Tablo3[Ürün Kar Tutarı]))</f>
        <v>0</v>
      </c>
      <c r="L2490" s="37"/>
    </row>
    <row r="2491" spans="1:12" x14ac:dyDescent="0.25">
      <c r="A2491" s="13"/>
      <c r="B2491" s="9" cm="1">
        <f t="array" ref="B2491">SUMPRODUCT((Tablo3[Personel Ad]=A2491)*(Tablo3[Ürün Kar Tutarı]))</f>
        <v>0</v>
      </c>
      <c r="D2491" s="14"/>
      <c r="F2491" s="9" cm="1">
        <f t="array" ref="F2491">SUMPRODUCT((Tablo3[Şehirler]=E2491)*(Tablo3[Ürün Kar Tutarı]))</f>
        <v>0</v>
      </c>
      <c r="H2491" s="14"/>
      <c r="J2491" s="9" cm="1">
        <f t="array" ref="J2491">SUMPRODUCT((Tablo3[Urun Ad]=I2491)*(Tablo3[Ürün Kar Tutarı]))</f>
        <v>0</v>
      </c>
      <c r="L2491" s="37"/>
    </row>
    <row r="2492" spans="1:12" x14ac:dyDescent="0.25">
      <c r="A2492" s="13"/>
      <c r="B2492" s="9" cm="1">
        <f t="array" ref="B2492">SUMPRODUCT((Tablo3[Personel Ad]=A2492)*(Tablo3[Ürün Kar Tutarı]))</f>
        <v>0</v>
      </c>
      <c r="D2492" s="14"/>
      <c r="F2492" s="9" cm="1">
        <f t="array" ref="F2492">SUMPRODUCT((Tablo3[Şehirler]=E2492)*(Tablo3[Ürün Kar Tutarı]))</f>
        <v>0</v>
      </c>
      <c r="H2492" s="14"/>
      <c r="J2492" s="9" cm="1">
        <f t="array" ref="J2492">SUMPRODUCT((Tablo3[Urun Ad]=I2492)*(Tablo3[Ürün Kar Tutarı]))</f>
        <v>0</v>
      </c>
      <c r="L2492" s="37"/>
    </row>
    <row r="2493" spans="1:12" x14ac:dyDescent="0.25">
      <c r="A2493" s="13"/>
      <c r="B2493" s="9" cm="1">
        <f t="array" ref="B2493">SUMPRODUCT((Tablo3[Personel Ad]=A2493)*(Tablo3[Ürün Kar Tutarı]))</f>
        <v>0</v>
      </c>
      <c r="D2493" s="14"/>
      <c r="F2493" s="9" cm="1">
        <f t="array" ref="F2493">SUMPRODUCT((Tablo3[Şehirler]=E2493)*(Tablo3[Ürün Kar Tutarı]))</f>
        <v>0</v>
      </c>
      <c r="H2493" s="14"/>
      <c r="J2493" s="9" cm="1">
        <f t="array" ref="J2493">SUMPRODUCT((Tablo3[Urun Ad]=I2493)*(Tablo3[Ürün Kar Tutarı]))</f>
        <v>0</v>
      </c>
      <c r="L2493" s="37"/>
    </row>
    <row r="2494" spans="1:12" x14ac:dyDescent="0.25">
      <c r="A2494" s="13"/>
      <c r="B2494" s="9" cm="1">
        <f t="array" ref="B2494">SUMPRODUCT((Tablo3[Personel Ad]=A2494)*(Tablo3[Ürün Kar Tutarı]))</f>
        <v>0</v>
      </c>
      <c r="D2494" s="14"/>
      <c r="F2494" s="9" cm="1">
        <f t="array" ref="F2494">SUMPRODUCT((Tablo3[Şehirler]=E2494)*(Tablo3[Ürün Kar Tutarı]))</f>
        <v>0</v>
      </c>
      <c r="H2494" s="14"/>
      <c r="J2494" s="9" cm="1">
        <f t="array" ref="J2494">SUMPRODUCT((Tablo3[Urun Ad]=I2494)*(Tablo3[Ürün Kar Tutarı]))</f>
        <v>0</v>
      </c>
      <c r="L2494" s="37"/>
    </row>
    <row r="2495" spans="1:12" x14ac:dyDescent="0.25">
      <c r="A2495" s="13"/>
      <c r="B2495" s="9" cm="1">
        <f t="array" ref="B2495">SUMPRODUCT((Tablo3[Personel Ad]=A2495)*(Tablo3[Ürün Kar Tutarı]))</f>
        <v>0</v>
      </c>
      <c r="D2495" s="14"/>
      <c r="F2495" s="9" cm="1">
        <f t="array" ref="F2495">SUMPRODUCT((Tablo3[Şehirler]=E2495)*(Tablo3[Ürün Kar Tutarı]))</f>
        <v>0</v>
      </c>
      <c r="H2495" s="14"/>
      <c r="J2495" s="9" cm="1">
        <f t="array" ref="J2495">SUMPRODUCT((Tablo3[Urun Ad]=I2495)*(Tablo3[Ürün Kar Tutarı]))</f>
        <v>0</v>
      </c>
      <c r="L2495" s="37"/>
    </row>
    <row r="2496" spans="1:12" x14ac:dyDescent="0.25">
      <c r="A2496" s="13"/>
      <c r="B2496" s="9" cm="1">
        <f t="array" ref="B2496">SUMPRODUCT((Tablo3[Personel Ad]=A2496)*(Tablo3[Ürün Kar Tutarı]))</f>
        <v>0</v>
      </c>
      <c r="D2496" s="14"/>
      <c r="F2496" s="9" cm="1">
        <f t="array" ref="F2496">SUMPRODUCT((Tablo3[Şehirler]=E2496)*(Tablo3[Ürün Kar Tutarı]))</f>
        <v>0</v>
      </c>
      <c r="H2496" s="14"/>
      <c r="J2496" s="9" cm="1">
        <f t="array" ref="J2496">SUMPRODUCT((Tablo3[Urun Ad]=I2496)*(Tablo3[Ürün Kar Tutarı]))</f>
        <v>0</v>
      </c>
      <c r="L2496" s="37"/>
    </row>
    <row r="2497" spans="1:12" x14ac:dyDescent="0.25">
      <c r="A2497" s="13"/>
      <c r="B2497" s="9" cm="1">
        <f t="array" ref="B2497">SUMPRODUCT((Tablo3[Personel Ad]=A2497)*(Tablo3[Ürün Kar Tutarı]))</f>
        <v>0</v>
      </c>
      <c r="D2497" s="14"/>
      <c r="F2497" s="9" cm="1">
        <f t="array" ref="F2497">SUMPRODUCT((Tablo3[Şehirler]=E2497)*(Tablo3[Ürün Kar Tutarı]))</f>
        <v>0</v>
      </c>
      <c r="H2497" s="14"/>
      <c r="J2497" s="9" cm="1">
        <f t="array" ref="J2497">SUMPRODUCT((Tablo3[Urun Ad]=I2497)*(Tablo3[Ürün Kar Tutarı]))</f>
        <v>0</v>
      </c>
      <c r="L2497" s="37"/>
    </row>
    <row r="2498" spans="1:12" x14ac:dyDescent="0.25">
      <c r="A2498" s="13"/>
      <c r="B2498" s="9" cm="1">
        <f t="array" ref="B2498">SUMPRODUCT((Tablo3[Personel Ad]=A2498)*(Tablo3[Ürün Kar Tutarı]))</f>
        <v>0</v>
      </c>
      <c r="D2498" s="14"/>
      <c r="F2498" s="9" cm="1">
        <f t="array" ref="F2498">SUMPRODUCT((Tablo3[Şehirler]=E2498)*(Tablo3[Ürün Kar Tutarı]))</f>
        <v>0</v>
      </c>
      <c r="H2498" s="14"/>
      <c r="J2498" s="9" cm="1">
        <f t="array" ref="J2498">SUMPRODUCT((Tablo3[Urun Ad]=I2498)*(Tablo3[Ürün Kar Tutarı]))</f>
        <v>0</v>
      </c>
      <c r="L2498" s="37"/>
    </row>
    <row r="2499" spans="1:12" x14ac:dyDescent="0.25">
      <c r="A2499" s="13"/>
      <c r="B2499" s="9" cm="1">
        <f t="array" ref="B2499">SUMPRODUCT((Tablo3[Personel Ad]=A2499)*(Tablo3[Ürün Kar Tutarı]))</f>
        <v>0</v>
      </c>
      <c r="D2499" s="14"/>
      <c r="F2499" s="9" cm="1">
        <f t="array" ref="F2499">SUMPRODUCT((Tablo3[Şehirler]=E2499)*(Tablo3[Ürün Kar Tutarı]))</f>
        <v>0</v>
      </c>
      <c r="H2499" s="14"/>
      <c r="J2499" s="9" cm="1">
        <f t="array" ref="J2499">SUMPRODUCT((Tablo3[Urun Ad]=I2499)*(Tablo3[Ürün Kar Tutarı]))</f>
        <v>0</v>
      </c>
      <c r="L2499" s="37"/>
    </row>
    <row r="2500" spans="1:12" x14ac:dyDescent="0.25">
      <c r="A2500" s="13"/>
      <c r="B2500" s="9" cm="1">
        <f t="array" ref="B2500">SUMPRODUCT((Tablo3[Personel Ad]=A2500)*(Tablo3[Ürün Kar Tutarı]))</f>
        <v>0</v>
      </c>
      <c r="D2500" s="14"/>
      <c r="F2500" s="9" cm="1">
        <f t="array" ref="F2500">SUMPRODUCT((Tablo3[Şehirler]=E2500)*(Tablo3[Ürün Kar Tutarı]))</f>
        <v>0</v>
      </c>
      <c r="H2500" s="14"/>
      <c r="J2500" s="9" cm="1">
        <f t="array" ref="J2500">SUMPRODUCT((Tablo3[Urun Ad]=I2500)*(Tablo3[Ürün Kar Tutarı]))</f>
        <v>0</v>
      </c>
      <c r="L2500" s="37"/>
    </row>
    <row r="2501" spans="1:12" x14ac:dyDescent="0.25">
      <c r="A2501" s="13"/>
      <c r="B2501" s="9" cm="1">
        <f t="array" ref="B2501">SUMPRODUCT((Tablo3[Personel Ad]=A2501)*(Tablo3[Ürün Kar Tutarı]))</f>
        <v>0</v>
      </c>
      <c r="D2501" s="14"/>
      <c r="F2501" s="9" cm="1">
        <f t="array" ref="F2501">SUMPRODUCT((Tablo3[Şehirler]=E2501)*(Tablo3[Ürün Kar Tutarı]))</f>
        <v>0</v>
      </c>
      <c r="H2501" s="14"/>
      <c r="J2501" s="9" cm="1">
        <f t="array" ref="J2501">SUMPRODUCT((Tablo3[Urun Ad]=I2501)*(Tablo3[Ürün Kar Tutarı]))</f>
        <v>0</v>
      </c>
      <c r="L2501" s="37"/>
    </row>
    <row r="2502" spans="1:12" x14ac:dyDescent="0.25">
      <c r="A2502" s="13"/>
      <c r="B2502" s="9" cm="1">
        <f t="array" ref="B2502">SUMPRODUCT((Tablo3[Personel Ad]=A2502)*(Tablo3[Ürün Kar Tutarı]))</f>
        <v>0</v>
      </c>
      <c r="D2502" s="14"/>
      <c r="F2502" s="9" cm="1">
        <f t="array" ref="F2502">SUMPRODUCT((Tablo3[Şehirler]=E2502)*(Tablo3[Ürün Kar Tutarı]))</f>
        <v>0</v>
      </c>
      <c r="H2502" s="14"/>
      <c r="J2502" s="9" cm="1">
        <f t="array" ref="J2502">SUMPRODUCT((Tablo3[Urun Ad]=I2502)*(Tablo3[Ürün Kar Tutarı]))</f>
        <v>0</v>
      </c>
      <c r="L2502" s="37"/>
    </row>
    <row r="2503" spans="1:12" x14ac:dyDescent="0.25">
      <c r="A2503" s="13"/>
      <c r="B2503" s="9" cm="1">
        <f t="array" ref="B2503">SUMPRODUCT((Tablo3[Personel Ad]=A2503)*(Tablo3[Ürün Kar Tutarı]))</f>
        <v>0</v>
      </c>
      <c r="D2503" s="14"/>
      <c r="F2503" s="9" cm="1">
        <f t="array" ref="F2503">SUMPRODUCT((Tablo3[Şehirler]=E2503)*(Tablo3[Ürün Kar Tutarı]))</f>
        <v>0</v>
      </c>
      <c r="H2503" s="14"/>
      <c r="J2503" s="9" cm="1">
        <f t="array" ref="J2503">SUMPRODUCT((Tablo3[Urun Ad]=I2503)*(Tablo3[Ürün Kar Tutarı]))</f>
        <v>0</v>
      </c>
      <c r="L2503" s="37"/>
    </row>
    <row r="2504" spans="1:12" x14ac:dyDescent="0.25">
      <c r="A2504" s="13"/>
      <c r="B2504" s="9" cm="1">
        <f t="array" ref="B2504">SUMPRODUCT((Tablo3[Personel Ad]=A2504)*(Tablo3[Ürün Kar Tutarı]))</f>
        <v>0</v>
      </c>
      <c r="D2504" s="14"/>
      <c r="F2504" s="9" cm="1">
        <f t="array" ref="F2504">SUMPRODUCT((Tablo3[Şehirler]=E2504)*(Tablo3[Ürün Kar Tutarı]))</f>
        <v>0</v>
      </c>
      <c r="H2504" s="14"/>
      <c r="J2504" s="9" cm="1">
        <f t="array" ref="J2504">SUMPRODUCT((Tablo3[Urun Ad]=I2504)*(Tablo3[Ürün Kar Tutarı]))</f>
        <v>0</v>
      </c>
      <c r="L2504" s="37"/>
    </row>
    <row r="2505" spans="1:12" x14ac:dyDescent="0.25">
      <c r="A2505" s="13"/>
      <c r="B2505" s="9" cm="1">
        <f t="array" ref="B2505">SUMPRODUCT((Tablo3[Personel Ad]=A2505)*(Tablo3[Ürün Kar Tutarı]))</f>
        <v>0</v>
      </c>
      <c r="D2505" s="14"/>
      <c r="F2505" s="9" cm="1">
        <f t="array" ref="F2505">SUMPRODUCT((Tablo3[Şehirler]=E2505)*(Tablo3[Ürün Kar Tutarı]))</f>
        <v>0</v>
      </c>
      <c r="H2505" s="14"/>
      <c r="J2505" s="9" cm="1">
        <f t="array" ref="J2505">SUMPRODUCT((Tablo3[Urun Ad]=I2505)*(Tablo3[Ürün Kar Tutarı]))</f>
        <v>0</v>
      </c>
      <c r="L2505" s="37"/>
    </row>
    <row r="2506" spans="1:12" x14ac:dyDescent="0.25">
      <c r="A2506" s="13"/>
      <c r="B2506" s="9" cm="1">
        <f t="array" ref="B2506">SUMPRODUCT((Tablo3[Personel Ad]=A2506)*(Tablo3[Ürün Kar Tutarı]))</f>
        <v>0</v>
      </c>
      <c r="D2506" s="14"/>
      <c r="F2506" s="9" cm="1">
        <f t="array" ref="F2506">SUMPRODUCT((Tablo3[Şehirler]=E2506)*(Tablo3[Ürün Kar Tutarı]))</f>
        <v>0</v>
      </c>
      <c r="H2506" s="14"/>
      <c r="J2506" s="9" cm="1">
        <f t="array" ref="J2506">SUMPRODUCT((Tablo3[Urun Ad]=I2506)*(Tablo3[Ürün Kar Tutarı]))</f>
        <v>0</v>
      </c>
      <c r="L2506" s="37"/>
    </row>
    <row r="2507" spans="1:12" x14ac:dyDescent="0.25">
      <c r="A2507" s="13"/>
      <c r="B2507" s="9" cm="1">
        <f t="array" ref="B2507">SUMPRODUCT((Tablo3[Personel Ad]=A2507)*(Tablo3[Ürün Kar Tutarı]))</f>
        <v>0</v>
      </c>
      <c r="D2507" s="14"/>
      <c r="F2507" s="9" cm="1">
        <f t="array" ref="F2507">SUMPRODUCT((Tablo3[Şehirler]=E2507)*(Tablo3[Ürün Kar Tutarı]))</f>
        <v>0</v>
      </c>
      <c r="H2507" s="14"/>
      <c r="J2507" s="9" cm="1">
        <f t="array" ref="J2507">SUMPRODUCT((Tablo3[Urun Ad]=I2507)*(Tablo3[Ürün Kar Tutarı]))</f>
        <v>0</v>
      </c>
      <c r="L2507" s="37"/>
    </row>
    <row r="2508" spans="1:12" x14ac:dyDescent="0.25">
      <c r="A2508" s="13"/>
      <c r="B2508" s="9" cm="1">
        <f t="array" ref="B2508">SUMPRODUCT((Tablo3[Personel Ad]=A2508)*(Tablo3[Ürün Kar Tutarı]))</f>
        <v>0</v>
      </c>
      <c r="D2508" s="14"/>
      <c r="F2508" s="9" cm="1">
        <f t="array" ref="F2508">SUMPRODUCT((Tablo3[Şehirler]=E2508)*(Tablo3[Ürün Kar Tutarı]))</f>
        <v>0</v>
      </c>
      <c r="H2508" s="14"/>
      <c r="J2508" s="9" cm="1">
        <f t="array" ref="J2508">SUMPRODUCT((Tablo3[Urun Ad]=I2508)*(Tablo3[Ürün Kar Tutarı]))</f>
        <v>0</v>
      </c>
      <c r="L2508" s="37"/>
    </row>
    <row r="2509" spans="1:12" x14ac:dyDescent="0.25">
      <c r="A2509" s="13"/>
      <c r="B2509" s="9" cm="1">
        <f t="array" ref="B2509">SUMPRODUCT((Tablo3[Personel Ad]=A2509)*(Tablo3[Ürün Kar Tutarı]))</f>
        <v>0</v>
      </c>
      <c r="D2509" s="14"/>
      <c r="F2509" s="9" cm="1">
        <f t="array" ref="F2509">SUMPRODUCT((Tablo3[Şehirler]=E2509)*(Tablo3[Ürün Kar Tutarı]))</f>
        <v>0</v>
      </c>
      <c r="H2509" s="14"/>
      <c r="J2509" s="9" cm="1">
        <f t="array" ref="J2509">SUMPRODUCT((Tablo3[Urun Ad]=I2509)*(Tablo3[Ürün Kar Tutarı]))</f>
        <v>0</v>
      </c>
      <c r="L2509" s="37"/>
    </row>
    <row r="2510" spans="1:12" x14ac:dyDescent="0.25">
      <c r="A2510" s="13"/>
      <c r="B2510" s="9" cm="1">
        <f t="array" ref="B2510">SUMPRODUCT((Tablo3[Personel Ad]=A2510)*(Tablo3[Ürün Kar Tutarı]))</f>
        <v>0</v>
      </c>
      <c r="D2510" s="14"/>
      <c r="F2510" s="9" cm="1">
        <f t="array" ref="F2510">SUMPRODUCT((Tablo3[Şehirler]=E2510)*(Tablo3[Ürün Kar Tutarı]))</f>
        <v>0</v>
      </c>
      <c r="H2510" s="14"/>
      <c r="J2510" s="9" cm="1">
        <f t="array" ref="J2510">SUMPRODUCT((Tablo3[Urun Ad]=I2510)*(Tablo3[Ürün Kar Tutarı]))</f>
        <v>0</v>
      </c>
      <c r="L2510" s="37"/>
    </row>
    <row r="2511" spans="1:12" x14ac:dyDescent="0.25">
      <c r="A2511" s="13"/>
      <c r="B2511" s="9" cm="1">
        <f t="array" ref="B2511">SUMPRODUCT((Tablo3[Personel Ad]=A2511)*(Tablo3[Ürün Kar Tutarı]))</f>
        <v>0</v>
      </c>
      <c r="D2511" s="14"/>
      <c r="F2511" s="9" cm="1">
        <f t="array" ref="F2511">SUMPRODUCT((Tablo3[Şehirler]=E2511)*(Tablo3[Ürün Kar Tutarı]))</f>
        <v>0</v>
      </c>
      <c r="H2511" s="14"/>
      <c r="J2511" s="9" cm="1">
        <f t="array" ref="J2511">SUMPRODUCT((Tablo3[Urun Ad]=I2511)*(Tablo3[Ürün Kar Tutarı]))</f>
        <v>0</v>
      </c>
      <c r="L2511" s="37"/>
    </row>
    <row r="2512" spans="1:12" x14ac:dyDescent="0.25">
      <c r="A2512" s="13"/>
      <c r="B2512" s="9" cm="1">
        <f t="array" ref="B2512">SUMPRODUCT((Tablo3[Personel Ad]=A2512)*(Tablo3[Ürün Kar Tutarı]))</f>
        <v>0</v>
      </c>
      <c r="D2512" s="14"/>
      <c r="F2512" s="9" cm="1">
        <f t="array" ref="F2512">SUMPRODUCT((Tablo3[Şehirler]=E2512)*(Tablo3[Ürün Kar Tutarı]))</f>
        <v>0</v>
      </c>
      <c r="H2512" s="14"/>
      <c r="J2512" s="9" cm="1">
        <f t="array" ref="J2512">SUMPRODUCT((Tablo3[Urun Ad]=I2512)*(Tablo3[Ürün Kar Tutarı]))</f>
        <v>0</v>
      </c>
      <c r="L2512" s="37"/>
    </row>
    <row r="2513" spans="1:12" x14ac:dyDescent="0.25">
      <c r="A2513" s="13"/>
      <c r="B2513" s="9" cm="1">
        <f t="array" ref="B2513">SUMPRODUCT((Tablo3[Personel Ad]=A2513)*(Tablo3[Ürün Kar Tutarı]))</f>
        <v>0</v>
      </c>
      <c r="D2513" s="14"/>
      <c r="F2513" s="9" cm="1">
        <f t="array" ref="F2513">SUMPRODUCT((Tablo3[Şehirler]=E2513)*(Tablo3[Ürün Kar Tutarı]))</f>
        <v>0</v>
      </c>
      <c r="H2513" s="14"/>
      <c r="J2513" s="9" cm="1">
        <f t="array" ref="J2513">SUMPRODUCT((Tablo3[Urun Ad]=I2513)*(Tablo3[Ürün Kar Tutarı]))</f>
        <v>0</v>
      </c>
      <c r="L2513" s="37"/>
    </row>
    <row r="2514" spans="1:12" x14ac:dyDescent="0.25">
      <c r="A2514" s="13"/>
      <c r="B2514" s="9" cm="1">
        <f t="array" ref="B2514">SUMPRODUCT((Tablo3[Personel Ad]=A2514)*(Tablo3[Ürün Kar Tutarı]))</f>
        <v>0</v>
      </c>
      <c r="D2514" s="14"/>
      <c r="F2514" s="9" cm="1">
        <f t="array" ref="F2514">SUMPRODUCT((Tablo3[Şehirler]=E2514)*(Tablo3[Ürün Kar Tutarı]))</f>
        <v>0</v>
      </c>
      <c r="H2514" s="14"/>
      <c r="J2514" s="9" cm="1">
        <f t="array" ref="J2514">SUMPRODUCT((Tablo3[Urun Ad]=I2514)*(Tablo3[Ürün Kar Tutarı]))</f>
        <v>0</v>
      </c>
      <c r="L2514" s="37"/>
    </row>
    <row r="2515" spans="1:12" x14ac:dyDescent="0.25">
      <c r="A2515" s="13"/>
      <c r="B2515" s="9" cm="1">
        <f t="array" ref="B2515">SUMPRODUCT((Tablo3[Personel Ad]=A2515)*(Tablo3[Ürün Kar Tutarı]))</f>
        <v>0</v>
      </c>
      <c r="D2515" s="14"/>
      <c r="F2515" s="9" cm="1">
        <f t="array" ref="F2515">SUMPRODUCT((Tablo3[Şehirler]=E2515)*(Tablo3[Ürün Kar Tutarı]))</f>
        <v>0</v>
      </c>
      <c r="H2515" s="14"/>
      <c r="J2515" s="9" cm="1">
        <f t="array" ref="J2515">SUMPRODUCT((Tablo3[Urun Ad]=I2515)*(Tablo3[Ürün Kar Tutarı]))</f>
        <v>0</v>
      </c>
      <c r="L2515" s="37"/>
    </row>
    <row r="2516" spans="1:12" x14ac:dyDescent="0.25">
      <c r="A2516" s="13"/>
      <c r="B2516" s="9" cm="1">
        <f t="array" ref="B2516">SUMPRODUCT((Tablo3[Personel Ad]=A2516)*(Tablo3[Ürün Kar Tutarı]))</f>
        <v>0</v>
      </c>
      <c r="D2516" s="14"/>
      <c r="F2516" s="9" cm="1">
        <f t="array" ref="F2516">SUMPRODUCT((Tablo3[Şehirler]=E2516)*(Tablo3[Ürün Kar Tutarı]))</f>
        <v>0</v>
      </c>
      <c r="H2516" s="14"/>
      <c r="J2516" s="9" cm="1">
        <f t="array" ref="J2516">SUMPRODUCT((Tablo3[Urun Ad]=I2516)*(Tablo3[Ürün Kar Tutarı]))</f>
        <v>0</v>
      </c>
      <c r="L2516" s="37"/>
    </row>
    <row r="2517" spans="1:12" x14ac:dyDescent="0.25">
      <c r="A2517" s="13"/>
      <c r="B2517" s="9" cm="1">
        <f t="array" ref="B2517">SUMPRODUCT((Tablo3[Personel Ad]=A2517)*(Tablo3[Ürün Kar Tutarı]))</f>
        <v>0</v>
      </c>
      <c r="D2517" s="14"/>
      <c r="F2517" s="9" cm="1">
        <f t="array" ref="F2517">SUMPRODUCT((Tablo3[Şehirler]=E2517)*(Tablo3[Ürün Kar Tutarı]))</f>
        <v>0</v>
      </c>
      <c r="H2517" s="14"/>
      <c r="J2517" s="9" cm="1">
        <f t="array" ref="J2517">SUMPRODUCT((Tablo3[Urun Ad]=I2517)*(Tablo3[Ürün Kar Tutarı]))</f>
        <v>0</v>
      </c>
      <c r="L2517" s="37"/>
    </row>
    <row r="2518" spans="1:12" x14ac:dyDescent="0.25">
      <c r="A2518" s="13"/>
      <c r="B2518" s="9" cm="1">
        <f t="array" ref="B2518">SUMPRODUCT((Tablo3[Personel Ad]=A2518)*(Tablo3[Ürün Kar Tutarı]))</f>
        <v>0</v>
      </c>
      <c r="D2518" s="14"/>
      <c r="F2518" s="9" cm="1">
        <f t="array" ref="F2518">SUMPRODUCT((Tablo3[Şehirler]=E2518)*(Tablo3[Ürün Kar Tutarı]))</f>
        <v>0</v>
      </c>
      <c r="H2518" s="14"/>
      <c r="J2518" s="9" cm="1">
        <f t="array" ref="J2518">SUMPRODUCT((Tablo3[Urun Ad]=I2518)*(Tablo3[Ürün Kar Tutarı]))</f>
        <v>0</v>
      </c>
      <c r="L2518" s="37"/>
    </row>
    <row r="2519" spans="1:12" x14ac:dyDescent="0.25">
      <c r="A2519" s="13"/>
      <c r="B2519" s="9" cm="1">
        <f t="array" ref="B2519">SUMPRODUCT((Tablo3[Personel Ad]=A2519)*(Tablo3[Ürün Kar Tutarı]))</f>
        <v>0</v>
      </c>
      <c r="D2519" s="14"/>
      <c r="F2519" s="9" cm="1">
        <f t="array" ref="F2519">SUMPRODUCT((Tablo3[Şehirler]=E2519)*(Tablo3[Ürün Kar Tutarı]))</f>
        <v>0</v>
      </c>
      <c r="H2519" s="14"/>
      <c r="J2519" s="9" cm="1">
        <f t="array" ref="J2519">SUMPRODUCT((Tablo3[Urun Ad]=I2519)*(Tablo3[Ürün Kar Tutarı]))</f>
        <v>0</v>
      </c>
      <c r="L2519" s="37"/>
    </row>
    <row r="2520" spans="1:12" x14ac:dyDescent="0.25">
      <c r="A2520" s="13"/>
      <c r="B2520" s="9" cm="1">
        <f t="array" ref="B2520">SUMPRODUCT((Tablo3[Personel Ad]=A2520)*(Tablo3[Ürün Kar Tutarı]))</f>
        <v>0</v>
      </c>
      <c r="D2520" s="14"/>
      <c r="F2520" s="9" cm="1">
        <f t="array" ref="F2520">SUMPRODUCT((Tablo3[Şehirler]=E2520)*(Tablo3[Ürün Kar Tutarı]))</f>
        <v>0</v>
      </c>
      <c r="H2520" s="14"/>
      <c r="J2520" s="9" cm="1">
        <f t="array" ref="J2520">SUMPRODUCT((Tablo3[Urun Ad]=I2520)*(Tablo3[Ürün Kar Tutarı]))</f>
        <v>0</v>
      </c>
      <c r="L2520" s="37"/>
    </row>
    <row r="2521" spans="1:12" x14ac:dyDescent="0.25">
      <c r="A2521" s="13"/>
      <c r="B2521" s="9" cm="1">
        <f t="array" ref="B2521">SUMPRODUCT((Tablo3[Personel Ad]=A2521)*(Tablo3[Ürün Kar Tutarı]))</f>
        <v>0</v>
      </c>
      <c r="D2521" s="14"/>
      <c r="F2521" s="9" cm="1">
        <f t="array" ref="F2521">SUMPRODUCT((Tablo3[Şehirler]=E2521)*(Tablo3[Ürün Kar Tutarı]))</f>
        <v>0</v>
      </c>
      <c r="H2521" s="14"/>
      <c r="J2521" s="9" cm="1">
        <f t="array" ref="J2521">SUMPRODUCT((Tablo3[Urun Ad]=I2521)*(Tablo3[Ürün Kar Tutarı]))</f>
        <v>0</v>
      </c>
      <c r="L2521" s="37"/>
    </row>
    <row r="2522" spans="1:12" x14ac:dyDescent="0.25">
      <c r="A2522" s="13"/>
      <c r="B2522" s="9" cm="1">
        <f t="array" ref="B2522">SUMPRODUCT((Tablo3[Personel Ad]=A2522)*(Tablo3[Ürün Kar Tutarı]))</f>
        <v>0</v>
      </c>
      <c r="D2522" s="14"/>
      <c r="F2522" s="9" cm="1">
        <f t="array" ref="F2522">SUMPRODUCT((Tablo3[Şehirler]=E2522)*(Tablo3[Ürün Kar Tutarı]))</f>
        <v>0</v>
      </c>
      <c r="H2522" s="14"/>
      <c r="J2522" s="9" cm="1">
        <f t="array" ref="J2522">SUMPRODUCT((Tablo3[Urun Ad]=I2522)*(Tablo3[Ürün Kar Tutarı]))</f>
        <v>0</v>
      </c>
      <c r="L2522" s="37"/>
    </row>
    <row r="2523" spans="1:12" x14ac:dyDescent="0.25">
      <c r="A2523" s="13"/>
      <c r="B2523" s="9" cm="1">
        <f t="array" ref="B2523">SUMPRODUCT((Tablo3[Personel Ad]=A2523)*(Tablo3[Ürün Kar Tutarı]))</f>
        <v>0</v>
      </c>
      <c r="D2523" s="14"/>
      <c r="F2523" s="9" cm="1">
        <f t="array" ref="F2523">SUMPRODUCT((Tablo3[Şehirler]=E2523)*(Tablo3[Ürün Kar Tutarı]))</f>
        <v>0</v>
      </c>
      <c r="H2523" s="14"/>
      <c r="J2523" s="9" cm="1">
        <f t="array" ref="J2523">SUMPRODUCT((Tablo3[Urun Ad]=I2523)*(Tablo3[Ürün Kar Tutarı]))</f>
        <v>0</v>
      </c>
      <c r="L2523" s="37"/>
    </row>
    <row r="2524" spans="1:12" x14ac:dyDescent="0.25">
      <c r="A2524" s="13"/>
      <c r="B2524" s="9" cm="1">
        <f t="array" ref="B2524">SUMPRODUCT((Tablo3[Personel Ad]=A2524)*(Tablo3[Ürün Kar Tutarı]))</f>
        <v>0</v>
      </c>
      <c r="D2524" s="14"/>
      <c r="F2524" s="9" cm="1">
        <f t="array" ref="F2524">SUMPRODUCT((Tablo3[Şehirler]=E2524)*(Tablo3[Ürün Kar Tutarı]))</f>
        <v>0</v>
      </c>
      <c r="H2524" s="14"/>
      <c r="J2524" s="9" cm="1">
        <f t="array" ref="J2524">SUMPRODUCT((Tablo3[Urun Ad]=I2524)*(Tablo3[Ürün Kar Tutarı]))</f>
        <v>0</v>
      </c>
      <c r="L2524" s="37"/>
    </row>
    <row r="2525" spans="1:12" x14ac:dyDescent="0.25">
      <c r="A2525" s="13"/>
      <c r="B2525" s="9" cm="1">
        <f t="array" ref="B2525">SUMPRODUCT((Tablo3[Personel Ad]=A2525)*(Tablo3[Ürün Kar Tutarı]))</f>
        <v>0</v>
      </c>
      <c r="D2525" s="14"/>
      <c r="F2525" s="9" cm="1">
        <f t="array" ref="F2525">SUMPRODUCT((Tablo3[Şehirler]=E2525)*(Tablo3[Ürün Kar Tutarı]))</f>
        <v>0</v>
      </c>
      <c r="H2525" s="14"/>
      <c r="J2525" s="9" cm="1">
        <f t="array" ref="J2525">SUMPRODUCT((Tablo3[Urun Ad]=I2525)*(Tablo3[Ürün Kar Tutarı]))</f>
        <v>0</v>
      </c>
      <c r="L2525" s="37"/>
    </row>
    <row r="2526" spans="1:12" x14ac:dyDescent="0.25">
      <c r="A2526" s="13"/>
      <c r="B2526" s="9" cm="1">
        <f t="array" ref="B2526">SUMPRODUCT((Tablo3[Personel Ad]=A2526)*(Tablo3[Ürün Kar Tutarı]))</f>
        <v>0</v>
      </c>
      <c r="D2526" s="14"/>
      <c r="F2526" s="9" cm="1">
        <f t="array" ref="F2526">SUMPRODUCT((Tablo3[Şehirler]=E2526)*(Tablo3[Ürün Kar Tutarı]))</f>
        <v>0</v>
      </c>
      <c r="H2526" s="14"/>
      <c r="J2526" s="9" cm="1">
        <f t="array" ref="J2526">SUMPRODUCT((Tablo3[Urun Ad]=I2526)*(Tablo3[Ürün Kar Tutarı]))</f>
        <v>0</v>
      </c>
      <c r="L2526" s="37"/>
    </row>
    <row r="2527" spans="1:12" x14ac:dyDescent="0.25">
      <c r="A2527" s="13"/>
      <c r="B2527" s="9" cm="1">
        <f t="array" ref="B2527">SUMPRODUCT((Tablo3[Personel Ad]=A2527)*(Tablo3[Ürün Kar Tutarı]))</f>
        <v>0</v>
      </c>
      <c r="D2527" s="14"/>
      <c r="F2527" s="9" cm="1">
        <f t="array" ref="F2527">SUMPRODUCT((Tablo3[Şehirler]=E2527)*(Tablo3[Ürün Kar Tutarı]))</f>
        <v>0</v>
      </c>
      <c r="H2527" s="14"/>
      <c r="J2527" s="9" cm="1">
        <f t="array" ref="J2527">SUMPRODUCT((Tablo3[Urun Ad]=I2527)*(Tablo3[Ürün Kar Tutarı]))</f>
        <v>0</v>
      </c>
      <c r="L2527" s="37"/>
    </row>
    <row r="2528" spans="1:12" x14ac:dyDescent="0.25">
      <c r="A2528" s="13"/>
      <c r="B2528" s="9" cm="1">
        <f t="array" ref="B2528">SUMPRODUCT((Tablo3[Personel Ad]=A2528)*(Tablo3[Ürün Kar Tutarı]))</f>
        <v>0</v>
      </c>
      <c r="D2528" s="14"/>
      <c r="F2528" s="9" cm="1">
        <f t="array" ref="F2528">SUMPRODUCT((Tablo3[Şehirler]=E2528)*(Tablo3[Ürün Kar Tutarı]))</f>
        <v>0</v>
      </c>
      <c r="H2528" s="14"/>
      <c r="J2528" s="9" cm="1">
        <f t="array" ref="J2528">SUMPRODUCT((Tablo3[Urun Ad]=I2528)*(Tablo3[Ürün Kar Tutarı]))</f>
        <v>0</v>
      </c>
      <c r="L2528" s="37"/>
    </row>
    <row r="2529" spans="1:12" x14ac:dyDescent="0.25">
      <c r="A2529" s="13"/>
      <c r="B2529" s="9" cm="1">
        <f t="array" ref="B2529">SUMPRODUCT((Tablo3[Personel Ad]=A2529)*(Tablo3[Ürün Kar Tutarı]))</f>
        <v>0</v>
      </c>
      <c r="D2529" s="14"/>
      <c r="F2529" s="9" cm="1">
        <f t="array" ref="F2529">SUMPRODUCT((Tablo3[Şehirler]=E2529)*(Tablo3[Ürün Kar Tutarı]))</f>
        <v>0</v>
      </c>
      <c r="H2529" s="14"/>
      <c r="J2529" s="9" cm="1">
        <f t="array" ref="J2529">SUMPRODUCT((Tablo3[Urun Ad]=I2529)*(Tablo3[Ürün Kar Tutarı]))</f>
        <v>0</v>
      </c>
      <c r="L2529" s="37"/>
    </row>
    <row r="2530" spans="1:12" x14ac:dyDescent="0.25">
      <c r="A2530" s="13"/>
      <c r="B2530" s="9" cm="1">
        <f t="array" ref="B2530">SUMPRODUCT((Tablo3[Personel Ad]=A2530)*(Tablo3[Ürün Kar Tutarı]))</f>
        <v>0</v>
      </c>
      <c r="D2530" s="14"/>
      <c r="F2530" s="9" cm="1">
        <f t="array" ref="F2530">SUMPRODUCT((Tablo3[Şehirler]=E2530)*(Tablo3[Ürün Kar Tutarı]))</f>
        <v>0</v>
      </c>
      <c r="H2530" s="14"/>
      <c r="J2530" s="9" cm="1">
        <f t="array" ref="J2530">SUMPRODUCT((Tablo3[Urun Ad]=I2530)*(Tablo3[Ürün Kar Tutarı]))</f>
        <v>0</v>
      </c>
      <c r="L2530" s="37"/>
    </row>
    <row r="2531" spans="1:12" x14ac:dyDescent="0.25">
      <c r="A2531" s="13"/>
      <c r="B2531" s="9" cm="1">
        <f t="array" ref="B2531">SUMPRODUCT((Tablo3[Personel Ad]=A2531)*(Tablo3[Ürün Kar Tutarı]))</f>
        <v>0</v>
      </c>
      <c r="D2531" s="14"/>
      <c r="F2531" s="9" cm="1">
        <f t="array" ref="F2531">SUMPRODUCT((Tablo3[Şehirler]=E2531)*(Tablo3[Ürün Kar Tutarı]))</f>
        <v>0</v>
      </c>
      <c r="H2531" s="14"/>
      <c r="J2531" s="9" cm="1">
        <f t="array" ref="J2531">SUMPRODUCT((Tablo3[Urun Ad]=I2531)*(Tablo3[Ürün Kar Tutarı]))</f>
        <v>0</v>
      </c>
      <c r="L2531" s="37"/>
    </row>
    <row r="2532" spans="1:12" x14ac:dyDescent="0.25">
      <c r="A2532" s="13"/>
      <c r="B2532" s="9" cm="1">
        <f t="array" ref="B2532">SUMPRODUCT((Tablo3[Personel Ad]=A2532)*(Tablo3[Ürün Kar Tutarı]))</f>
        <v>0</v>
      </c>
      <c r="D2532" s="14"/>
      <c r="F2532" s="9" cm="1">
        <f t="array" ref="F2532">SUMPRODUCT((Tablo3[Şehirler]=E2532)*(Tablo3[Ürün Kar Tutarı]))</f>
        <v>0</v>
      </c>
      <c r="H2532" s="14"/>
      <c r="J2532" s="9" cm="1">
        <f t="array" ref="J2532">SUMPRODUCT((Tablo3[Urun Ad]=I2532)*(Tablo3[Ürün Kar Tutarı]))</f>
        <v>0</v>
      </c>
      <c r="L2532" s="37"/>
    </row>
    <row r="2533" spans="1:12" x14ac:dyDescent="0.25">
      <c r="A2533" s="13"/>
      <c r="B2533" s="9" cm="1">
        <f t="array" ref="B2533">SUMPRODUCT((Tablo3[Personel Ad]=A2533)*(Tablo3[Ürün Kar Tutarı]))</f>
        <v>0</v>
      </c>
      <c r="D2533" s="14"/>
      <c r="F2533" s="9" cm="1">
        <f t="array" ref="F2533">SUMPRODUCT((Tablo3[Şehirler]=E2533)*(Tablo3[Ürün Kar Tutarı]))</f>
        <v>0</v>
      </c>
      <c r="H2533" s="14"/>
      <c r="J2533" s="9" cm="1">
        <f t="array" ref="J2533">SUMPRODUCT((Tablo3[Urun Ad]=I2533)*(Tablo3[Ürün Kar Tutarı]))</f>
        <v>0</v>
      </c>
      <c r="L2533" s="37"/>
    </row>
    <row r="2534" spans="1:12" x14ac:dyDescent="0.25">
      <c r="A2534" s="13"/>
      <c r="B2534" s="9" cm="1">
        <f t="array" ref="B2534">SUMPRODUCT((Tablo3[Personel Ad]=A2534)*(Tablo3[Ürün Kar Tutarı]))</f>
        <v>0</v>
      </c>
      <c r="D2534" s="14"/>
      <c r="F2534" s="9" cm="1">
        <f t="array" ref="F2534">SUMPRODUCT((Tablo3[Şehirler]=E2534)*(Tablo3[Ürün Kar Tutarı]))</f>
        <v>0</v>
      </c>
      <c r="H2534" s="14"/>
      <c r="J2534" s="9" cm="1">
        <f t="array" ref="J2534">SUMPRODUCT((Tablo3[Urun Ad]=I2534)*(Tablo3[Ürün Kar Tutarı]))</f>
        <v>0</v>
      </c>
      <c r="L2534" s="37"/>
    </row>
    <row r="2535" spans="1:12" x14ac:dyDescent="0.25">
      <c r="A2535" s="13"/>
      <c r="B2535" s="9" cm="1">
        <f t="array" ref="B2535">SUMPRODUCT((Tablo3[Personel Ad]=A2535)*(Tablo3[Ürün Kar Tutarı]))</f>
        <v>0</v>
      </c>
      <c r="D2535" s="14"/>
      <c r="F2535" s="9" cm="1">
        <f t="array" ref="F2535">SUMPRODUCT((Tablo3[Şehirler]=E2535)*(Tablo3[Ürün Kar Tutarı]))</f>
        <v>0</v>
      </c>
      <c r="H2535" s="14"/>
      <c r="J2535" s="9" cm="1">
        <f t="array" ref="J2535">SUMPRODUCT((Tablo3[Urun Ad]=I2535)*(Tablo3[Ürün Kar Tutarı]))</f>
        <v>0</v>
      </c>
      <c r="L2535" s="37"/>
    </row>
    <row r="2536" spans="1:12" x14ac:dyDescent="0.25">
      <c r="A2536" s="13"/>
      <c r="B2536" s="9" cm="1">
        <f t="array" ref="B2536">SUMPRODUCT((Tablo3[Personel Ad]=A2536)*(Tablo3[Ürün Kar Tutarı]))</f>
        <v>0</v>
      </c>
      <c r="D2536" s="14"/>
      <c r="F2536" s="9" cm="1">
        <f t="array" ref="F2536">SUMPRODUCT((Tablo3[Şehirler]=E2536)*(Tablo3[Ürün Kar Tutarı]))</f>
        <v>0</v>
      </c>
      <c r="H2536" s="14"/>
      <c r="J2536" s="9" cm="1">
        <f t="array" ref="J2536">SUMPRODUCT((Tablo3[Urun Ad]=I2536)*(Tablo3[Ürün Kar Tutarı]))</f>
        <v>0</v>
      </c>
      <c r="L2536" s="37"/>
    </row>
    <row r="2537" spans="1:12" x14ac:dyDescent="0.25">
      <c r="A2537" s="13"/>
      <c r="B2537" s="9" cm="1">
        <f t="array" ref="B2537">SUMPRODUCT((Tablo3[Personel Ad]=A2537)*(Tablo3[Ürün Kar Tutarı]))</f>
        <v>0</v>
      </c>
      <c r="D2537" s="14"/>
      <c r="F2537" s="9" cm="1">
        <f t="array" ref="F2537">SUMPRODUCT((Tablo3[Şehirler]=E2537)*(Tablo3[Ürün Kar Tutarı]))</f>
        <v>0</v>
      </c>
      <c r="H2537" s="14"/>
      <c r="J2537" s="9" cm="1">
        <f t="array" ref="J2537">SUMPRODUCT((Tablo3[Urun Ad]=I2537)*(Tablo3[Ürün Kar Tutarı]))</f>
        <v>0</v>
      </c>
      <c r="L2537" s="37"/>
    </row>
    <row r="2538" spans="1:12" x14ac:dyDescent="0.25">
      <c r="A2538" s="13"/>
      <c r="B2538" s="9" cm="1">
        <f t="array" ref="B2538">SUMPRODUCT((Tablo3[Personel Ad]=A2538)*(Tablo3[Ürün Kar Tutarı]))</f>
        <v>0</v>
      </c>
      <c r="D2538" s="14"/>
      <c r="F2538" s="9" cm="1">
        <f t="array" ref="F2538">SUMPRODUCT((Tablo3[Şehirler]=E2538)*(Tablo3[Ürün Kar Tutarı]))</f>
        <v>0</v>
      </c>
      <c r="H2538" s="14"/>
      <c r="J2538" s="9" cm="1">
        <f t="array" ref="J2538">SUMPRODUCT((Tablo3[Urun Ad]=I2538)*(Tablo3[Ürün Kar Tutarı]))</f>
        <v>0</v>
      </c>
      <c r="L2538" s="37"/>
    </row>
    <row r="2539" spans="1:12" x14ac:dyDescent="0.25">
      <c r="A2539" s="13"/>
      <c r="B2539" s="9" cm="1">
        <f t="array" ref="B2539">SUMPRODUCT((Tablo3[Personel Ad]=A2539)*(Tablo3[Ürün Kar Tutarı]))</f>
        <v>0</v>
      </c>
      <c r="D2539" s="14"/>
      <c r="F2539" s="9" cm="1">
        <f t="array" ref="F2539">SUMPRODUCT((Tablo3[Şehirler]=E2539)*(Tablo3[Ürün Kar Tutarı]))</f>
        <v>0</v>
      </c>
      <c r="H2539" s="14"/>
      <c r="J2539" s="9" cm="1">
        <f t="array" ref="J2539">SUMPRODUCT((Tablo3[Urun Ad]=I2539)*(Tablo3[Ürün Kar Tutarı]))</f>
        <v>0</v>
      </c>
      <c r="L2539" s="37"/>
    </row>
    <row r="2540" spans="1:12" x14ac:dyDescent="0.25">
      <c r="A2540" s="13"/>
      <c r="B2540" s="9" cm="1">
        <f t="array" ref="B2540">SUMPRODUCT((Tablo3[Personel Ad]=A2540)*(Tablo3[Ürün Kar Tutarı]))</f>
        <v>0</v>
      </c>
      <c r="D2540" s="14"/>
      <c r="F2540" s="9" cm="1">
        <f t="array" ref="F2540">SUMPRODUCT((Tablo3[Şehirler]=E2540)*(Tablo3[Ürün Kar Tutarı]))</f>
        <v>0</v>
      </c>
      <c r="H2540" s="14"/>
      <c r="J2540" s="9" cm="1">
        <f t="array" ref="J2540">SUMPRODUCT((Tablo3[Urun Ad]=I2540)*(Tablo3[Ürün Kar Tutarı]))</f>
        <v>0</v>
      </c>
      <c r="L2540" s="37"/>
    </row>
    <row r="2541" spans="1:12" x14ac:dyDescent="0.25">
      <c r="A2541" s="13"/>
      <c r="B2541" s="9" cm="1">
        <f t="array" ref="B2541">SUMPRODUCT((Tablo3[Personel Ad]=A2541)*(Tablo3[Ürün Kar Tutarı]))</f>
        <v>0</v>
      </c>
      <c r="D2541" s="14"/>
      <c r="F2541" s="9" cm="1">
        <f t="array" ref="F2541">SUMPRODUCT((Tablo3[Şehirler]=E2541)*(Tablo3[Ürün Kar Tutarı]))</f>
        <v>0</v>
      </c>
      <c r="H2541" s="14"/>
      <c r="J2541" s="9" cm="1">
        <f t="array" ref="J2541">SUMPRODUCT((Tablo3[Urun Ad]=I2541)*(Tablo3[Ürün Kar Tutarı]))</f>
        <v>0</v>
      </c>
      <c r="L2541" s="37"/>
    </row>
    <row r="2542" spans="1:12" x14ac:dyDescent="0.25">
      <c r="A2542" s="13"/>
      <c r="B2542" s="9" cm="1">
        <f t="array" ref="B2542">SUMPRODUCT((Tablo3[Personel Ad]=A2542)*(Tablo3[Ürün Kar Tutarı]))</f>
        <v>0</v>
      </c>
      <c r="D2542" s="14"/>
      <c r="F2542" s="9" cm="1">
        <f t="array" ref="F2542">SUMPRODUCT((Tablo3[Şehirler]=E2542)*(Tablo3[Ürün Kar Tutarı]))</f>
        <v>0</v>
      </c>
      <c r="H2542" s="14"/>
      <c r="J2542" s="9" cm="1">
        <f t="array" ref="J2542">SUMPRODUCT((Tablo3[Urun Ad]=I2542)*(Tablo3[Ürün Kar Tutarı]))</f>
        <v>0</v>
      </c>
      <c r="L2542" s="37"/>
    </row>
    <row r="2543" spans="1:12" x14ac:dyDescent="0.25">
      <c r="A2543" s="13"/>
      <c r="B2543" s="9" cm="1">
        <f t="array" ref="B2543">SUMPRODUCT((Tablo3[Personel Ad]=A2543)*(Tablo3[Ürün Kar Tutarı]))</f>
        <v>0</v>
      </c>
      <c r="D2543" s="14"/>
      <c r="F2543" s="9" cm="1">
        <f t="array" ref="F2543">SUMPRODUCT((Tablo3[Şehirler]=E2543)*(Tablo3[Ürün Kar Tutarı]))</f>
        <v>0</v>
      </c>
      <c r="H2543" s="14"/>
      <c r="J2543" s="9" cm="1">
        <f t="array" ref="J2543">SUMPRODUCT((Tablo3[Urun Ad]=I2543)*(Tablo3[Ürün Kar Tutarı]))</f>
        <v>0</v>
      </c>
      <c r="L2543" s="37"/>
    </row>
    <row r="2544" spans="1:12" x14ac:dyDescent="0.25">
      <c r="A2544" s="13"/>
      <c r="B2544" s="9" cm="1">
        <f t="array" ref="B2544">SUMPRODUCT((Tablo3[Personel Ad]=A2544)*(Tablo3[Ürün Kar Tutarı]))</f>
        <v>0</v>
      </c>
      <c r="D2544" s="14"/>
      <c r="F2544" s="9" cm="1">
        <f t="array" ref="F2544">SUMPRODUCT((Tablo3[Şehirler]=E2544)*(Tablo3[Ürün Kar Tutarı]))</f>
        <v>0</v>
      </c>
      <c r="H2544" s="14"/>
      <c r="J2544" s="9" cm="1">
        <f t="array" ref="J2544">SUMPRODUCT((Tablo3[Urun Ad]=I2544)*(Tablo3[Ürün Kar Tutarı]))</f>
        <v>0</v>
      </c>
      <c r="L2544" s="37"/>
    </row>
    <row r="2545" spans="1:12" x14ac:dyDescent="0.25">
      <c r="A2545" s="13"/>
      <c r="B2545" s="9" cm="1">
        <f t="array" ref="B2545">SUMPRODUCT((Tablo3[Personel Ad]=A2545)*(Tablo3[Ürün Kar Tutarı]))</f>
        <v>0</v>
      </c>
      <c r="D2545" s="14"/>
      <c r="F2545" s="9" cm="1">
        <f t="array" ref="F2545">SUMPRODUCT((Tablo3[Şehirler]=E2545)*(Tablo3[Ürün Kar Tutarı]))</f>
        <v>0</v>
      </c>
      <c r="H2545" s="14"/>
      <c r="J2545" s="9" cm="1">
        <f t="array" ref="J2545">SUMPRODUCT((Tablo3[Urun Ad]=I2545)*(Tablo3[Ürün Kar Tutarı]))</f>
        <v>0</v>
      </c>
      <c r="L2545" s="37"/>
    </row>
    <row r="2546" spans="1:12" x14ac:dyDescent="0.25">
      <c r="A2546" s="13"/>
      <c r="B2546" s="9" cm="1">
        <f t="array" ref="B2546">SUMPRODUCT((Tablo3[Personel Ad]=A2546)*(Tablo3[Ürün Kar Tutarı]))</f>
        <v>0</v>
      </c>
      <c r="D2546" s="14"/>
      <c r="F2546" s="9" cm="1">
        <f t="array" ref="F2546">SUMPRODUCT((Tablo3[Şehirler]=E2546)*(Tablo3[Ürün Kar Tutarı]))</f>
        <v>0</v>
      </c>
      <c r="H2546" s="14"/>
      <c r="J2546" s="9" cm="1">
        <f t="array" ref="J2546">SUMPRODUCT((Tablo3[Urun Ad]=I2546)*(Tablo3[Ürün Kar Tutarı]))</f>
        <v>0</v>
      </c>
      <c r="L2546" s="37"/>
    </row>
    <row r="2547" spans="1:12" x14ac:dyDescent="0.25">
      <c r="A2547" s="13"/>
      <c r="B2547" s="9" cm="1">
        <f t="array" ref="B2547">SUMPRODUCT((Tablo3[Personel Ad]=A2547)*(Tablo3[Ürün Kar Tutarı]))</f>
        <v>0</v>
      </c>
      <c r="D2547" s="14"/>
      <c r="F2547" s="9" cm="1">
        <f t="array" ref="F2547">SUMPRODUCT((Tablo3[Şehirler]=E2547)*(Tablo3[Ürün Kar Tutarı]))</f>
        <v>0</v>
      </c>
      <c r="H2547" s="14"/>
      <c r="J2547" s="9" cm="1">
        <f t="array" ref="J2547">SUMPRODUCT((Tablo3[Urun Ad]=I2547)*(Tablo3[Ürün Kar Tutarı]))</f>
        <v>0</v>
      </c>
      <c r="L2547" s="37"/>
    </row>
    <row r="2548" spans="1:12" x14ac:dyDescent="0.25">
      <c r="A2548" s="13"/>
      <c r="B2548" s="9" cm="1">
        <f t="array" ref="B2548">SUMPRODUCT((Tablo3[Personel Ad]=A2548)*(Tablo3[Ürün Kar Tutarı]))</f>
        <v>0</v>
      </c>
      <c r="D2548" s="14"/>
      <c r="F2548" s="9" cm="1">
        <f t="array" ref="F2548">SUMPRODUCT((Tablo3[Şehirler]=E2548)*(Tablo3[Ürün Kar Tutarı]))</f>
        <v>0</v>
      </c>
      <c r="H2548" s="14"/>
      <c r="J2548" s="9" cm="1">
        <f t="array" ref="J2548">SUMPRODUCT((Tablo3[Urun Ad]=I2548)*(Tablo3[Ürün Kar Tutarı]))</f>
        <v>0</v>
      </c>
      <c r="L2548" s="37"/>
    </row>
    <row r="2549" spans="1:12" x14ac:dyDescent="0.25">
      <c r="A2549" s="13"/>
      <c r="B2549" s="9" cm="1">
        <f t="array" ref="B2549">SUMPRODUCT((Tablo3[Personel Ad]=A2549)*(Tablo3[Ürün Kar Tutarı]))</f>
        <v>0</v>
      </c>
      <c r="D2549" s="14"/>
      <c r="F2549" s="9" cm="1">
        <f t="array" ref="F2549">SUMPRODUCT((Tablo3[Şehirler]=E2549)*(Tablo3[Ürün Kar Tutarı]))</f>
        <v>0</v>
      </c>
      <c r="H2549" s="14"/>
      <c r="J2549" s="9" cm="1">
        <f t="array" ref="J2549">SUMPRODUCT((Tablo3[Urun Ad]=I2549)*(Tablo3[Ürün Kar Tutarı]))</f>
        <v>0</v>
      </c>
      <c r="L2549" s="37"/>
    </row>
    <row r="2550" spans="1:12" x14ac:dyDescent="0.25">
      <c r="A2550" s="13"/>
      <c r="B2550" s="9" cm="1">
        <f t="array" ref="B2550">SUMPRODUCT((Tablo3[Personel Ad]=A2550)*(Tablo3[Ürün Kar Tutarı]))</f>
        <v>0</v>
      </c>
      <c r="D2550" s="14"/>
      <c r="F2550" s="9" cm="1">
        <f t="array" ref="F2550">SUMPRODUCT((Tablo3[Şehirler]=E2550)*(Tablo3[Ürün Kar Tutarı]))</f>
        <v>0</v>
      </c>
      <c r="H2550" s="14"/>
      <c r="J2550" s="9" cm="1">
        <f t="array" ref="J2550">SUMPRODUCT((Tablo3[Urun Ad]=I2550)*(Tablo3[Ürün Kar Tutarı]))</f>
        <v>0</v>
      </c>
      <c r="L2550" s="37"/>
    </row>
    <row r="2551" spans="1:12" x14ac:dyDescent="0.25">
      <c r="A2551" s="13"/>
      <c r="B2551" s="9" cm="1">
        <f t="array" ref="B2551">SUMPRODUCT((Tablo3[Personel Ad]=A2551)*(Tablo3[Ürün Kar Tutarı]))</f>
        <v>0</v>
      </c>
      <c r="D2551" s="14"/>
      <c r="F2551" s="9" cm="1">
        <f t="array" ref="F2551">SUMPRODUCT((Tablo3[Şehirler]=E2551)*(Tablo3[Ürün Kar Tutarı]))</f>
        <v>0</v>
      </c>
      <c r="H2551" s="14"/>
      <c r="J2551" s="9" cm="1">
        <f t="array" ref="J2551">SUMPRODUCT((Tablo3[Urun Ad]=I2551)*(Tablo3[Ürün Kar Tutarı]))</f>
        <v>0</v>
      </c>
      <c r="L2551" s="37"/>
    </row>
    <row r="2552" spans="1:12" x14ac:dyDescent="0.25">
      <c r="A2552" s="13"/>
      <c r="B2552" s="9" cm="1">
        <f t="array" ref="B2552">SUMPRODUCT((Tablo3[Personel Ad]=A2552)*(Tablo3[Ürün Kar Tutarı]))</f>
        <v>0</v>
      </c>
      <c r="D2552" s="14"/>
      <c r="F2552" s="9" cm="1">
        <f t="array" ref="F2552">SUMPRODUCT((Tablo3[Şehirler]=E2552)*(Tablo3[Ürün Kar Tutarı]))</f>
        <v>0</v>
      </c>
      <c r="H2552" s="14"/>
      <c r="J2552" s="9" cm="1">
        <f t="array" ref="J2552">SUMPRODUCT((Tablo3[Urun Ad]=I2552)*(Tablo3[Ürün Kar Tutarı]))</f>
        <v>0</v>
      </c>
      <c r="L2552" s="37"/>
    </row>
    <row r="2553" spans="1:12" x14ac:dyDescent="0.25">
      <c r="A2553" s="13"/>
      <c r="B2553" s="9" cm="1">
        <f t="array" ref="B2553">SUMPRODUCT((Tablo3[Personel Ad]=A2553)*(Tablo3[Ürün Kar Tutarı]))</f>
        <v>0</v>
      </c>
      <c r="D2553" s="14"/>
      <c r="F2553" s="9" cm="1">
        <f t="array" ref="F2553">SUMPRODUCT((Tablo3[Şehirler]=E2553)*(Tablo3[Ürün Kar Tutarı]))</f>
        <v>0</v>
      </c>
      <c r="H2553" s="14"/>
      <c r="J2553" s="9" cm="1">
        <f t="array" ref="J2553">SUMPRODUCT((Tablo3[Urun Ad]=I2553)*(Tablo3[Ürün Kar Tutarı]))</f>
        <v>0</v>
      </c>
      <c r="L2553" s="37"/>
    </row>
    <row r="2554" spans="1:12" x14ac:dyDescent="0.25">
      <c r="A2554" s="13"/>
      <c r="B2554" s="9" cm="1">
        <f t="array" ref="B2554">SUMPRODUCT((Tablo3[Personel Ad]=A2554)*(Tablo3[Ürün Kar Tutarı]))</f>
        <v>0</v>
      </c>
      <c r="D2554" s="14"/>
      <c r="F2554" s="9" cm="1">
        <f t="array" ref="F2554">SUMPRODUCT((Tablo3[Şehirler]=E2554)*(Tablo3[Ürün Kar Tutarı]))</f>
        <v>0</v>
      </c>
      <c r="H2554" s="14"/>
      <c r="J2554" s="9" cm="1">
        <f t="array" ref="J2554">SUMPRODUCT((Tablo3[Urun Ad]=I2554)*(Tablo3[Ürün Kar Tutarı]))</f>
        <v>0</v>
      </c>
      <c r="L2554" s="37"/>
    </row>
    <row r="2555" spans="1:12" x14ac:dyDescent="0.25">
      <c r="A2555" s="13"/>
      <c r="B2555" s="9" cm="1">
        <f t="array" ref="B2555">SUMPRODUCT((Tablo3[Personel Ad]=A2555)*(Tablo3[Ürün Kar Tutarı]))</f>
        <v>0</v>
      </c>
      <c r="D2555" s="14"/>
      <c r="F2555" s="9" cm="1">
        <f t="array" ref="F2555">SUMPRODUCT((Tablo3[Şehirler]=E2555)*(Tablo3[Ürün Kar Tutarı]))</f>
        <v>0</v>
      </c>
      <c r="H2555" s="14"/>
      <c r="J2555" s="9" cm="1">
        <f t="array" ref="J2555">SUMPRODUCT((Tablo3[Urun Ad]=I2555)*(Tablo3[Ürün Kar Tutarı]))</f>
        <v>0</v>
      </c>
      <c r="L2555" s="37"/>
    </row>
    <row r="2556" spans="1:12" x14ac:dyDescent="0.25">
      <c r="A2556" s="13"/>
      <c r="B2556" s="9" cm="1">
        <f t="array" ref="B2556">SUMPRODUCT((Tablo3[Personel Ad]=A2556)*(Tablo3[Ürün Kar Tutarı]))</f>
        <v>0</v>
      </c>
      <c r="D2556" s="14"/>
      <c r="F2556" s="9" cm="1">
        <f t="array" ref="F2556">SUMPRODUCT((Tablo3[Şehirler]=E2556)*(Tablo3[Ürün Kar Tutarı]))</f>
        <v>0</v>
      </c>
      <c r="H2556" s="14"/>
      <c r="J2556" s="9" cm="1">
        <f t="array" ref="J2556">SUMPRODUCT((Tablo3[Urun Ad]=I2556)*(Tablo3[Ürün Kar Tutarı]))</f>
        <v>0</v>
      </c>
      <c r="L2556" s="37"/>
    </row>
    <row r="2557" spans="1:12" x14ac:dyDescent="0.25">
      <c r="A2557" s="13"/>
      <c r="B2557" s="9" cm="1">
        <f t="array" ref="B2557">SUMPRODUCT((Tablo3[Personel Ad]=A2557)*(Tablo3[Ürün Kar Tutarı]))</f>
        <v>0</v>
      </c>
      <c r="D2557" s="14"/>
      <c r="F2557" s="9" cm="1">
        <f t="array" ref="F2557">SUMPRODUCT((Tablo3[Şehirler]=E2557)*(Tablo3[Ürün Kar Tutarı]))</f>
        <v>0</v>
      </c>
      <c r="H2557" s="14"/>
      <c r="J2557" s="9" cm="1">
        <f t="array" ref="J2557">SUMPRODUCT((Tablo3[Urun Ad]=I2557)*(Tablo3[Ürün Kar Tutarı]))</f>
        <v>0</v>
      </c>
      <c r="L2557" s="37"/>
    </row>
    <row r="2558" spans="1:12" x14ac:dyDescent="0.25">
      <c r="A2558" s="13"/>
      <c r="B2558" s="9" cm="1">
        <f t="array" ref="B2558">SUMPRODUCT((Tablo3[Personel Ad]=A2558)*(Tablo3[Ürün Kar Tutarı]))</f>
        <v>0</v>
      </c>
      <c r="D2558" s="14"/>
      <c r="F2558" s="9" cm="1">
        <f t="array" ref="F2558">SUMPRODUCT((Tablo3[Şehirler]=E2558)*(Tablo3[Ürün Kar Tutarı]))</f>
        <v>0</v>
      </c>
      <c r="H2558" s="14"/>
      <c r="J2558" s="9" cm="1">
        <f t="array" ref="J2558">SUMPRODUCT((Tablo3[Urun Ad]=I2558)*(Tablo3[Ürün Kar Tutarı]))</f>
        <v>0</v>
      </c>
      <c r="L2558" s="37"/>
    </row>
    <row r="2559" spans="1:12" x14ac:dyDescent="0.25">
      <c r="A2559" s="13"/>
      <c r="B2559" s="9" cm="1">
        <f t="array" ref="B2559">SUMPRODUCT((Tablo3[Personel Ad]=A2559)*(Tablo3[Ürün Kar Tutarı]))</f>
        <v>0</v>
      </c>
      <c r="D2559" s="14"/>
      <c r="F2559" s="9" cm="1">
        <f t="array" ref="F2559">SUMPRODUCT((Tablo3[Şehirler]=E2559)*(Tablo3[Ürün Kar Tutarı]))</f>
        <v>0</v>
      </c>
      <c r="H2559" s="14"/>
      <c r="J2559" s="9" cm="1">
        <f t="array" ref="J2559">SUMPRODUCT((Tablo3[Urun Ad]=I2559)*(Tablo3[Ürün Kar Tutarı]))</f>
        <v>0</v>
      </c>
      <c r="L2559" s="37"/>
    </row>
    <row r="2560" spans="1:12" x14ac:dyDescent="0.25">
      <c r="A2560" s="13"/>
      <c r="B2560" s="9" cm="1">
        <f t="array" ref="B2560">SUMPRODUCT((Tablo3[Personel Ad]=A2560)*(Tablo3[Ürün Kar Tutarı]))</f>
        <v>0</v>
      </c>
      <c r="D2560" s="14"/>
      <c r="F2560" s="9" cm="1">
        <f t="array" ref="F2560">SUMPRODUCT((Tablo3[Şehirler]=E2560)*(Tablo3[Ürün Kar Tutarı]))</f>
        <v>0</v>
      </c>
      <c r="H2560" s="14"/>
      <c r="J2560" s="9" cm="1">
        <f t="array" ref="J2560">SUMPRODUCT((Tablo3[Urun Ad]=I2560)*(Tablo3[Ürün Kar Tutarı]))</f>
        <v>0</v>
      </c>
      <c r="L2560" s="37"/>
    </row>
    <row r="2561" spans="1:12" x14ac:dyDescent="0.25">
      <c r="A2561" s="13"/>
      <c r="B2561" s="9" cm="1">
        <f t="array" ref="B2561">SUMPRODUCT((Tablo3[Personel Ad]=A2561)*(Tablo3[Ürün Kar Tutarı]))</f>
        <v>0</v>
      </c>
      <c r="D2561" s="14"/>
      <c r="F2561" s="9" cm="1">
        <f t="array" ref="F2561">SUMPRODUCT((Tablo3[Şehirler]=E2561)*(Tablo3[Ürün Kar Tutarı]))</f>
        <v>0</v>
      </c>
      <c r="H2561" s="14"/>
      <c r="J2561" s="9" cm="1">
        <f t="array" ref="J2561">SUMPRODUCT((Tablo3[Urun Ad]=I2561)*(Tablo3[Ürün Kar Tutarı]))</f>
        <v>0</v>
      </c>
      <c r="L2561" s="37"/>
    </row>
    <row r="2562" spans="1:12" x14ac:dyDescent="0.25">
      <c r="A2562" s="13"/>
      <c r="B2562" s="9" cm="1">
        <f t="array" ref="B2562">SUMPRODUCT((Tablo3[Personel Ad]=A2562)*(Tablo3[Ürün Kar Tutarı]))</f>
        <v>0</v>
      </c>
      <c r="D2562" s="14"/>
      <c r="F2562" s="9" cm="1">
        <f t="array" ref="F2562">SUMPRODUCT((Tablo3[Şehirler]=E2562)*(Tablo3[Ürün Kar Tutarı]))</f>
        <v>0</v>
      </c>
      <c r="H2562" s="14"/>
      <c r="J2562" s="9" cm="1">
        <f t="array" ref="J2562">SUMPRODUCT((Tablo3[Urun Ad]=I2562)*(Tablo3[Ürün Kar Tutarı]))</f>
        <v>0</v>
      </c>
      <c r="L2562" s="37"/>
    </row>
    <row r="2563" spans="1:12" x14ac:dyDescent="0.25">
      <c r="A2563" s="13"/>
      <c r="B2563" s="9" cm="1">
        <f t="array" ref="B2563">SUMPRODUCT((Tablo3[Personel Ad]=A2563)*(Tablo3[Ürün Kar Tutarı]))</f>
        <v>0</v>
      </c>
      <c r="D2563" s="14"/>
      <c r="F2563" s="9" cm="1">
        <f t="array" ref="F2563">SUMPRODUCT((Tablo3[Şehirler]=E2563)*(Tablo3[Ürün Kar Tutarı]))</f>
        <v>0</v>
      </c>
      <c r="H2563" s="14"/>
      <c r="J2563" s="9" cm="1">
        <f t="array" ref="J2563">SUMPRODUCT((Tablo3[Urun Ad]=I2563)*(Tablo3[Ürün Kar Tutarı]))</f>
        <v>0</v>
      </c>
      <c r="L2563" s="37"/>
    </row>
    <row r="2564" spans="1:12" x14ac:dyDescent="0.25">
      <c r="A2564" s="13"/>
      <c r="B2564" s="9" cm="1">
        <f t="array" ref="B2564">SUMPRODUCT((Tablo3[Personel Ad]=A2564)*(Tablo3[Ürün Kar Tutarı]))</f>
        <v>0</v>
      </c>
      <c r="D2564" s="14"/>
      <c r="F2564" s="9" cm="1">
        <f t="array" ref="F2564">SUMPRODUCT((Tablo3[Şehirler]=E2564)*(Tablo3[Ürün Kar Tutarı]))</f>
        <v>0</v>
      </c>
      <c r="H2564" s="14"/>
      <c r="J2564" s="9" cm="1">
        <f t="array" ref="J2564">SUMPRODUCT((Tablo3[Urun Ad]=I2564)*(Tablo3[Ürün Kar Tutarı]))</f>
        <v>0</v>
      </c>
      <c r="L2564" s="37"/>
    </row>
    <row r="2565" spans="1:12" x14ac:dyDescent="0.25">
      <c r="A2565" s="13"/>
      <c r="B2565" s="9" cm="1">
        <f t="array" ref="B2565">SUMPRODUCT((Tablo3[Personel Ad]=A2565)*(Tablo3[Ürün Kar Tutarı]))</f>
        <v>0</v>
      </c>
      <c r="D2565" s="14"/>
      <c r="F2565" s="9" cm="1">
        <f t="array" ref="F2565">SUMPRODUCT((Tablo3[Şehirler]=E2565)*(Tablo3[Ürün Kar Tutarı]))</f>
        <v>0</v>
      </c>
      <c r="H2565" s="14"/>
      <c r="J2565" s="9" cm="1">
        <f t="array" ref="J2565">SUMPRODUCT((Tablo3[Urun Ad]=I2565)*(Tablo3[Ürün Kar Tutarı]))</f>
        <v>0</v>
      </c>
      <c r="L2565" s="37"/>
    </row>
    <row r="2566" spans="1:12" x14ac:dyDescent="0.25">
      <c r="A2566" s="13"/>
      <c r="B2566" s="9" cm="1">
        <f t="array" ref="B2566">SUMPRODUCT((Tablo3[Personel Ad]=A2566)*(Tablo3[Ürün Kar Tutarı]))</f>
        <v>0</v>
      </c>
      <c r="D2566" s="14"/>
      <c r="F2566" s="9" cm="1">
        <f t="array" ref="F2566">SUMPRODUCT((Tablo3[Şehirler]=E2566)*(Tablo3[Ürün Kar Tutarı]))</f>
        <v>0</v>
      </c>
      <c r="H2566" s="14"/>
      <c r="J2566" s="9" cm="1">
        <f t="array" ref="J2566">SUMPRODUCT((Tablo3[Urun Ad]=I2566)*(Tablo3[Ürün Kar Tutarı]))</f>
        <v>0</v>
      </c>
      <c r="L2566" s="37"/>
    </row>
    <row r="2567" spans="1:12" x14ac:dyDescent="0.25">
      <c r="A2567" s="13"/>
      <c r="B2567" s="9" cm="1">
        <f t="array" ref="B2567">SUMPRODUCT((Tablo3[Personel Ad]=A2567)*(Tablo3[Ürün Kar Tutarı]))</f>
        <v>0</v>
      </c>
      <c r="D2567" s="14"/>
      <c r="F2567" s="9" cm="1">
        <f t="array" ref="F2567">SUMPRODUCT((Tablo3[Şehirler]=E2567)*(Tablo3[Ürün Kar Tutarı]))</f>
        <v>0</v>
      </c>
      <c r="H2567" s="14"/>
      <c r="J2567" s="9" cm="1">
        <f t="array" ref="J2567">SUMPRODUCT((Tablo3[Urun Ad]=I2567)*(Tablo3[Ürün Kar Tutarı]))</f>
        <v>0</v>
      </c>
      <c r="L2567" s="37"/>
    </row>
    <row r="2568" spans="1:12" x14ac:dyDescent="0.25">
      <c r="A2568" s="13"/>
      <c r="B2568" s="9" cm="1">
        <f t="array" ref="B2568">SUMPRODUCT((Tablo3[Personel Ad]=A2568)*(Tablo3[Ürün Kar Tutarı]))</f>
        <v>0</v>
      </c>
      <c r="D2568" s="14"/>
      <c r="F2568" s="9" cm="1">
        <f t="array" ref="F2568">SUMPRODUCT((Tablo3[Şehirler]=E2568)*(Tablo3[Ürün Kar Tutarı]))</f>
        <v>0</v>
      </c>
      <c r="H2568" s="14"/>
      <c r="J2568" s="9" cm="1">
        <f t="array" ref="J2568">SUMPRODUCT((Tablo3[Urun Ad]=I2568)*(Tablo3[Ürün Kar Tutarı]))</f>
        <v>0</v>
      </c>
      <c r="L2568" s="37"/>
    </row>
    <row r="2569" spans="1:12" x14ac:dyDescent="0.25">
      <c r="A2569" s="13"/>
      <c r="B2569" s="9" cm="1">
        <f t="array" ref="B2569">SUMPRODUCT((Tablo3[Personel Ad]=A2569)*(Tablo3[Ürün Kar Tutarı]))</f>
        <v>0</v>
      </c>
      <c r="D2569" s="14"/>
      <c r="F2569" s="9" cm="1">
        <f t="array" ref="F2569">SUMPRODUCT((Tablo3[Şehirler]=E2569)*(Tablo3[Ürün Kar Tutarı]))</f>
        <v>0</v>
      </c>
      <c r="H2569" s="14"/>
      <c r="J2569" s="9" cm="1">
        <f t="array" ref="J2569">SUMPRODUCT((Tablo3[Urun Ad]=I2569)*(Tablo3[Ürün Kar Tutarı]))</f>
        <v>0</v>
      </c>
      <c r="L2569" s="37"/>
    </row>
    <row r="2570" spans="1:12" x14ac:dyDescent="0.25">
      <c r="A2570" s="13"/>
      <c r="B2570" s="9" cm="1">
        <f t="array" ref="B2570">SUMPRODUCT((Tablo3[Personel Ad]=A2570)*(Tablo3[Ürün Kar Tutarı]))</f>
        <v>0</v>
      </c>
      <c r="D2570" s="14"/>
      <c r="F2570" s="9" cm="1">
        <f t="array" ref="F2570">SUMPRODUCT((Tablo3[Şehirler]=E2570)*(Tablo3[Ürün Kar Tutarı]))</f>
        <v>0</v>
      </c>
      <c r="H2570" s="14"/>
      <c r="J2570" s="9" cm="1">
        <f t="array" ref="J2570">SUMPRODUCT((Tablo3[Urun Ad]=I2570)*(Tablo3[Ürün Kar Tutarı]))</f>
        <v>0</v>
      </c>
      <c r="L2570" s="37"/>
    </row>
    <row r="2571" spans="1:12" x14ac:dyDescent="0.25">
      <c r="A2571" s="13"/>
      <c r="B2571" s="9" cm="1">
        <f t="array" ref="B2571">SUMPRODUCT((Tablo3[Personel Ad]=A2571)*(Tablo3[Ürün Kar Tutarı]))</f>
        <v>0</v>
      </c>
      <c r="D2571" s="14"/>
      <c r="F2571" s="9" cm="1">
        <f t="array" ref="F2571">SUMPRODUCT((Tablo3[Şehirler]=E2571)*(Tablo3[Ürün Kar Tutarı]))</f>
        <v>0</v>
      </c>
      <c r="H2571" s="14"/>
      <c r="J2571" s="9" cm="1">
        <f t="array" ref="J2571">SUMPRODUCT((Tablo3[Urun Ad]=I2571)*(Tablo3[Ürün Kar Tutarı]))</f>
        <v>0</v>
      </c>
      <c r="L2571" s="37"/>
    </row>
    <row r="2572" spans="1:12" x14ac:dyDescent="0.25">
      <c r="A2572" s="13"/>
      <c r="B2572" s="9" cm="1">
        <f t="array" ref="B2572">SUMPRODUCT((Tablo3[Personel Ad]=A2572)*(Tablo3[Ürün Kar Tutarı]))</f>
        <v>0</v>
      </c>
      <c r="D2572" s="14"/>
      <c r="F2572" s="9" cm="1">
        <f t="array" ref="F2572">SUMPRODUCT((Tablo3[Şehirler]=E2572)*(Tablo3[Ürün Kar Tutarı]))</f>
        <v>0</v>
      </c>
      <c r="H2572" s="14"/>
      <c r="J2572" s="9" cm="1">
        <f t="array" ref="J2572">SUMPRODUCT((Tablo3[Urun Ad]=I2572)*(Tablo3[Ürün Kar Tutarı]))</f>
        <v>0</v>
      </c>
      <c r="L2572" s="37"/>
    </row>
    <row r="2573" spans="1:12" x14ac:dyDescent="0.25">
      <c r="A2573" s="13"/>
      <c r="B2573" s="9" cm="1">
        <f t="array" ref="B2573">SUMPRODUCT((Tablo3[Personel Ad]=A2573)*(Tablo3[Ürün Kar Tutarı]))</f>
        <v>0</v>
      </c>
      <c r="D2573" s="14"/>
      <c r="F2573" s="9" cm="1">
        <f t="array" ref="F2573">SUMPRODUCT((Tablo3[Şehirler]=E2573)*(Tablo3[Ürün Kar Tutarı]))</f>
        <v>0</v>
      </c>
      <c r="H2573" s="14"/>
      <c r="J2573" s="9" cm="1">
        <f t="array" ref="J2573">SUMPRODUCT((Tablo3[Urun Ad]=I2573)*(Tablo3[Ürün Kar Tutarı]))</f>
        <v>0</v>
      </c>
      <c r="L2573" s="37"/>
    </row>
    <row r="2574" spans="1:12" x14ac:dyDescent="0.25">
      <c r="A2574" s="13"/>
      <c r="B2574" s="9" cm="1">
        <f t="array" ref="B2574">SUMPRODUCT((Tablo3[Personel Ad]=A2574)*(Tablo3[Ürün Kar Tutarı]))</f>
        <v>0</v>
      </c>
      <c r="D2574" s="14"/>
      <c r="F2574" s="9" cm="1">
        <f t="array" ref="F2574">SUMPRODUCT((Tablo3[Şehirler]=E2574)*(Tablo3[Ürün Kar Tutarı]))</f>
        <v>0</v>
      </c>
      <c r="H2574" s="14"/>
      <c r="J2574" s="9" cm="1">
        <f t="array" ref="J2574">SUMPRODUCT((Tablo3[Urun Ad]=I2574)*(Tablo3[Ürün Kar Tutarı]))</f>
        <v>0</v>
      </c>
      <c r="L2574" s="37"/>
    </row>
    <row r="2575" spans="1:12" x14ac:dyDescent="0.25">
      <c r="A2575" s="13"/>
      <c r="B2575" s="9" cm="1">
        <f t="array" ref="B2575">SUMPRODUCT((Tablo3[Personel Ad]=A2575)*(Tablo3[Ürün Kar Tutarı]))</f>
        <v>0</v>
      </c>
      <c r="D2575" s="14"/>
      <c r="F2575" s="9" cm="1">
        <f t="array" ref="F2575">SUMPRODUCT((Tablo3[Şehirler]=E2575)*(Tablo3[Ürün Kar Tutarı]))</f>
        <v>0</v>
      </c>
      <c r="H2575" s="14"/>
      <c r="J2575" s="9" cm="1">
        <f t="array" ref="J2575">SUMPRODUCT((Tablo3[Urun Ad]=I2575)*(Tablo3[Ürün Kar Tutarı]))</f>
        <v>0</v>
      </c>
      <c r="L2575" s="37"/>
    </row>
    <row r="2576" spans="1:12" x14ac:dyDescent="0.25">
      <c r="A2576" s="13"/>
      <c r="B2576" s="9" cm="1">
        <f t="array" ref="B2576">SUMPRODUCT((Tablo3[Personel Ad]=A2576)*(Tablo3[Ürün Kar Tutarı]))</f>
        <v>0</v>
      </c>
      <c r="D2576" s="14"/>
      <c r="F2576" s="9" cm="1">
        <f t="array" ref="F2576">SUMPRODUCT((Tablo3[Şehirler]=E2576)*(Tablo3[Ürün Kar Tutarı]))</f>
        <v>0</v>
      </c>
      <c r="H2576" s="14"/>
      <c r="J2576" s="9" cm="1">
        <f t="array" ref="J2576">SUMPRODUCT((Tablo3[Urun Ad]=I2576)*(Tablo3[Ürün Kar Tutarı]))</f>
        <v>0</v>
      </c>
      <c r="L2576" s="37"/>
    </row>
    <row r="2577" spans="1:12" x14ac:dyDescent="0.25">
      <c r="A2577" s="13"/>
      <c r="B2577" s="9" cm="1">
        <f t="array" ref="B2577">SUMPRODUCT((Tablo3[Personel Ad]=A2577)*(Tablo3[Ürün Kar Tutarı]))</f>
        <v>0</v>
      </c>
      <c r="D2577" s="14"/>
      <c r="F2577" s="9" cm="1">
        <f t="array" ref="F2577">SUMPRODUCT((Tablo3[Şehirler]=E2577)*(Tablo3[Ürün Kar Tutarı]))</f>
        <v>0</v>
      </c>
      <c r="H2577" s="14"/>
      <c r="J2577" s="9" cm="1">
        <f t="array" ref="J2577">SUMPRODUCT((Tablo3[Urun Ad]=I2577)*(Tablo3[Ürün Kar Tutarı]))</f>
        <v>0</v>
      </c>
      <c r="L2577" s="37"/>
    </row>
    <row r="2578" spans="1:12" x14ac:dyDescent="0.25">
      <c r="A2578" s="13"/>
      <c r="B2578" s="9" cm="1">
        <f t="array" ref="B2578">SUMPRODUCT((Tablo3[Personel Ad]=A2578)*(Tablo3[Ürün Kar Tutarı]))</f>
        <v>0</v>
      </c>
      <c r="D2578" s="14"/>
      <c r="F2578" s="9" cm="1">
        <f t="array" ref="F2578">SUMPRODUCT((Tablo3[Şehirler]=E2578)*(Tablo3[Ürün Kar Tutarı]))</f>
        <v>0</v>
      </c>
      <c r="H2578" s="14"/>
      <c r="J2578" s="9" cm="1">
        <f t="array" ref="J2578">SUMPRODUCT((Tablo3[Urun Ad]=I2578)*(Tablo3[Ürün Kar Tutarı]))</f>
        <v>0</v>
      </c>
      <c r="L2578" s="37"/>
    </row>
    <row r="2579" spans="1:12" x14ac:dyDescent="0.25">
      <c r="A2579" s="13"/>
      <c r="B2579" s="9" cm="1">
        <f t="array" ref="B2579">SUMPRODUCT((Tablo3[Personel Ad]=A2579)*(Tablo3[Ürün Kar Tutarı]))</f>
        <v>0</v>
      </c>
      <c r="D2579" s="14"/>
      <c r="F2579" s="9" cm="1">
        <f t="array" ref="F2579">SUMPRODUCT((Tablo3[Şehirler]=E2579)*(Tablo3[Ürün Kar Tutarı]))</f>
        <v>0</v>
      </c>
      <c r="H2579" s="14"/>
      <c r="J2579" s="9" cm="1">
        <f t="array" ref="J2579">SUMPRODUCT((Tablo3[Urun Ad]=I2579)*(Tablo3[Ürün Kar Tutarı]))</f>
        <v>0</v>
      </c>
      <c r="L2579" s="37"/>
    </row>
    <row r="2580" spans="1:12" x14ac:dyDescent="0.25">
      <c r="A2580" s="13"/>
      <c r="B2580" s="9" cm="1">
        <f t="array" ref="B2580">SUMPRODUCT((Tablo3[Personel Ad]=A2580)*(Tablo3[Ürün Kar Tutarı]))</f>
        <v>0</v>
      </c>
      <c r="D2580" s="14"/>
      <c r="F2580" s="9" cm="1">
        <f t="array" ref="F2580">SUMPRODUCT((Tablo3[Şehirler]=E2580)*(Tablo3[Ürün Kar Tutarı]))</f>
        <v>0</v>
      </c>
      <c r="H2580" s="14"/>
      <c r="J2580" s="9" cm="1">
        <f t="array" ref="J2580">SUMPRODUCT((Tablo3[Urun Ad]=I2580)*(Tablo3[Ürün Kar Tutarı]))</f>
        <v>0</v>
      </c>
      <c r="L2580" s="37"/>
    </row>
    <row r="2581" spans="1:12" x14ac:dyDescent="0.25">
      <c r="A2581" s="13"/>
      <c r="B2581" s="9" cm="1">
        <f t="array" ref="B2581">SUMPRODUCT((Tablo3[Personel Ad]=A2581)*(Tablo3[Ürün Kar Tutarı]))</f>
        <v>0</v>
      </c>
      <c r="D2581" s="14"/>
      <c r="F2581" s="9" cm="1">
        <f t="array" ref="F2581">SUMPRODUCT((Tablo3[Şehirler]=E2581)*(Tablo3[Ürün Kar Tutarı]))</f>
        <v>0</v>
      </c>
      <c r="H2581" s="14"/>
      <c r="J2581" s="9" cm="1">
        <f t="array" ref="J2581">SUMPRODUCT((Tablo3[Urun Ad]=I2581)*(Tablo3[Ürün Kar Tutarı]))</f>
        <v>0</v>
      </c>
      <c r="L2581" s="37"/>
    </row>
    <row r="2582" spans="1:12" x14ac:dyDescent="0.25">
      <c r="A2582" s="13"/>
      <c r="B2582" s="9" cm="1">
        <f t="array" ref="B2582">SUMPRODUCT((Tablo3[Personel Ad]=A2582)*(Tablo3[Ürün Kar Tutarı]))</f>
        <v>0</v>
      </c>
      <c r="D2582" s="14"/>
      <c r="F2582" s="9" cm="1">
        <f t="array" ref="F2582">SUMPRODUCT((Tablo3[Şehirler]=E2582)*(Tablo3[Ürün Kar Tutarı]))</f>
        <v>0</v>
      </c>
      <c r="H2582" s="14"/>
      <c r="J2582" s="9" cm="1">
        <f t="array" ref="J2582">SUMPRODUCT((Tablo3[Urun Ad]=I2582)*(Tablo3[Ürün Kar Tutarı]))</f>
        <v>0</v>
      </c>
      <c r="L2582" s="37"/>
    </row>
    <row r="2583" spans="1:12" x14ac:dyDescent="0.25">
      <c r="A2583" s="13"/>
      <c r="B2583" s="9" cm="1">
        <f t="array" ref="B2583">SUMPRODUCT((Tablo3[Personel Ad]=A2583)*(Tablo3[Ürün Kar Tutarı]))</f>
        <v>0</v>
      </c>
      <c r="D2583" s="14"/>
      <c r="F2583" s="9" cm="1">
        <f t="array" ref="F2583">SUMPRODUCT((Tablo3[Şehirler]=E2583)*(Tablo3[Ürün Kar Tutarı]))</f>
        <v>0</v>
      </c>
      <c r="H2583" s="14"/>
      <c r="J2583" s="9" cm="1">
        <f t="array" ref="J2583">SUMPRODUCT((Tablo3[Urun Ad]=I2583)*(Tablo3[Ürün Kar Tutarı]))</f>
        <v>0</v>
      </c>
      <c r="L2583" s="37"/>
    </row>
    <row r="2584" spans="1:12" x14ac:dyDescent="0.25">
      <c r="A2584" s="13"/>
      <c r="B2584" s="9" cm="1">
        <f t="array" ref="B2584">SUMPRODUCT((Tablo3[Personel Ad]=A2584)*(Tablo3[Ürün Kar Tutarı]))</f>
        <v>0</v>
      </c>
      <c r="D2584" s="14"/>
      <c r="F2584" s="9" cm="1">
        <f t="array" ref="F2584">SUMPRODUCT((Tablo3[Şehirler]=E2584)*(Tablo3[Ürün Kar Tutarı]))</f>
        <v>0</v>
      </c>
      <c r="H2584" s="14"/>
      <c r="J2584" s="9" cm="1">
        <f t="array" ref="J2584">SUMPRODUCT((Tablo3[Urun Ad]=I2584)*(Tablo3[Ürün Kar Tutarı]))</f>
        <v>0</v>
      </c>
      <c r="L2584" s="37"/>
    </row>
    <row r="2585" spans="1:12" x14ac:dyDescent="0.25">
      <c r="A2585" s="13"/>
      <c r="B2585" s="9" cm="1">
        <f t="array" ref="B2585">SUMPRODUCT((Tablo3[Personel Ad]=A2585)*(Tablo3[Ürün Kar Tutarı]))</f>
        <v>0</v>
      </c>
      <c r="D2585" s="14"/>
      <c r="F2585" s="9" cm="1">
        <f t="array" ref="F2585">SUMPRODUCT((Tablo3[Şehirler]=E2585)*(Tablo3[Ürün Kar Tutarı]))</f>
        <v>0</v>
      </c>
      <c r="H2585" s="14"/>
      <c r="J2585" s="9" cm="1">
        <f t="array" ref="J2585">SUMPRODUCT((Tablo3[Urun Ad]=I2585)*(Tablo3[Ürün Kar Tutarı]))</f>
        <v>0</v>
      </c>
      <c r="L2585" s="37"/>
    </row>
    <row r="2586" spans="1:12" x14ac:dyDescent="0.25">
      <c r="A2586" s="13"/>
      <c r="B2586" s="9" cm="1">
        <f t="array" ref="B2586">SUMPRODUCT((Tablo3[Personel Ad]=A2586)*(Tablo3[Ürün Kar Tutarı]))</f>
        <v>0</v>
      </c>
      <c r="D2586" s="14"/>
      <c r="F2586" s="9" cm="1">
        <f t="array" ref="F2586">SUMPRODUCT((Tablo3[Şehirler]=E2586)*(Tablo3[Ürün Kar Tutarı]))</f>
        <v>0</v>
      </c>
      <c r="H2586" s="14"/>
      <c r="J2586" s="9" cm="1">
        <f t="array" ref="J2586">SUMPRODUCT((Tablo3[Urun Ad]=I2586)*(Tablo3[Ürün Kar Tutarı]))</f>
        <v>0</v>
      </c>
      <c r="L2586" s="37"/>
    </row>
    <row r="2587" spans="1:12" x14ac:dyDescent="0.25">
      <c r="A2587" s="13"/>
      <c r="B2587" s="9" cm="1">
        <f t="array" ref="B2587">SUMPRODUCT((Tablo3[Personel Ad]=A2587)*(Tablo3[Ürün Kar Tutarı]))</f>
        <v>0</v>
      </c>
      <c r="D2587" s="14"/>
      <c r="F2587" s="9" cm="1">
        <f t="array" ref="F2587">SUMPRODUCT((Tablo3[Şehirler]=E2587)*(Tablo3[Ürün Kar Tutarı]))</f>
        <v>0</v>
      </c>
      <c r="H2587" s="14"/>
      <c r="J2587" s="9" cm="1">
        <f t="array" ref="J2587">SUMPRODUCT((Tablo3[Urun Ad]=I2587)*(Tablo3[Ürün Kar Tutarı]))</f>
        <v>0</v>
      </c>
      <c r="L2587" s="37"/>
    </row>
    <row r="2588" spans="1:12" x14ac:dyDescent="0.25">
      <c r="A2588" s="13"/>
      <c r="B2588" s="9" cm="1">
        <f t="array" ref="B2588">SUMPRODUCT((Tablo3[Personel Ad]=A2588)*(Tablo3[Ürün Kar Tutarı]))</f>
        <v>0</v>
      </c>
      <c r="D2588" s="14"/>
      <c r="F2588" s="9" cm="1">
        <f t="array" ref="F2588">SUMPRODUCT((Tablo3[Şehirler]=E2588)*(Tablo3[Ürün Kar Tutarı]))</f>
        <v>0</v>
      </c>
      <c r="H2588" s="14"/>
      <c r="J2588" s="9" cm="1">
        <f t="array" ref="J2588">SUMPRODUCT((Tablo3[Urun Ad]=I2588)*(Tablo3[Ürün Kar Tutarı]))</f>
        <v>0</v>
      </c>
      <c r="L2588" s="37"/>
    </row>
    <row r="2589" spans="1:12" x14ac:dyDescent="0.25">
      <c r="A2589" s="13"/>
      <c r="B2589" s="9" cm="1">
        <f t="array" ref="B2589">SUMPRODUCT((Tablo3[Personel Ad]=A2589)*(Tablo3[Ürün Kar Tutarı]))</f>
        <v>0</v>
      </c>
      <c r="D2589" s="14"/>
      <c r="F2589" s="9" cm="1">
        <f t="array" ref="F2589">SUMPRODUCT((Tablo3[Şehirler]=E2589)*(Tablo3[Ürün Kar Tutarı]))</f>
        <v>0</v>
      </c>
      <c r="H2589" s="14"/>
      <c r="J2589" s="9" cm="1">
        <f t="array" ref="J2589">SUMPRODUCT((Tablo3[Urun Ad]=I2589)*(Tablo3[Ürün Kar Tutarı]))</f>
        <v>0</v>
      </c>
      <c r="L2589" s="37"/>
    </row>
    <row r="2590" spans="1:12" x14ac:dyDescent="0.25">
      <c r="A2590" s="13"/>
      <c r="B2590" s="9" cm="1">
        <f t="array" ref="B2590">SUMPRODUCT((Tablo3[Personel Ad]=A2590)*(Tablo3[Ürün Kar Tutarı]))</f>
        <v>0</v>
      </c>
      <c r="D2590" s="14"/>
      <c r="F2590" s="9" cm="1">
        <f t="array" ref="F2590">SUMPRODUCT((Tablo3[Şehirler]=E2590)*(Tablo3[Ürün Kar Tutarı]))</f>
        <v>0</v>
      </c>
      <c r="H2590" s="14"/>
      <c r="J2590" s="9" cm="1">
        <f t="array" ref="J2590">SUMPRODUCT((Tablo3[Urun Ad]=I2590)*(Tablo3[Ürün Kar Tutarı]))</f>
        <v>0</v>
      </c>
      <c r="L2590" s="37"/>
    </row>
    <row r="2591" spans="1:12" x14ac:dyDescent="0.25">
      <c r="A2591" s="13"/>
      <c r="B2591" s="9" cm="1">
        <f t="array" ref="B2591">SUMPRODUCT((Tablo3[Personel Ad]=A2591)*(Tablo3[Ürün Kar Tutarı]))</f>
        <v>0</v>
      </c>
      <c r="D2591" s="14"/>
      <c r="F2591" s="9" cm="1">
        <f t="array" ref="F2591">SUMPRODUCT((Tablo3[Şehirler]=E2591)*(Tablo3[Ürün Kar Tutarı]))</f>
        <v>0</v>
      </c>
      <c r="H2591" s="14"/>
      <c r="J2591" s="9" cm="1">
        <f t="array" ref="J2591">SUMPRODUCT((Tablo3[Urun Ad]=I2591)*(Tablo3[Ürün Kar Tutarı]))</f>
        <v>0</v>
      </c>
      <c r="L2591" s="37"/>
    </row>
    <row r="2592" spans="1:12" x14ac:dyDescent="0.25">
      <c r="A2592" s="13"/>
      <c r="B2592" s="9" cm="1">
        <f t="array" ref="B2592">SUMPRODUCT((Tablo3[Personel Ad]=A2592)*(Tablo3[Ürün Kar Tutarı]))</f>
        <v>0</v>
      </c>
      <c r="D2592" s="14"/>
      <c r="F2592" s="9" cm="1">
        <f t="array" ref="F2592">SUMPRODUCT((Tablo3[Şehirler]=E2592)*(Tablo3[Ürün Kar Tutarı]))</f>
        <v>0</v>
      </c>
      <c r="H2592" s="14"/>
      <c r="J2592" s="9" cm="1">
        <f t="array" ref="J2592">SUMPRODUCT((Tablo3[Urun Ad]=I2592)*(Tablo3[Ürün Kar Tutarı]))</f>
        <v>0</v>
      </c>
      <c r="L2592" s="37"/>
    </row>
    <row r="2593" spans="1:12" x14ac:dyDescent="0.25">
      <c r="A2593" s="13"/>
      <c r="B2593" s="9" cm="1">
        <f t="array" ref="B2593">SUMPRODUCT((Tablo3[Personel Ad]=A2593)*(Tablo3[Ürün Kar Tutarı]))</f>
        <v>0</v>
      </c>
      <c r="D2593" s="14"/>
      <c r="F2593" s="9" cm="1">
        <f t="array" ref="F2593">SUMPRODUCT((Tablo3[Şehirler]=E2593)*(Tablo3[Ürün Kar Tutarı]))</f>
        <v>0</v>
      </c>
      <c r="H2593" s="14"/>
      <c r="J2593" s="9" cm="1">
        <f t="array" ref="J2593">SUMPRODUCT((Tablo3[Urun Ad]=I2593)*(Tablo3[Ürün Kar Tutarı]))</f>
        <v>0</v>
      </c>
      <c r="L2593" s="37"/>
    </row>
    <row r="2594" spans="1:12" x14ac:dyDescent="0.25">
      <c r="A2594" s="13"/>
      <c r="B2594" s="9" cm="1">
        <f t="array" ref="B2594">SUMPRODUCT((Tablo3[Personel Ad]=A2594)*(Tablo3[Ürün Kar Tutarı]))</f>
        <v>0</v>
      </c>
      <c r="D2594" s="14"/>
      <c r="F2594" s="9" cm="1">
        <f t="array" ref="F2594">SUMPRODUCT((Tablo3[Şehirler]=E2594)*(Tablo3[Ürün Kar Tutarı]))</f>
        <v>0</v>
      </c>
      <c r="H2594" s="14"/>
      <c r="J2594" s="9" cm="1">
        <f t="array" ref="J2594">SUMPRODUCT((Tablo3[Urun Ad]=I2594)*(Tablo3[Ürün Kar Tutarı]))</f>
        <v>0</v>
      </c>
      <c r="L2594" s="37"/>
    </row>
    <row r="2595" spans="1:12" x14ac:dyDescent="0.25">
      <c r="A2595" s="13"/>
      <c r="B2595" s="9" cm="1">
        <f t="array" ref="B2595">SUMPRODUCT((Tablo3[Personel Ad]=A2595)*(Tablo3[Ürün Kar Tutarı]))</f>
        <v>0</v>
      </c>
      <c r="D2595" s="14"/>
      <c r="F2595" s="9" cm="1">
        <f t="array" ref="F2595">SUMPRODUCT((Tablo3[Şehirler]=E2595)*(Tablo3[Ürün Kar Tutarı]))</f>
        <v>0</v>
      </c>
      <c r="H2595" s="14"/>
      <c r="J2595" s="9" cm="1">
        <f t="array" ref="J2595">SUMPRODUCT((Tablo3[Urun Ad]=I2595)*(Tablo3[Ürün Kar Tutarı]))</f>
        <v>0</v>
      </c>
      <c r="L2595" s="37"/>
    </row>
    <row r="2596" spans="1:12" x14ac:dyDescent="0.25">
      <c r="A2596" s="13"/>
      <c r="B2596" s="9" cm="1">
        <f t="array" ref="B2596">SUMPRODUCT((Tablo3[Personel Ad]=A2596)*(Tablo3[Ürün Kar Tutarı]))</f>
        <v>0</v>
      </c>
      <c r="D2596" s="14"/>
      <c r="F2596" s="9" cm="1">
        <f t="array" ref="F2596">SUMPRODUCT((Tablo3[Şehirler]=E2596)*(Tablo3[Ürün Kar Tutarı]))</f>
        <v>0</v>
      </c>
      <c r="H2596" s="14"/>
      <c r="J2596" s="9" cm="1">
        <f t="array" ref="J2596">SUMPRODUCT((Tablo3[Urun Ad]=I2596)*(Tablo3[Ürün Kar Tutarı]))</f>
        <v>0</v>
      </c>
      <c r="L2596" s="37"/>
    </row>
    <row r="2597" spans="1:12" x14ac:dyDescent="0.25">
      <c r="A2597" s="13"/>
      <c r="B2597" s="9" cm="1">
        <f t="array" ref="B2597">SUMPRODUCT((Tablo3[Personel Ad]=A2597)*(Tablo3[Ürün Kar Tutarı]))</f>
        <v>0</v>
      </c>
      <c r="D2597" s="14"/>
      <c r="F2597" s="9" cm="1">
        <f t="array" ref="F2597">SUMPRODUCT((Tablo3[Şehirler]=E2597)*(Tablo3[Ürün Kar Tutarı]))</f>
        <v>0</v>
      </c>
      <c r="H2597" s="14"/>
      <c r="J2597" s="9" cm="1">
        <f t="array" ref="J2597">SUMPRODUCT((Tablo3[Urun Ad]=I2597)*(Tablo3[Ürün Kar Tutarı]))</f>
        <v>0</v>
      </c>
      <c r="L2597" s="37"/>
    </row>
    <row r="2598" spans="1:12" x14ac:dyDescent="0.25">
      <c r="A2598" s="13"/>
      <c r="B2598" s="9" cm="1">
        <f t="array" ref="B2598">SUMPRODUCT((Tablo3[Personel Ad]=A2598)*(Tablo3[Ürün Kar Tutarı]))</f>
        <v>0</v>
      </c>
      <c r="D2598" s="14"/>
      <c r="F2598" s="9" cm="1">
        <f t="array" ref="F2598">SUMPRODUCT((Tablo3[Şehirler]=E2598)*(Tablo3[Ürün Kar Tutarı]))</f>
        <v>0</v>
      </c>
      <c r="H2598" s="14"/>
      <c r="J2598" s="9" cm="1">
        <f t="array" ref="J2598">SUMPRODUCT((Tablo3[Urun Ad]=I2598)*(Tablo3[Ürün Kar Tutarı]))</f>
        <v>0</v>
      </c>
      <c r="L2598" s="37"/>
    </row>
    <row r="2599" spans="1:12" x14ac:dyDescent="0.25">
      <c r="A2599" s="13"/>
      <c r="B2599" s="9" cm="1">
        <f t="array" ref="B2599">SUMPRODUCT((Tablo3[Personel Ad]=A2599)*(Tablo3[Ürün Kar Tutarı]))</f>
        <v>0</v>
      </c>
      <c r="D2599" s="14"/>
      <c r="F2599" s="9" cm="1">
        <f t="array" ref="F2599">SUMPRODUCT((Tablo3[Şehirler]=E2599)*(Tablo3[Ürün Kar Tutarı]))</f>
        <v>0</v>
      </c>
      <c r="H2599" s="14"/>
      <c r="J2599" s="9" cm="1">
        <f t="array" ref="J2599">SUMPRODUCT((Tablo3[Urun Ad]=I2599)*(Tablo3[Ürün Kar Tutarı]))</f>
        <v>0</v>
      </c>
      <c r="L2599" s="37"/>
    </row>
    <row r="2600" spans="1:12" x14ac:dyDescent="0.25">
      <c r="A2600" s="13"/>
      <c r="B2600" s="9" cm="1">
        <f t="array" ref="B2600">SUMPRODUCT((Tablo3[Personel Ad]=A2600)*(Tablo3[Ürün Kar Tutarı]))</f>
        <v>0</v>
      </c>
      <c r="D2600" s="14"/>
      <c r="F2600" s="9" cm="1">
        <f t="array" ref="F2600">SUMPRODUCT((Tablo3[Şehirler]=E2600)*(Tablo3[Ürün Kar Tutarı]))</f>
        <v>0</v>
      </c>
      <c r="H2600" s="14"/>
      <c r="J2600" s="9" cm="1">
        <f t="array" ref="J2600">SUMPRODUCT((Tablo3[Urun Ad]=I2600)*(Tablo3[Ürün Kar Tutarı]))</f>
        <v>0</v>
      </c>
      <c r="L2600" s="37"/>
    </row>
    <row r="2601" spans="1:12" x14ac:dyDescent="0.25">
      <c r="A2601" s="13"/>
      <c r="B2601" s="9" cm="1">
        <f t="array" ref="B2601">SUMPRODUCT((Tablo3[Personel Ad]=A2601)*(Tablo3[Ürün Kar Tutarı]))</f>
        <v>0</v>
      </c>
      <c r="D2601" s="14"/>
      <c r="F2601" s="9" cm="1">
        <f t="array" ref="F2601">SUMPRODUCT((Tablo3[Şehirler]=E2601)*(Tablo3[Ürün Kar Tutarı]))</f>
        <v>0</v>
      </c>
      <c r="H2601" s="14"/>
      <c r="J2601" s="9" cm="1">
        <f t="array" ref="J2601">SUMPRODUCT((Tablo3[Urun Ad]=I2601)*(Tablo3[Ürün Kar Tutarı]))</f>
        <v>0</v>
      </c>
      <c r="L2601" s="37"/>
    </row>
    <row r="2602" spans="1:12" x14ac:dyDescent="0.25">
      <c r="A2602" s="13"/>
      <c r="B2602" s="9" cm="1">
        <f t="array" ref="B2602">SUMPRODUCT((Tablo3[Personel Ad]=A2602)*(Tablo3[Ürün Kar Tutarı]))</f>
        <v>0</v>
      </c>
      <c r="D2602" s="14"/>
      <c r="F2602" s="9" cm="1">
        <f t="array" ref="F2602">SUMPRODUCT((Tablo3[Şehirler]=E2602)*(Tablo3[Ürün Kar Tutarı]))</f>
        <v>0</v>
      </c>
      <c r="H2602" s="14"/>
      <c r="J2602" s="9" cm="1">
        <f t="array" ref="J2602">SUMPRODUCT((Tablo3[Urun Ad]=I2602)*(Tablo3[Ürün Kar Tutarı]))</f>
        <v>0</v>
      </c>
      <c r="L2602" s="37"/>
    </row>
    <row r="2603" spans="1:12" x14ac:dyDescent="0.25">
      <c r="A2603" s="13"/>
      <c r="B2603" s="9" cm="1">
        <f t="array" ref="B2603">SUMPRODUCT((Tablo3[Personel Ad]=A2603)*(Tablo3[Ürün Kar Tutarı]))</f>
        <v>0</v>
      </c>
      <c r="D2603" s="14"/>
      <c r="F2603" s="9" cm="1">
        <f t="array" ref="F2603">SUMPRODUCT((Tablo3[Şehirler]=E2603)*(Tablo3[Ürün Kar Tutarı]))</f>
        <v>0</v>
      </c>
      <c r="H2603" s="14"/>
      <c r="J2603" s="9" cm="1">
        <f t="array" ref="J2603">SUMPRODUCT((Tablo3[Urun Ad]=I2603)*(Tablo3[Ürün Kar Tutarı]))</f>
        <v>0</v>
      </c>
      <c r="L2603" s="37"/>
    </row>
    <row r="2604" spans="1:12" x14ac:dyDescent="0.25">
      <c r="A2604" s="13"/>
      <c r="B2604" s="9" cm="1">
        <f t="array" ref="B2604">SUMPRODUCT((Tablo3[Personel Ad]=A2604)*(Tablo3[Ürün Kar Tutarı]))</f>
        <v>0</v>
      </c>
      <c r="D2604" s="14"/>
      <c r="F2604" s="9" cm="1">
        <f t="array" ref="F2604">SUMPRODUCT((Tablo3[Şehirler]=E2604)*(Tablo3[Ürün Kar Tutarı]))</f>
        <v>0</v>
      </c>
      <c r="H2604" s="14"/>
      <c r="J2604" s="9" cm="1">
        <f t="array" ref="J2604">SUMPRODUCT((Tablo3[Urun Ad]=I2604)*(Tablo3[Ürün Kar Tutarı]))</f>
        <v>0</v>
      </c>
      <c r="L2604" s="37"/>
    </row>
    <row r="2605" spans="1:12" x14ac:dyDescent="0.25">
      <c r="A2605" s="13"/>
      <c r="B2605" s="9" cm="1">
        <f t="array" ref="B2605">SUMPRODUCT((Tablo3[Personel Ad]=A2605)*(Tablo3[Ürün Kar Tutarı]))</f>
        <v>0</v>
      </c>
      <c r="D2605" s="14"/>
      <c r="F2605" s="9" cm="1">
        <f t="array" ref="F2605">SUMPRODUCT((Tablo3[Şehirler]=E2605)*(Tablo3[Ürün Kar Tutarı]))</f>
        <v>0</v>
      </c>
      <c r="H2605" s="14"/>
      <c r="J2605" s="9" cm="1">
        <f t="array" ref="J2605">SUMPRODUCT((Tablo3[Urun Ad]=I2605)*(Tablo3[Ürün Kar Tutarı]))</f>
        <v>0</v>
      </c>
      <c r="L2605" s="37"/>
    </row>
    <row r="2606" spans="1:12" x14ac:dyDescent="0.25">
      <c r="A2606" s="13"/>
      <c r="B2606" s="9" cm="1">
        <f t="array" ref="B2606">SUMPRODUCT((Tablo3[Personel Ad]=A2606)*(Tablo3[Ürün Kar Tutarı]))</f>
        <v>0</v>
      </c>
      <c r="D2606" s="14"/>
      <c r="F2606" s="9" cm="1">
        <f t="array" ref="F2606">SUMPRODUCT((Tablo3[Şehirler]=E2606)*(Tablo3[Ürün Kar Tutarı]))</f>
        <v>0</v>
      </c>
      <c r="H2606" s="14"/>
      <c r="J2606" s="9" cm="1">
        <f t="array" ref="J2606">SUMPRODUCT((Tablo3[Urun Ad]=I2606)*(Tablo3[Ürün Kar Tutarı]))</f>
        <v>0</v>
      </c>
      <c r="L2606" s="37"/>
    </row>
    <row r="2607" spans="1:12" x14ac:dyDescent="0.25">
      <c r="A2607" s="13"/>
      <c r="B2607" s="9" cm="1">
        <f t="array" ref="B2607">SUMPRODUCT((Tablo3[Personel Ad]=A2607)*(Tablo3[Ürün Kar Tutarı]))</f>
        <v>0</v>
      </c>
      <c r="D2607" s="14"/>
      <c r="F2607" s="9" cm="1">
        <f t="array" ref="F2607">SUMPRODUCT((Tablo3[Şehirler]=E2607)*(Tablo3[Ürün Kar Tutarı]))</f>
        <v>0</v>
      </c>
      <c r="H2607" s="14"/>
      <c r="J2607" s="9" cm="1">
        <f t="array" ref="J2607">SUMPRODUCT((Tablo3[Urun Ad]=I2607)*(Tablo3[Ürün Kar Tutarı]))</f>
        <v>0</v>
      </c>
      <c r="L2607" s="37"/>
    </row>
    <row r="2608" spans="1:12" x14ac:dyDescent="0.25">
      <c r="A2608" s="13"/>
      <c r="B2608" s="9" cm="1">
        <f t="array" ref="B2608">SUMPRODUCT((Tablo3[Personel Ad]=A2608)*(Tablo3[Ürün Kar Tutarı]))</f>
        <v>0</v>
      </c>
      <c r="D2608" s="14"/>
      <c r="F2608" s="9" cm="1">
        <f t="array" ref="F2608">SUMPRODUCT((Tablo3[Şehirler]=E2608)*(Tablo3[Ürün Kar Tutarı]))</f>
        <v>0</v>
      </c>
      <c r="H2608" s="14"/>
      <c r="J2608" s="9" cm="1">
        <f t="array" ref="J2608">SUMPRODUCT((Tablo3[Urun Ad]=I2608)*(Tablo3[Ürün Kar Tutarı]))</f>
        <v>0</v>
      </c>
      <c r="L2608" s="37"/>
    </row>
    <row r="2609" spans="1:12" x14ac:dyDescent="0.25">
      <c r="A2609" s="13"/>
      <c r="B2609" s="9" cm="1">
        <f t="array" ref="B2609">SUMPRODUCT((Tablo3[Personel Ad]=A2609)*(Tablo3[Ürün Kar Tutarı]))</f>
        <v>0</v>
      </c>
      <c r="D2609" s="14"/>
      <c r="F2609" s="9" cm="1">
        <f t="array" ref="F2609">SUMPRODUCT((Tablo3[Şehirler]=E2609)*(Tablo3[Ürün Kar Tutarı]))</f>
        <v>0</v>
      </c>
      <c r="H2609" s="14"/>
      <c r="J2609" s="9" cm="1">
        <f t="array" ref="J2609">SUMPRODUCT((Tablo3[Urun Ad]=I2609)*(Tablo3[Ürün Kar Tutarı]))</f>
        <v>0</v>
      </c>
      <c r="L2609" s="37"/>
    </row>
    <row r="2610" spans="1:12" x14ac:dyDescent="0.25">
      <c r="A2610" s="13"/>
      <c r="B2610" s="9" cm="1">
        <f t="array" ref="B2610">SUMPRODUCT((Tablo3[Personel Ad]=A2610)*(Tablo3[Ürün Kar Tutarı]))</f>
        <v>0</v>
      </c>
      <c r="D2610" s="14"/>
      <c r="F2610" s="9" cm="1">
        <f t="array" ref="F2610">SUMPRODUCT((Tablo3[Şehirler]=E2610)*(Tablo3[Ürün Kar Tutarı]))</f>
        <v>0</v>
      </c>
      <c r="H2610" s="14"/>
      <c r="J2610" s="9" cm="1">
        <f t="array" ref="J2610">SUMPRODUCT((Tablo3[Urun Ad]=I2610)*(Tablo3[Ürün Kar Tutarı]))</f>
        <v>0</v>
      </c>
      <c r="L2610" s="37"/>
    </row>
    <row r="2611" spans="1:12" x14ac:dyDescent="0.25">
      <c r="A2611" s="13"/>
      <c r="B2611" s="9" cm="1">
        <f t="array" ref="B2611">SUMPRODUCT((Tablo3[Personel Ad]=A2611)*(Tablo3[Ürün Kar Tutarı]))</f>
        <v>0</v>
      </c>
      <c r="D2611" s="14"/>
      <c r="F2611" s="9" cm="1">
        <f t="array" ref="F2611">SUMPRODUCT((Tablo3[Şehirler]=E2611)*(Tablo3[Ürün Kar Tutarı]))</f>
        <v>0</v>
      </c>
      <c r="H2611" s="14"/>
      <c r="J2611" s="9" cm="1">
        <f t="array" ref="J2611">SUMPRODUCT((Tablo3[Urun Ad]=I2611)*(Tablo3[Ürün Kar Tutarı]))</f>
        <v>0</v>
      </c>
      <c r="L2611" s="37"/>
    </row>
    <row r="2612" spans="1:12" x14ac:dyDescent="0.25">
      <c r="A2612" s="13"/>
      <c r="B2612" s="9" cm="1">
        <f t="array" ref="B2612">SUMPRODUCT((Tablo3[Personel Ad]=A2612)*(Tablo3[Ürün Kar Tutarı]))</f>
        <v>0</v>
      </c>
      <c r="D2612" s="14"/>
      <c r="F2612" s="9" cm="1">
        <f t="array" ref="F2612">SUMPRODUCT((Tablo3[Şehirler]=E2612)*(Tablo3[Ürün Kar Tutarı]))</f>
        <v>0</v>
      </c>
      <c r="H2612" s="14"/>
      <c r="J2612" s="9" cm="1">
        <f t="array" ref="J2612">SUMPRODUCT((Tablo3[Urun Ad]=I2612)*(Tablo3[Ürün Kar Tutarı]))</f>
        <v>0</v>
      </c>
      <c r="L2612" s="37"/>
    </row>
    <row r="2613" spans="1:12" x14ac:dyDescent="0.25">
      <c r="A2613" s="13"/>
      <c r="B2613" s="9" cm="1">
        <f t="array" ref="B2613">SUMPRODUCT((Tablo3[Personel Ad]=A2613)*(Tablo3[Ürün Kar Tutarı]))</f>
        <v>0</v>
      </c>
      <c r="D2613" s="14"/>
      <c r="F2613" s="9" cm="1">
        <f t="array" ref="F2613">SUMPRODUCT((Tablo3[Şehirler]=E2613)*(Tablo3[Ürün Kar Tutarı]))</f>
        <v>0</v>
      </c>
      <c r="H2613" s="14"/>
      <c r="J2613" s="9" cm="1">
        <f t="array" ref="J2613">SUMPRODUCT((Tablo3[Urun Ad]=I2613)*(Tablo3[Ürün Kar Tutarı]))</f>
        <v>0</v>
      </c>
      <c r="L2613" s="37"/>
    </row>
    <row r="2614" spans="1:12" x14ac:dyDescent="0.25">
      <c r="A2614" s="13"/>
      <c r="B2614" s="9" cm="1">
        <f t="array" ref="B2614">SUMPRODUCT((Tablo3[Personel Ad]=A2614)*(Tablo3[Ürün Kar Tutarı]))</f>
        <v>0</v>
      </c>
      <c r="D2614" s="14"/>
      <c r="F2614" s="9" cm="1">
        <f t="array" ref="F2614">SUMPRODUCT((Tablo3[Şehirler]=E2614)*(Tablo3[Ürün Kar Tutarı]))</f>
        <v>0</v>
      </c>
      <c r="H2614" s="14"/>
      <c r="J2614" s="9" cm="1">
        <f t="array" ref="J2614">SUMPRODUCT((Tablo3[Urun Ad]=I2614)*(Tablo3[Ürün Kar Tutarı]))</f>
        <v>0</v>
      </c>
      <c r="L2614" s="37"/>
    </row>
    <row r="2615" spans="1:12" x14ac:dyDescent="0.25">
      <c r="A2615" s="13"/>
      <c r="B2615" s="9" cm="1">
        <f t="array" ref="B2615">SUMPRODUCT((Tablo3[Personel Ad]=A2615)*(Tablo3[Ürün Kar Tutarı]))</f>
        <v>0</v>
      </c>
      <c r="D2615" s="14"/>
      <c r="F2615" s="9" cm="1">
        <f t="array" ref="F2615">SUMPRODUCT((Tablo3[Şehirler]=E2615)*(Tablo3[Ürün Kar Tutarı]))</f>
        <v>0</v>
      </c>
      <c r="H2615" s="14"/>
      <c r="J2615" s="9" cm="1">
        <f t="array" ref="J2615">SUMPRODUCT((Tablo3[Urun Ad]=I2615)*(Tablo3[Ürün Kar Tutarı]))</f>
        <v>0</v>
      </c>
      <c r="L2615" s="37"/>
    </row>
    <row r="2616" spans="1:12" x14ac:dyDescent="0.25">
      <c r="A2616" s="13"/>
      <c r="B2616" s="9" cm="1">
        <f t="array" ref="B2616">SUMPRODUCT((Tablo3[Personel Ad]=A2616)*(Tablo3[Ürün Kar Tutarı]))</f>
        <v>0</v>
      </c>
      <c r="D2616" s="14"/>
      <c r="F2616" s="9" cm="1">
        <f t="array" ref="F2616">SUMPRODUCT((Tablo3[Şehirler]=E2616)*(Tablo3[Ürün Kar Tutarı]))</f>
        <v>0</v>
      </c>
      <c r="H2616" s="14"/>
      <c r="J2616" s="9" cm="1">
        <f t="array" ref="J2616">SUMPRODUCT((Tablo3[Urun Ad]=I2616)*(Tablo3[Ürün Kar Tutarı]))</f>
        <v>0</v>
      </c>
      <c r="L2616" s="37"/>
    </row>
    <row r="2617" spans="1:12" x14ac:dyDescent="0.25">
      <c r="A2617" s="13"/>
      <c r="B2617" s="9" cm="1">
        <f t="array" ref="B2617">SUMPRODUCT((Tablo3[Personel Ad]=A2617)*(Tablo3[Ürün Kar Tutarı]))</f>
        <v>0</v>
      </c>
      <c r="D2617" s="14"/>
      <c r="F2617" s="9" cm="1">
        <f t="array" ref="F2617">SUMPRODUCT((Tablo3[Şehirler]=E2617)*(Tablo3[Ürün Kar Tutarı]))</f>
        <v>0</v>
      </c>
      <c r="H2617" s="14"/>
      <c r="J2617" s="9" cm="1">
        <f t="array" ref="J2617">SUMPRODUCT((Tablo3[Urun Ad]=I2617)*(Tablo3[Ürün Kar Tutarı]))</f>
        <v>0</v>
      </c>
      <c r="L2617" s="37"/>
    </row>
    <row r="2618" spans="1:12" x14ac:dyDescent="0.25">
      <c r="A2618" s="13"/>
      <c r="B2618" s="9" cm="1">
        <f t="array" ref="B2618">SUMPRODUCT((Tablo3[Personel Ad]=A2618)*(Tablo3[Ürün Kar Tutarı]))</f>
        <v>0</v>
      </c>
      <c r="D2618" s="14"/>
      <c r="F2618" s="9" cm="1">
        <f t="array" ref="F2618">SUMPRODUCT((Tablo3[Şehirler]=E2618)*(Tablo3[Ürün Kar Tutarı]))</f>
        <v>0</v>
      </c>
      <c r="H2618" s="14"/>
      <c r="J2618" s="9" cm="1">
        <f t="array" ref="J2618">SUMPRODUCT((Tablo3[Urun Ad]=I2618)*(Tablo3[Ürün Kar Tutarı]))</f>
        <v>0</v>
      </c>
      <c r="L2618" s="37"/>
    </row>
    <row r="2619" spans="1:12" x14ac:dyDescent="0.25">
      <c r="A2619" s="13"/>
      <c r="B2619" s="9" cm="1">
        <f t="array" ref="B2619">SUMPRODUCT((Tablo3[Personel Ad]=A2619)*(Tablo3[Ürün Kar Tutarı]))</f>
        <v>0</v>
      </c>
      <c r="D2619" s="14"/>
      <c r="F2619" s="9" cm="1">
        <f t="array" ref="F2619">SUMPRODUCT((Tablo3[Şehirler]=E2619)*(Tablo3[Ürün Kar Tutarı]))</f>
        <v>0</v>
      </c>
      <c r="H2619" s="14"/>
      <c r="J2619" s="9" cm="1">
        <f t="array" ref="J2619">SUMPRODUCT((Tablo3[Urun Ad]=I2619)*(Tablo3[Ürün Kar Tutarı]))</f>
        <v>0</v>
      </c>
      <c r="L2619" s="37"/>
    </row>
    <row r="2620" spans="1:12" x14ac:dyDescent="0.25">
      <c r="A2620" s="13"/>
      <c r="B2620" s="9" cm="1">
        <f t="array" ref="B2620">SUMPRODUCT((Tablo3[Personel Ad]=A2620)*(Tablo3[Ürün Kar Tutarı]))</f>
        <v>0</v>
      </c>
      <c r="D2620" s="14"/>
      <c r="F2620" s="9" cm="1">
        <f t="array" ref="F2620">SUMPRODUCT((Tablo3[Şehirler]=E2620)*(Tablo3[Ürün Kar Tutarı]))</f>
        <v>0</v>
      </c>
      <c r="H2620" s="14"/>
      <c r="J2620" s="9" cm="1">
        <f t="array" ref="J2620">SUMPRODUCT((Tablo3[Urun Ad]=I2620)*(Tablo3[Ürün Kar Tutarı]))</f>
        <v>0</v>
      </c>
      <c r="L2620" s="37"/>
    </row>
    <row r="2621" spans="1:12" x14ac:dyDescent="0.25">
      <c r="A2621" s="13"/>
      <c r="B2621" s="9" cm="1">
        <f t="array" ref="B2621">SUMPRODUCT((Tablo3[Personel Ad]=A2621)*(Tablo3[Ürün Kar Tutarı]))</f>
        <v>0</v>
      </c>
      <c r="D2621" s="14"/>
      <c r="F2621" s="9" cm="1">
        <f t="array" ref="F2621">SUMPRODUCT((Tablo3[Şehirler]=E2621)*(Tablo3[Ürün Kar Tutarı]))</f>
        <v>0</v>
      </c>
      <c r="H2621" s="14"/>
      <c r="J2621" s="9" cm="1">
        <f t="array" ref="J2621">SUMPRODUCT((Tablo3[Urun Ad]=I2621)*(Tablo3[Ürün Kar Tutarı]))</f>
        <v>0</v>
      </c>
      <c r="L2621" s="37"/>
    </row>
    <row r="2622" spans="1:12" x14ac:dyDescent="0.25">
      <c r="A2622" s="13"/>
      <c r="B2622" s="9" cm="1">
        <f t="array" ref="B2622">SUMPRODUCT((Tablo3[Personel Ad]=A2622)*(Tablo3[Ürün Kar Tutarı]))</f>
        <v>0</v>
      </c>
      <c r="D2622" s="14"/>
      <c r="F2622" s="9" cm="1">
        <f t="array" ref="F2622">SUMPRODUCT((Tablo3[Şehirler]=E2622)*(Tablo3[Ürün Kar Tutarı]))</f>
        <v>0</v>
      </c>
      <c r="H2622" s="14"/>
      <c r="J2622" s="9" cm="1">
        <f t="array" ref="J2622">SUMPRODUCT((Tablo3[Urun Ad]=I2622)*(Tablo3[Ürün Kar Tutarı]))</f>
        <v>0</v>
      </c>
      <c r="L2622" s="37"/>
    </row>
    <row r="2623" spans="1:12" x14ac:dyDescent="0.25">
      <c r="A2623" s="13"/>
      <c r="B2623" s="9" cm="1">
        <f t="array" ref="B2623">SUMPRODUCT((Tablo3[Personel Ad]=A2623)*(Tablo3[Ürün Kar Tutarı]))</f>
        <v>0</v>
      </c>
      <c r="D2623" s="14"/>
      <c r="F2623" s="9" cm="1">
        <f t="array" ref="F2623">SUMPRODUCT((Tablo3[Şehirler]=E2623)*(Tablo3[Ürün Kar Tutarı]))</f>
        <v>0</v>
      </c>
      <c r="H2623" s="14"/>
      <c r="J2623" s="9" cm="1">
        <f t="array" ref="J2623">SUMPRODUCT((Tablo3[Urun Ad]=I2623)*(Tablo3[Ürün Kar Tutarı]))</f>
        <v>0</v>
      </c>
      <c r="L2623" s="37"/>
    </row>
    <row r="2624" spans="1:12" x14ac:dyDescent="0.25">
      <c r="A2624" s="13"/>
      <c r="B2624" s="9" cm="1">
        <f t="array" ref="B2624">SUMPRODUCT((Tablo3[Personel Ad]=A2624)*(Tablo3[Ürün Kar Tutarı]))</f>
        <v>0</v>
      </c>
      <c r="D2624" s="14"/>
      <c r="F2624" s="9" cm="1">
        <f t="array" ref="F2624">SUMPRODUCT((Tablo3[Şehirler]=E2624)*(Tablo3[Ürün Kar Tutarı]))</f>
        <v>0</v>
      </c>
      <c r="H2624" s="14"/>
      <c r="J2624" s="9" cm="1">
        <f t="array" ref="J2624">SUMPRODUCT((Tablo3[Urun Ad]=I2624)*(Tablo3[Ürün Kar Tutarı]))</f>
        <v>0</v>
      </c>
      <c r="L2624" s="37"/>
    </row>
    <row r="2625" spans="1:12" x14ac:dyDescent="0.25">
      <c r="A2625" s="13"/>
      <c r="B2625" s="9" cm="1">
        <f t="array" ref="B2625">SUMPRODUCT((Tablo3[Personel Ad]=A2625)*(Tablo3[Ürün Kar Tutarı]))</f>
        <v>0</v>
      </c>
      <c r="D2625" s="14"/>
      <c r="F2625" s="9" cm="1">
        <f t="array" ref="F2625">SUMPRODUCT((Tablo3[Şehirler]=E2625)*(Tablo3[Ürün Kar Tutarı]))</f>
        <v>0</v>
      </c>
      <c r="H2625" s="14"/>
      <c r="J2625" s="9" cm="1">
        <f t="array" ref="J2625">SUMPRODUCT((Tablo3[Urun Ad]=I2625)*(Tablo3[Ürün Kar Tutarı]))</f>
        <v>0</v>
      </c>
      <c r="L2625" s="37"/>
    </row>
    <row r="2626" spans="1:12" x14ac:dyDescent="0.25">
      <c r="A2626" s="13"/>
      <c r="B2626" s="9" cm="1">
        <f t="array" ref="B2626">SUMPRODUCT((Tablo3[Personel Ad]=A2626)*(Tablo3[Ürün Kar Tutarı]))</f>
        <v>0</v>
      </c>
      <c r="D2626" s="14"/>
      <c r="F2626" s="9" cm="1">
        <f t="array" ref="F2626">SUMPRODUCT((Tablo3[Şehirler]=E2626)*(Tablo3[Ürün Kar Tutarı]))</f>
        <v>0</v>
      </c>
      <c r="H2626" s="14"/>
      <c r="J2626" s="9" cm="1">
        <f t="array" ref="J2626">SUMPRODUCT((Tablo3[Urun Ad]=I2626)*(Tablo3[Ürün Kar Tutarı]))</f>
        <v>0</v>
      </c>
      <c r="L2626" s="37"/>
    </row>
    <row r="2627" spans="1:12" x14ac:dyDescent="0.25">
      <c r="A2627" s="13"/>
      <c r="B2627" s="9" cm="1">
        <f t="array" ref="B2627">SUMPRODUCT((Tablo3[Personel Ad]=A2627)*(Tablo3[Ürün Kar Tutarı]))</f>
        <v>0</v>
      </c>
      <c r="D2627" s="14"/>
      <c r="F2627" s="9" cm="1">
        <f t="array" ref="F2627">SUMPRODUCT((Tablo3[Şehirler]=E2627)*(Tablo3[Ürün Kar Tutarı]))</f>
        <v>0</v>
      </c>
      <c r="H2627" s="14"/>
      <c r="J2627" s="9" cm="1">
        <f t="array" ref="J2627">SUMPRODUCT((Tablo3[Urun Ad]=I2627)*(Tablo3[Ürün Kar Tutarı]))</f>
        <v>0</v>
      </c>
      <c r="L2627" s="37"/>
    </row>
    <row r="2628" spans="1:12" x14ac:dyDescent="0.25">
      <c r="A2628" s="13"/>
      <c r="B2628" s="9" cm="1">
        <f t="array" ref="B2628">SUMPRODUCT((Tablo3[Personel Ad]=A2628)*(Tablo3[Ürün Kar Tutarı]))</f>
        <v>0</v>
      </c>
      <c r="D2628" s="14"/>
      <c r="F2628" s="9" cm="1">
        <f t="array" ref="F2628">SUMPRODUCT((Tablo3[Şehirler]=E2628)*(Tablo3[Ürün Kar Tutarı]))</f>
        <v>0</v>
      </c>
      <c r="H2628" s="14"/>
      <c r="J2628" s="9" cm="1">
        <f t="array" ref="J2628">SUMPRODUCT((Tablo3[Urun Ad]=I2628)*(Tablo3[Ürün Kar Tutarı]))</f>
        <v>0</v>
      </c>
      <c r="L2628" s="37"/>
    </row>
    <row r="2629" spans="1:12" x14ac:dyDescent="0.25">
      <c r="A2629" s="13"/>
      <c r="B2629" s="9" cm="1">
        <f t="array" ref="B2629">SUMPRODUCT((Tablo3[Personel Ad]=A2629)*(Tablo3[Ürün Kar Tutarı]))</f>
        <v>0</v>
      </c>
      <c r="D2629" s="14"/>
      <c r="F2629" s="9" cm="1">
        <f t="array" ref="F2629">SUMPRODUCT((Tablo3[Şehirler]=E2629)*(Tablo3[Ürün Kar Tutarı]))</f>
        <v>0</v>
      </c>
      <c r="H2629" s="14"/>
      <c r="J2629" s="9" cm="1">
        <f t="array" ref="J2629">SUMPRODUCT((Tablo3[Urun Ad]=I2629)*(Tablo3[Ürün Kar Tutarı]))</f>
        <v>0</v>
      </c>
      <c r="L2629" s="37"/>
    </row>
    <row r="2630" spans="1:12" x14ac:dyDescent="0.25">
      <c r="A2630" s="13"/>
      <c r="B2630" s="9" cm="1">
        <f t="array" ref="B2630">SUMPRODUCT((Tablo3[Personel Ad]=A2630)*(Tablo3[Ürün Kar Tutarı]))</f>
        <v>0</v>
      </c>
      <c r="D2630" s="14"/>
      <c r="F2630" s="9" cm="1">
        <f t="array" ref="F2630">SUMPRODUCT((Tablo3[Şehirler]=E2630)*(Tablo3[Ürün Kar Tutarı]))</f>
        <v>0</v>
      </c>
      <c r="H2630" s="14"/>
      <c r="J2630" s="9" cm="1">
        <f t="array" ref="J2630">SUMPRODUCT((Tablo3[Urun Ad]=I2630)*(Tablo3[Ürün Kar Tutarı]))</f>
        <v>0</v>
      </c>
      <c r="L2630" s="37"/>
    </row>
    <row r="2631" spans="1:12" x14ac:dyDescent="0.25">
      <c r="A2631" s="13"/>
      <c r="B2631" s="9" cm="1">
        <f t="array" ref="B2631">SUMPRODUCT((Tablo3[Personel Ad]=A2631)*(Tablo3[Ürün Kar Tutarı]))</f>
        <v>0</v>
      </c>
      <c r="D2631" s="14"/>
      <c r="F2631" s="9" cm="1">
        <f t="array" ref="F2631">SUMPRODUCT((Tablo3[Şehirler]=E2631)*(Tablo3[Ürün Kar Tutarı]))</f>
        <v>0</v>
      </c>
      <c r="H2631" s="14"/>
      <c r="J2631" s="9" cm="1">
        <f t="array" ref="J2631">SUMPRODUCT((Tablo3[Urun Ad]=I2631)*(Tablo3[Ürün Kar Tutarı]))</f>
        <v>0</v>
      </c>
      <c r="L2631" s="37"/>
    </row>
    <row r="2632" spans="1:12" x14ac:dyDescent="0.25">
      <c r="A2632" s="13"/>
      <c r="B2632" s="9" cm="1">
        <f t="array" ref="B2632">SUMPRODUCT((Tablo3[Personel Ad]=A2632)*(Tablo3[Ürün Kar Tutarı]))</f>
        <v>0</v>
      </c>
      <c r="D2632" s="14"/>
      <c r="F2632" s="9" cm="1">
        <f t="array" ref="F2632">SUMPRODUCT((Tablo3[Şehirler]=E2632)*(Tablo3[Ürün Kar Tutarı]))</f>
        <v>0</v>
      </c>
      <c r="H2632" s="14"/>
      <c r="J2632" s="9" cm="1">
        <f t="array" ref="J2632">SUMPRODUCT((Tablo3[Urun Ad]=I2632)*(Tablo3[Ürün Kar Tutarı]))</f>
        <v>0</v>
      </c>
      <c r="L2632" s="37"/>
    </row>
    <row r="2633" spans="1:12" x14ac:dyDescent="0.25">
      <c r="A2633" s="13"/>
      <c r="B2633" s="9" cm="1">
        <f t="array" ref="B2633">SUMPRODUCT((Tablo3[Personel Ad]=A2633)*(Tablo3[Ürün Kar Tutarı]))</f>
        <v>0</v>
      </c>
      <c r="D2633" s="14"/>
      <c r="F2633" s="9" cm="1">
        <f t="array" ref="F2633">SUMPRODUCT((Tablo3[Şehirler]=E2633)*(Tablo3[Ürün Kar Tutarı]))</f>
        <v>0</v>
      </c>
      <c r="H2633" s="14"/>
      <c r="J2633" s="9" cm="1">
        <f t="array" ref="J2633">SUMPRODUCT((Tablo3[Urun Ad]=I2633)*(Tablo3[Ürün Kar Tutarı]))</f>
        <v>0</v>
      </c>
      <c r="L2633" s="37"/>
    </row>
    <row r="2634" spans="1:12" x14ac:dyDescent="0.25">
      <c r="A2634" s="13"/>
      <c r="B2634" s="9" cm="1">
        <f t="array" ref="B2634">SUMPRODUCT((Tablo3[Personel Ad]=A2634)*(Tablo3[Ürün Kar Tutarı]))</f>
        <v>0</v>
      </c>
      <c r="D2634" s="14"/>
      <c r="F2634" s="9" cm="1">
        <f t="array" ref="F2634">SUMPRODUCT((Tablo3[Şehirler]=E2634)*(Tablo3[Ürün Kar Tutarı]))</f>
        <v>0</v>
      </c>
      <c r="H2634" s="14"/>
      <c r="J2634" s="9" cm="1">
        <f t="array" ref="J2634">SUMPRODUCT((Tablo3[Urun Ad]=I2634)*(Tablo3[Ürün Kar Tutarı]))</f>
        <v>0</v>
      </c>
      <c r="L2634" s="37"/>
    </row>
    <row r="2635" spans="1:12" x14ac:dyDescent="0.25">
      <c r="A2635" s="13"/>
      <c r="B2635" s="9" cm="1">
        <f t="array" ref="B2635">SUMPRODUCT((Tablo3[Personel Ad]=A2635)*(Tablo3[Ürün Kar Tutarı]))</f>
        <v>0</v>
      </c>
      <c r="D2635" s="14"/>
      <c r="F2635" s="9" cm="1">
        <f t="array" ref="F2635">SUMPRODUCT((Tablo3[Şehirler]=E2635)*(Tablo3[Ürün Kar Tutarı]))</f>
        <v>0</v>
      </c>
      <c r="H2635" s="14"/>
      <c r="J2635" s="9" cm="1">
        <f t="array" ref="J2635">SUMPRODUCT((Tablo3[Urun Ad]=I2635)*(Tablo3[Ürün Kar Tutarı]))</f>
        <v>0</v>
      </c>
      <c r="L2635" s="37"/>
    </row>
    <row r="2636" spans="1:12" x14ac:dyDescent="0.25">
      <c r="A2636" s="13"/>
      <c r="B2636" s="9" cm="1">
        <f t="array" ref="B2636">SUMPRODUCT((Tablo3[Personel Ad]=A2636)*(Tablo3[Ürün Kar Tutarı]))</f>
        <v>0</v>
      </c>
      <c r="D2636" s="14"/>
      <c r="F2636" s="9" cm="1">
        <f t="array" ref="F2636">SUMPRODUCT((Tablo3[Şehirler]=E2636)*(Tablo3[Ürün Kar Tutarı]))</f>
        <v>0</v>
      </c>
      <c r="H2636" s="14"/>
      <c r="J2636" s="9" cm="1">
        <f t="array" ref="J2636">SUMPRODUCT((Tablo3[Urun Ad]=I2636)*(Tablo3[Ürün Kar Tutarı]))</f>
        <v>0</v>
      </c>
      <c r="L2636" s="37"/>
    </row>
    <row r="2637" spans="1:12" x14ac:dyDescent="0.25">
      <c r="A2637" s="13"/>
      <c r="B2637" s="9" cm="1">
        <f t="array" ref="B2637">SUMPRODUCT((Tablo3[Personel Ad]=A2637)*(Tablo3[Ürün Kar Tutarı]))</f>
        <v>0</v>
      </c>
      <c r="D2637" s="14"/>
      <c r="F2637" s="9" cm="1">
        <f t="array" ref="F2637">SUMPRODUCT((Tablo3[Şehirler]=E2637)*(Tablo3[Ürün Kar Tutarı]))</f>
        <v>0</v>
      </c>
      <c r="H2637" s="14"/>
      <c r="J2637" s="9" cm="1">
        <f t="array" ref="J2637">SUMPRODUCT((Tablo3[Urun Ad]=I2637)*(Tablo3[Ürün Kar Tutarı]))</f>
        <v>0</v>
      </c>
      <c r="L2637" s="37"/>
    </row>
    <row r="2638" spans="1:12" x14ac:dyDescent="0.25">
      <c r="A2638" s="13"/>
      <c r="B2638" s="9" cm="1">
        <f t="array" ref="B2638">SUMPRODUCT((Tablo3[Personel Ad]=A2638)*(Tablo3[Ürün Kar Tutarı]))</f>
        <v>0</v>
      </c>
      <c r="D2638" s="14"/>
      <c r="F2638" s="9" cm="1">
        <f t="array" ref="F2638">SUMPRODUCT((Tablo3[Şehirler]=E2638)*(Tablo3[Ürün Kar Tutarı]))</f>
        <v>0</v>
      </c>
      <c r="H2638" s="14"/>
      <c r="J2638" s="9" cm="1">
        <f t="array" ref="J2638">SUMPRODUCT((Tablo3[Urun Ad]=I2638)*(Tablo3[Ürün Kar Tutarı]))</f>
        <v>0</v>
      </c>
      <c r="L2638" s="37"/>
    </row>
    <row r="2639" spans="1:12" x14ac:dyDescent="0.25">
      <c r="A2639" s="13"/>
      <c r="B2639" s="9" cm="1">
        <f t="array" ref="B2639">SUMPRODUCT((Tablo3[Personel Ad]=A2639)*(Tablo3[Ürün Kar Tutarı]))</f>
        <v>0</v>
      </c>
      <c r="D2639" s="14"/>
      <c r="F2639" s="9" cm="1">
        <f t="array" ref="F2639">SUMPRODUCT((Tablo3[Şehirler]=E2639)*(Tablo3[Ürün Kar Tutarı]))</f>
        <v>0</v>
      </c>
      <c r="H2639" s="14"/>
      <c r="J2639" s="9" cm="1">
        <f t="array" ref="J2639">SUMPRODUCT((Tablo3[Urun Ad]=I2639)*(Tablo3[Ürün Kar Tutarı]))</f>
        <v>0</v>
      </c>
      <c r="L2639" s="37"/>
    </row>
    <row r="2640" spans="1:12" x14ac:dyDescent="0.25">
      <c r="A2640" s="13"/>
      <c r="B2640" s="9" cm="1">
        <f t="array" ref="B2640">SUMPRODUCT((Tablo3[Personel Ad]=A2640)*(Tablo3[Ürün Kar Tutarı]))</f>
        <v>0</v>
      </c>
      <c r="D2640" s="14"/>
      <c r="F2640" s="9" cm="1">
        <f t="array" ref="F2640">SUMPRODUCT((Tablo3[Şehirler]=E2640)*(Tablo3[Ürün Kar Tutarı]))</f>
        <v>0</v>
      </c>
      <c r="H2640" s="14"/>
      <c r="J2640" s="9" cm="1">
        <f t="array" ref="J2640">SUMPRODUCT((Tablo3[Urun Ad]=I2640)*(Tablo3[Ürün Kar Tutarı]))</f>
        <v>0</v>
      </c>
      <c r="L2640" s="37"/>
    </row>
    <row r="2641" spans="1:12" x14ac:dyDescent="0.25">
      <c r="A2641" s="13"/>
      <c r="B2641" s="9" cm="1">
        <f t="array" ref="B2641">SUMPRODUCT((Tablo3[Personel Ad]=A2641)*(Tablo3[Ürün Kar Tutarı]))</f>
        <v>0</v>
      </c>
      <c r="D2641" s="14"/>
      <c r="F2641" s="9" cm="1">
        <f t="array" ref="F2641">SUMPRODUCT((Tablo3[Şehirler]=E2641)*(Tablo3[Ürün Kar Tutarı]))</f>
        <v>0</v>
      </c>
      <c r="H2641" s="14"/>
      <c r="J2641" s="9" cm="1">
        <f t="array" ref="J2641">SUMPRODUCT((Tablo3[Urun Ad]=I2641)*(Tablo3[Ürün Kar Tutarı]))</f>
        <v>0</v>
      </c>
      <c r="L2641" s="37"/>
    </row>
    <row r="2642" spans="1:12" x14ac:dyDescent="0.25">
      <c r="A2642" s="13"/>
      <c r="B2642" s="9" cm="1">
        <f t="array" ref="B2642">SUMPRODUCT((Tablo3[Personel Ad]=A2642)*(Tablo3[Ürün Kar Tutarı]))</f>
        <v>0</v>
      </c>
      <c r="D2642" s="14"/>
      <c r="F2642" s="9" cm="1">
        <f t="array" ref="F2642">SUMPRODUCT((Tablo3[Şehirler]=E2642)*(Tablo3[Ürün Kar Tutarı]))</f>
        <v>0</v>
      </c>
      <c r="H2642" s="14"/>
      <c r="J2642" s="9" cm="1">
        <f t="array" ref="J2642">SUMPRODUCT((Tablo3[Urun Ad]=I2642)*(Tablo3[Ürün Kar Tutarı]))</f>
        <v>0</v>
      </c>
      <c r="L2642" s="37"/>
    </row>
    <row r="2643" spans="1:12" x14ac:dyDescent="0.25">
      <c r="A2643" s="13"/>
      <c r="B2643" s="9" cm="1">
        <f t="array" ref="B2643">SUMPRODUCT((Tablo3[Personel Ad]=A2643)*(Tablo3[Ürün Kar Tutarı]))</f>
        <v>0</v>
      </c>
      <c r="D2643" s="14"/>
      <c r="F2643" s="9" cm="1">
        <f t="array" ref="F2643">SUMPRODUCT((Tablo3[Şehirler]=E2643)*(Tablo3[Ürün Kar Tutarı]))</f>
        <v>0</v>
      </c>
      <c r="H2643" s="14"/>
      <c r="J2643" s="9" cm="1">
        <f t="array" ref="J2643">SUMPRODUCT((Tablo3[Urun Ad]=I2643)*(Tablo3[Ürün Kar Tutarı]))</f>
        <v>0</v>
      </c>
      <c r="L2643" s="37"/>
    </row>
    <row r="2644" spans="1:12" x14ac:dyDescent="0.25">
      <c r="A2644" s="13"/>
      <c r="B2644" s="9" cm="1">
        <f t="array" ref="B2644">SUMPRODUCT((Tablo3[Personel Ad]=A2644)*(Tablo3[Ürün Kar Tutarı]))</f>
        <v>0</v>
      </c>
      <c r="D2644" s="14"/>
      <c r="F2644" s="9" cm="1">
        <f t="array" ref="F2644">SUMPRODUCT((Tablo3[Şehirler]=E2644)*(Tablo3[Ürün Kar Tutarı]))</f>
        <v>0</v>
      </c>
      <c r="H2644" s="14"/>
      <c r="J2644" s="9" cm="1">
        <f t="array" ref="J2644">SUMPRODUCT((Tablo3[Urun Ad]=I2644)*(Tablo3[Ürün Kar Tutarı]))</f>
        <v>0</v>
      </c>
      <c r="L2644" s="37"/>
    </row>
    <row r="2645" spans="1:12" x14ac:dyDescent="0.25">
      <c r="A2645" s="13"/>
      <c r="B2645" s="9" cm="1">
        <f t="array" ref="B2645">SUMPRODUCT((Tablo3[Personel Ad]=A2645)*(Tablo3[Ürün Kar Tutarı]))</f>
        <v>0</v>
      </c>
      <c r="D2645" s="14"/>
      <c r="F2645" s="9" cm="1">
        <f t="array" ref="F2645">SUMPRODUCT((Tablo3[Şehirler]=E2645)*(Tablo3[Ürün Kar Tutarı]))</f>
        <v>0</v>
      </c>
      <c r="H2645" s="14"/>
      <c r="J2645" s="9" cm="1">
        <f t="array" ref="J2645">SUMPRODUCT((Tablo3[Urun Ad]=I2645)*(Tablo3[Ürün Kar Tutarı]))</f>
        <v>0</v>
      </c>
      <c r="L2645" s="37"/>
    </row>
    <row r="2646" spans="1:12" x14ac:dyDescent="0.25">
      <c r="A2646" s="13"/>
      <c r="B2646" s="9" cm="1">
        <f t="array" ref="B2646">SUMPRODUCT((Tablo3[Personel Ad]=A2646)*(Tablo3[Ürün Kar Tutarı]))</f>
        <v>0</v>
      </c>
      <c r="D2646" s="14"/>
      <c r="F2646" s="9" cm="1">
        <f t="array" ref="F2646">SUMPRODUCT((Tablo3[Şehirler]=E2646)*(Tablo3[Ürün Kar Tutarı]))</f>
        <v>0</v>
      </c>
      <c r="H2646" s="14"/>
      <c r="J2646" s="9" cm="1">
        <f t="array" ref="J2646">SUMPRODUCT((Tablo3[Urun Ad]=I2646)*(Tablo3[Ürün Kar Tutarı]))</f>
        <v>0</v>
      </c>
      <c r="L2646" s="37"/>
    </row>
    <row r="2647" spans="1:12" x14ac:dyDescent="0.25">
      <c r="A2647" s="13"/>
      <c r="B2647" s="9" cm="1">
        <f t="array" ref="B2647">SUMPRODUCT((Tablo3[Personel Ad]=A2647)*(Tablo3[Ürün Kar Tutarı]))</f>
        <v>0</v>
      </c>
      <c r="D2647" s="14"/>
      <c r="F2647" s="9" cm="1">
        <f t="array" ref="F2647">SUMPRODUCT((Tablo3[Şehirler]=E2647)*(Tablo3[Ürün Kar Tutarı]))</f>
        <v>0</v>
      </c>
      <c r="H2647" s="14"/>
      <c r="J2647" s="9" cm="1">
        <f t="array" ref="J2647">SUMPRODUCT((Tablo3[Urun Ad]=I2647)*(Tablo3[Ürün Kar Tutarı]))</f>
        <v>0</v>
      </c>
      <c r="L2647" s="37"/>
    </row>
    <row r="2648" spans="1:12" x14ac:dyDescent="0.25">
      <c r="A2648" s="13"/>
      <c r="B2648" s="9" cm="1">
        <f t="array" ref="B2648">SUMPRODUCT((Tablo3[Personel Ad]=A2648)*(Tablo3[Ürün Kar Tutarı]))</f>
        <v>0</v>
      </c>
      <c r="D2648" s="14"/>
      <c r="F2648" s="9" cm="1">
        <f t="array" ref="F2648">SUMPRODUCT((Tablo3[Şehirler]=E2648)*(Tablo3[Ürün Kar Tutarı]))</f>
        <v>0</v>
      </c>
      <c r="H2648" s="14"/>
      <c r="J2648" s="9" cm="1">
        <f t="array" ref="J2648">SUMPRODUCT((Tablo3[Urun Ad]=I2648)*(Tablo3[Ürün Kar Tutarı]))</f>
        <v>0</v>
      </c>
      <c r="L2648" s="37"/>
    </row>
    <row r="2649" spans="1:12" x14ac:dyDescent="0.25">
      <c r="A2649" s="13"/>
      <c r="B2649" s="9" cm="1">
        <f t="array" ref="B2649">SUMPRODUCT((Tablo3[Personel Ad]=A2649)*(Tablo3[Ürün Kar Tutarı]))</f>
        <v>0</v>
      </c>
      <c r="D2649" s="14"/>
      <c r="F2649" s="9" cm="1">
        <f t="array" ref="F2649">SUMPRODUCT((Tablo3[Şehirler]=E2649)*(Tablo3[Ürün Kar Tutarı]))</f>
        <v>0</v>
      </c>
      <c r="H2649" s="14"/>
      <c r="J2649" s="9" cm="1">
        <f t="array" ref="J2649">SUMPRODUCT((Tablo3[Urun Ad]=I2649)*(Tablo3[Ürün Kar Tutarı]))</f>
        <v>0</v>
      </c>
      <c r="L2649" s="37"/>
    </row>
    <row r="2650" spans="1:12" x14ac:dyDescent="0.25">
      <c r="A2650" s="13"/>
      <c r="B2650" s="9" cm="1">
        <f t="array" ref="B2650">SUMPRODUCT((Tablo3[Personel Ad]=A2650)*(Tablo3[Ürün Kar Tutarı]))</f>
        <v>0</v>
      </c>
      <c r="D2650" s="14"/>
      <c r="F2650" s="9" cm="1">
        <f t="array" ref="F2650">SUMPRODUCT((Tablo3[Şehirler]=E2650)*(Tablo3[Ürün Kar Tutarı]))</f>
        <v>0</v>
      </c>
      <c r="H2650" s="14"/>
      <c r="J2650" s="9" cm="1">
        <f t="array" ref="J2650">SUMPRODUCT((Tablo3[Urun Ad]=I2650)*(Tablo3[Ürün Kar Tutarı]))</f>
        <v>0</v>
      </c>
      <c r="L2650" s="37"/>
    </row>
    <row r="2651" spans="1:12" x14ac:dyDescent="0.25">
      <c r="A2651" s="13"/>
      <c r="B2651" s="9" cm="1">
        <f t="array" ref="B2651">SUMPRODUCT((Tablo3[Personel Ad]=A2651)*(Tablo3[Ürün Kar Tutarı]))</f>
        <v>0</v>
      </c>
      <c r="D2651" s="14"/>
      <c r="F2651" s="9" cm="1">
        <f t="array" ref="F2651">SUMPRODUCT((Tablo3[Şehirler]=E2651)*(Tablo3[Ürün Kar Tutarı]))</f>
        <v>0</v>
      </c>
      <c r="H2651" s="14"/>
      <c r="J2651" s="9" cm="1">
        <f t="array" ref="J2651">SUMPRODUCT((Tablo3[Urun Ad]=I2651)*(Tablo3[Ürün Kar Tutarı]))</f>
        <v>0</v>
      </c>
      <c r="L2651" s="37"/>
    </row>
    <row r="2652" spans="1:12" x14ac:dyDescent="0.25">
      <c r="A2652" s="13"/>
      <c r="B2652" s="9" cm="1">
        <f t="array" ref="B2652">SUMPRODUCT((Tablo3[Personel Ad]=A2652)*(Tablo3[Ürün Kar Tutarı]))</f>
        <v>0</v>
      </c>
      <c r="D2652" s="14"/>
      <c r="F2652" s="9" cm="1">
        <f t="array" ref="F2652">SUMPRODUCT((Tablo3[Şehirler]=E2652)*(Tablo3[Ürün Kar Tutarı]))</f>
        <v>0</v>
      </c>
      <c r="H2652" s="14"/>
      <c r="J2652" s="9" cm="1">
        <f t="array" ref="J2652">SUMPRODUCT((Tablo3[Urun Ad]=I2652)*(Tablo3[Ürün Kar Tutarı]))</f>
        <v>0</v>
      </c>
      <c r="L2652" s="37"/>
    </row>
    <row r="2653" spans="1:12" x14ac:dyDescent="0.25">
      <c r="A2653" s="13"/>
      <c r="B2653" s="9" cm="1">
        <f t="array" ref="B2653">SUMPRODUCT((Tablo3[Personel Ad]=A2653)*(Tablo3[Ürün Kar Tutarı]))</f>
        <v>0</v>
      </c>
      <c r="D2653" s="14"/>
      <c r="F2653" s="9" cm="1">
        <f t="array" ref="F2653">SUMPRODUCT((Tablo3[Şehirler]=E2653)*(Tablo3[Ürün Kar Tutarı]))</f>
        <v>0</v>
      </c>
      <c r="H2653" s="14"/>
      <c r="J2653" s="9" cm="1">
        <f t="array" ref="J2653">SUMPRODUCT((Tablo3[Urun Ad]=I2653)*(Tablo3[Ürün Kar Tutarı]))</f>
        <v>0</v>
      </c>
      <c r="L2653" s="37"/>
    </row>
    <row r="2654" spans="1:12" x14ac:dyDescent="0.25">
      <c r="A2654" s="13"/>
      <c r="B2654" s="9" cm="1">
        <f t="array" ref="B2654">SUMPRODUCT((Tablo3[Personel Ad]=A2654)*(Tablo3[Ürün Kar Tutarı]))</f>
        <v>0</v>
      </c>
      <c r="D2654" s="14"/>
      <c r="F2654" s="9" cm="1">
        <f t="array" ref="F2654">SUMPRODUCT((Tablo3[Şehirler]=E2654)*(Tablo3[Ürün Kar Tutarı]))</f>
        <v>0</v>
      </c>
      <c r="H2654" s="14"/>
      <c r="J2654" s="9" cm="1">
        <f t="array" ref="J2654">SUMPRODUCT((Tablo3[Urun Ad]=I2654)*(Tablo3[Ürün Kar Tutarı]))</f>
        <v>0</v>
      </c>
      <c r="L2654" s="37"/>
    </row>
    <row r="2655" spans="1:12" x14ac:dyDescent="0.25">
      <c r="A2655" s="13"/>
      <c r="B2655" s="9" cm="1">
        <f t="array" ref="B2655">SUMPRODUCT((Tablo3[Personel Ad]=A2655)*(Tablo3[Ürün Kar Tutarı]))</f>
        <v>0</v>
      </c>
      <c r="D2655" s="14"/>
      <c r="F2655" s="9" cm="1">
        <f t="array" ref="F2655">SUMPRODUCT((Tablo3[Şehirler]=E2655)*(Tablo3[Ürün Kar Tutarı]))</f>
        <v>0</v>
      </c>
      <c r="H2655" s="14"/>
      <c r="J2655" s="9" cm="1">
        <f t="array" ref="J2655">SUMPRODUCT((Tablo3[Urun Ad]=I2655)*(Tablo3[Ürün Kar Tutarı]))</f>
        <v>0</v>
      </c>
      <c r="L2655" s="37"/>
    </row>
    <row r="2656" spans="1:12" x14ac:dyDescent="0.25">
      <c r="A2656" s="13"/>
      <c r="B2656" s="9" cm="1">
        <f t="array" ref="B2656">SUMPRODUCT((Tablo3[Personel Ad]=A2656)*(Tablo3[Ürün Kar Tutarı]))</f>
        <v>0</v>
      </c>
      <c r="D2656" s="14"/>
      <c r="F2656" s="9" cm="1">
        <f t="array" ref="F2656">SUMPRODUCT((Tablo3[Şehirler]=E2656)*(Tablo3[Ürün Kar Tutarı]))</f>
        <v>0</v>
      </c>
      <c r="H2656" s="14"/>
      <c r="J2656" s="9" cm="1">
        <f t="array" ref="J2656">SUMPRODUCT((Tablo3[Urun Ad]=I2656)*(Tablo3[Ürün Kar Tutarı]))</f>
        <v>0</v>
      </c>
      <c r="L2656" s="37"/>
    </row>
    <row r="2657" spans="1:12" x14ac:dyDescent="0.25">
      <c r="A2657" s="13"/>
      <c r="B2657" s="9" cm="1">
        <f t="array" ref="B2657">SUMPRODUCT((Tablo3[Personel Ad]=A2657)*(Tablo3[Ürün Kar Tutarı]))</f>
        <v>0</v>
      </c>
      <c r="D2657" s="14"/>
      <c r="F2657" s="9" cm="1">
        <f t="array" ref="F2657">SUMPRODUCT((Tablo3[Şehirler]=E2657)*(Tablo3[Ürün Kar Tutarı]))</f>
        <v>0</v>
      </c>
      <c r="H2657" s="14"/>
      <c r="J2657" s="9" cm="1">
        <f t="array" ref="J2657">SUMPRODUCT((Tablo3[Urun Ad]=I2657)*(Tablo3[Ürün Kar Tutarı]))</f>
        <v>0</v>
      </c>
      <c r="L2657" s="37"/>
    </row>
    <row r="2658" spans="1:12" x14ac:dyDescent="0.25">
      <c r="A2658" s="13"/>
      <c r="B2658" s="9" cm="1">
        <f t="array" ref="B2658">SUMPRODUCT((Tablo3[Personel Ad]=A2658)*(Tablo3[Ürün Kar Tutarı]))</f>
        <v>0</v>
      </c>
      <c r="D2658" s="14"/>
      <c r="F2658" s="9" cm="1">
        <f t="array" ref="F2658">SUMPRODUCT((Tablo3[Şehirler]=E2658)*(Tablo3[Ürün Kar Tutarı]))</f>
        <v>0</v>
      </c>
      <c r="H2658" s="14"/>
      <c r="J2658" s="9" cm="1">
        <f t="array" ref="J2658">SUMPRODUCT((Tablo3[Urun Ad]=I2658)*(Tablo3[Ürün Kar Tutarı]))</f>
        <v>0</v>
      </c>
      <c r="L2658" s="37"/>
    </row>
    <row r="2659" spans="1:12" x14ac:dyDescent="0.25">
      <c r="A2659" s="13"/>
      <c r="B2659" s="9" cm="1">
        <f t="array" ref="B2659">SUMPRODUCT((Tablo3[Personel Ad]=A2659)*(Tablo3[Ürün Kar Tutarı]))</f>
        <v>0</v>
      </c>
      <c r="D2659" s="14"/>
      <c r="F2659" s="9" cm="1">
        <f t="array" ref="F2659">SUMPRODUCT((Tablo3[Şehirler]=E2659)*(Tablo3[Ürün Kar Tutarı]))</f>
        <v>0</v>
      </c>
      <c r="H2659" s="14"/>
      <c r="J2659" s="9" cm="1">
        <f t="array" ref="J2659">SUMPRODUCT((Tablo3[Urun Ad]=I2659)*(Tablo3[Ürün Kar Tutarı]))</f>
        <v>0</v>
      </c>
      <c r="L2659" s="37"/>
    </row>
    <row r="2660" spans="1:12" x14ac:dyDescent="0.25">
      <c r="A2660" s="13"/>
      <c r="B2660" s="9" cm="1">
        <f t="array" ref="B2660">SUMPRODUCT((Tablo3[Personel Ad]=A2660)*(Tablo3[Ürün Kar Tutarı]))</f>
        <v>0</v>
      </c>
      <c r="D2660" s="14"/>
      <c r="F2660" s="9" cm="1">
        <f t="array" ref="F2660">SUMPRODUCT((Tablo3[Şehirler]=E2660)*(Tablo3[Ürün Kar Tutarı]))</f>
        <v>0</v>
      </c>
      <c r="H2660" s="14"/>
      <c r="J2660" s="9" cm="1">
        <f t="array" ref="J2660">SUMPRODUCT((Tablo3[Urun Ad]=I2660)*(Tablo3[Ürün Kar Tutarı]))</f>
        <v>0</v>
      </c>
      <c r="L2660" s="37"/>
    </row>
    <row r="2661" spans="1:12" x14ac:dyDescent="0.25">
      <c r="A2661" s="13"/>
      <c r="B2661" s="9" cm="1">
        <f t="array" ref="B2661">SUMPRODUCT((Tablo3[Personel Ad]=A2661)*(Tablo3[Ürün Kar Tutarı]))</f>
        <v>0</v>
      </c>
      <c r="D2661" s="14"/>
      <c r="F2661" s="9" cm="1">
        <f t="array" ref="F2661">SUMPRODUCT((Tablo3[Şehirler]=E2661)*(Tablo3[Ürün Kar Tutarı]))</f>
        <v>0</v>
      </c>
      <c r="H2661" s="14"/>
      <c r="J2661" s="9" cm="1">
        <f t="array" ref="J2661">SUMPRODUCT((Tablo3[Urun Ad]=I2661)*(Tablo3[Ürün Kar Tutarı]))</f>
        <v>0</v>
      </c>
      <c r="L2661" s="37"/>
    </row>
    <row r="2662" spans="1:12" x14ac:dyDescent="0.25">
      <c r="A2662" s="13"/>
      <c r="B2662" s="9" cm="1">
        <f t="array" ref="B2662">SUMPRODUCT((Tablo3[Personel Ad]=A2662)*(Tablo3[Ürün Kar Tutarı]))</f>
        <v>0</v>
      </c>
      <c r="D2662" s="14"/>
      <c r="F2662" s="9" cm="1">
        <f t="array" ref="F2662">SUMPRODUCT((Tablo3[Şehirler]=E2662)*(Tablo3[Ürün Kar Tutarı]))</f>
        <v>0</v>
      </c>
      <c r="H2662" s="14"/>
      <c r="J2662" s="9" cm="1">
        <f t="array" ref="J2662">SUMPRODUCT((Tablo3[Urun Ad]=I2662)*(Tablo3[Ürün Kar Tutarı]))</f>
        <v>0</v>
      </c>
      <c r="L2662" s="37"/>
    </row>
    <row r="2663" spans="1:12" x14ac:dyDescent="0.25">
      <c r="A2663" s="13"/>
      <c r="B2663" s="9" cm="1">
        <f t="array" ref="B2663">SUMPRODUCT((Tablo3[Personel Ad]=A2663)*(Tablo3[Ürün Kar Tutarı]))</f>
        <v>0</v>
      </c>
      <c r="D2663" s="14"/>
      <c r="F2663" s="9" cm="1">
        <f t="array" ref="F2663">SUMPRODUCT((Tablo3[Şehirler]=E2663)*(Tablo3[Ürün Kar Tutarı]))</f>
        <v>0</v>
      </c>
      <c r="H2663" s="14"/>
      <c r="J2663" s="9" cm="1">
        <f t="array" ref="J2663">SUMPRODUCT((Tablo3[Urun Ad]=I2663)*(Tablo3[Ürün Kar Tutarı]))</f>
        <v>0</v>
      </c>
      <c r="L2663" s="37"/>
    </row>
    <row r="2664" spans="1:12" x14ac:dyDescent="0.25">
      <c r="A2664" s="13"/>
      <c r="B2664" s="9" cm="1">
        <f t="array" ref="B2664">SUMPRODUCT((Tablo3[Personel Ad]=A2664)*(Tablo3[Ürün Kar Tutarı]))</f>
        <v>0</v>
      </c>
      <c r="D2664" s="14"/>
      <c r="F2664" s="9" cm="1">
        <f t="array" ref="F2664">SUMPRODUCT((Tablo3[Şehirler]=E2664)*(Tablo3[Ürün Kar Tutarı]))</f>
        <v>0</v>
      </c>
      <c r="H2664" s="14"/>
      <c r="J2664" s="9" cm="1">
        <f t="array" ref="J2664">SUMPRODUCT((Tablo3[Urun Ad]=I2664)*(Tablo3[Ürün Kar Tutarı]))</f>
        <v>0</v>
      </c>
      <c r="L2664" s="37"/>
    </row>
    <row r="2665" spans="1:12" x14ac:dyDescent="0.25">
      <c r="A2665" s="13"/>
      <c r="B2665" s="9" cm="1">
        <f t="array" ref="B2665">SUMPRODUCT((Tablo3[Personel Ad]=A2665)*(Tablo3[Ürün Kar Tutarı]))</f>
        <v>0</v>
      </c>
      <c r="D2665" s="14"/>
      <c r="F2665" s="9" cm="1">
        <f t="array" ref="F2665">SUMPRODUCT((Tablo3[Şehirler]=E2665)*(Tablo3[Ürün Kar Tutarı]))</f>
        <v>0</v>
      </c>
      <c r="H2665" s="14"/>
      <c r="J2665" s="9" cm="1">
        <f t="array" ref="J2665">SUMPRODUCT((Tablo3[Urun Ad]=I2665)*(Tablo3[Ürün Kar Tutarı]))</f>
        <v>0</v>
      </c>
      <c r="L2665" s="37"/>
    </row>
    <row r="2666" spans="1:12" x14ac:dyDescent="0.25">
      <c r="A2666" s="13"/>
      <c r="B2666" s="9" cm="1">
        <f t="array" ref="B2666">SUMPRODUCT((Tablo3[Personel Ad]=A2666)*(Tablo3[Ürün Kar Tutarı]))</f>
        <v>0</v>
      </c>
      <c r="D2666" s="14"/>
      <c r="F2666" s="9" cm="1">
        <f t="array" ref="F2666">SUMPRODUCT((Tablo3[Şehirler]=E2666)*(Tablo3[Ürün Kar Tutarı]))</f>
        <v>0</v>
      </c>
      <c r="H2666" s="14"/>
      <c r="J2666" s="9" cm="1">
        <f t="array" ref="J2666">SUMPRODUCT((Tablo3[Urun Ad]=I2666)*(Tablo3[Ürün Kar Tutarı]))</f>
        <v>0</v>
      </c>
      <c r="L2666" s="37"/>
    </row>
    <row r="2667" spans="1:12" x14ac:dyDescent="0.25">
      <c r="A2667" s="13"/>
      <c r="B2667" s="9" cm="1">
        <f t="array" ref="B2667">SUMPRODUCT((Tablo3[Personel Ad]=A2667)*(Tablo3[Ürün Kar Tutarı]))</f>
        <v>0</v>
      </c>
      <c r="D2667" s="14"/>
      <c r="F2667" s="9" cm="1">
        <f t="array" ref="F2667">SUMPRODUCT((Tablo3[Şehirler]=E2667)*(Tablo3[Ürün Kar Tutarı]))</f>
        <v>0</v>
      </c>
      <c r="H2667" s="14"/>
      <c r="J2667" s="9" cm="1">
        <f t="array" ref="J2667">SUMPRODUCT((Tablo3[Urun Ad]=I2667)*(Tablo3[Ürün Kar Tutarı]))</f>
        <v>0</v>
      </c>
      <c r="L2667" s="37"/>
    </row>
    <row r="2668" spans="1:12" x14ac:dyDescent="0.25">
      <c r="A2668" s="13"/>
      <c r="B2668" s="9" cm="1">
        <f t="array" ref="B2668">SUMPRODUCT((Tablo3[Personel Ad]=A2668)*(Tablo3[Ürün Kar Tutarı]))</f>
        <v>0</v>
      </c>
      <c r="D2668" s="14"/>
      <c r="F2668" s="9" cm="1">
        <f t="array" ref="F2668">SUMPRODUCT((Tablo3[Şehirler]=E2668)*(Tablo3[Ürün Kar Tutarı]))</f>
        <v>0</v>
      </c>
      <c r="H2668" s="14"/>
      <c r="J2668" s="9" cm="1">
        <f t="array" ref="J2668">SUMPRODUCT((Tablo3[Urun Ad]=I2668)*(Tablo3[Ürün Kar Tutarı]))</f>
        <v>0</v>
      </c>
      <c r="L2668" s="37"/>
    </row>
    <row r="2669" spans="1:12" x14ac:dyDescent="0.25">
      <c r="A2669" s="13"/>
      <c r="B2669" s="9" cm="1">
        <f t="array" ref="B2669">SUMPRODUCT((Tablo3[Personel Ad]=A2669)*(Tablo3[Ürün Kar Tutarı]))</f>
        <v>0</v>
      </c>
      <c r="D2669" s="14"/>
      <c r="F2669" s="9" cm="1">
        <f t="array" ref="F2669">SUMPRODUCT((Tablo3[Şehirler]=E2669)*(Tablo3[Ürün Kar Tutarı]))</f>
        <v>0</v>
      </c>
      <c r="H2669" s="14"/>
      <c r="J2669" s="9" cm="1">
        <f t="array" ref="J2669">SUMPRODUCT((Tablo3[Urun Ad]=I2669)*(Tablo3[Ürün Kar Tutarı]))</f>
        <v>0</v>
      </c>
      <c r="L2669" s="37"/>
    </row>
    <row r="2670" spans="1:12" x14ac:dyDescent="0.25">
      <c r="A2670" s="13"/>
      <c r="B2670" s="9" cm="1">
        <f t="array" ref="B2670">SUMPRODUCT((Tablo3[Personel Ad]=A2670)*(Tablo3[Ürün Kar Tutarı]))</f>
        <v>0</v>
      </c>
      <c r="D2670" s="14"/>
      <c r="F2670" s="9" cm="1">
        <f t="array" ref="F2670">SUMPRODUCT((Tablo3[Şehirler]=E2670)*(Tablo3[Ürün Kar Tutarı]))</f>
        <v>0</v>
      </c>
      <c r="H2670" s="14"/>
      <c r="J2670" s="9" cm="1">
        <f t="array" ref="J2670">SUMPRODUCT((Tablo3[Urun Ad]=I2670)*(Tablo3[Ürün Kar Tutarı]))</f>
        <v>0</v>
      </c>
      <c r="L2670" s="37"/>
    </row>
    <row r="2671" spans="1:12" x14ac:dyDescent="0.25">
      <c r="A2671" s="13"/>
      <c r="B2671" s="9" cm="1">
        <f t="array" ref="B2671">SUMPRODUCT((Tablo3[Personel Ad]=A2671)*(Tablo3[Ürün Kar Tutarı]))</f>
        <v>0</v>
      </c>
      <c r="D2671" s="14"/>
      <c r="F2671" s="9" cm="1">
        <f t="array" ref="F2671">SUMPRODUCT((Tablo3[Şehirler]=E2671)*(Tablo3[Ürün Kar Tutarı]))</f>
        <v>0</v>
      </c>
      <c r="H2671" s="14"/>
      <c r="J2671" s="9" cm="1">
        <f t="array" ref="J2671">SUMPRODUCT((Tablo3[Urun Ad]=I2671)*(Tablo3[Ürün Kar Tutarı]))</f>
        <v>0</v>
      </c>
      <c r="L2671" s="37"/>
    </row>
    <row r="2672" spans="1:12" x14ac:dyDescent="0.25">
      <c r="A2672" s="13"/>
      <c r="B2672" s="9" cm="1">
        <f t="array" ref="B2672">SUMPRODUCT((Tablo3[Personel Ad]=A2672)*(Tablo3[Ürün Kar Tutarı]))</f>
        <v>0</v>
      </c>
      <c r="D2672" s="14"/>
      <c r="F2672" s="9" cm="1">
        <f t="array" ref="F2672">SUMPRODUCT((Tablo3[Şehirler]=E2672)*(Tablo3[Ürün Kar Tutarı]))</f>
        <v>0</v>
      </c>
      <c r="H2672" s="14"/>
      <c r="J2672" s="9" cm="1">
        <f t="array" ref="J2672">SUMPRODUCT((Tablo3[Urun Ad]=I2672)*(Tablo3[Ürün Kar Tutarı]))</f>
        <v>0</v>
      </c>
      <c r="L2672" s="37"/>
    </row>
    <row r="2673" spans="1:12" x14ac:dyDescent="0.25">
      <c r="A2673" s="13"/>
      <c r="B2673" s="9" cm="1">
        <f t="array" ref="B2673">SUMPRODUCT((Tablo3[Personel Ad]=A2673)*(Tablo3[Ürün Kar Tutarı]))</f>
        <v>0</v>
      </c>
      <c r="D2673" s="14"/>
      <c r="F2673" s="9" cm="1">
        <f t="array" ref="F2673">SUMPRODUCT((Tablo3[Şehirler]=E2673)*(Tablo3[Ürün Kar Tutarı]))</f>
        <v>0</v>
      </c>
      <c r="H2673" s="14"/>
      <c r="J2673" s="9" cm="1">
        <f t="array" ref="J2673">SUMPRODUCT((Tablo3[Urun Ad]=I2673)*(Tablo3[Ürün Kar Tutarı]))</f>
        <v>0</v>
      </c>
      <c r="L2673" s="37"/>
    </row>
    <row r="2674" spans="1:12" x14ac:dyDescent="0.25">
      <c r="A2674" s="13"/>
      <c r="B2674" s="9" cm="1">
        <f t="array" ref="B2674">SUMPRODUCT((Tablo3[Personel Ad]=A2674)*(Tablo3[Ürün Kar Tutarı]))</f>
        <v>0</v>
      </c>
      <c r="D2674" s="14"/>
      <c r="F2674" s="9" cm="1">
        <f t="array" ref="F2674">SUMPRODUCT((Tablo3[Şehirler]=E2674)*(Tablo3[Ürün Kar Tutarı]))</f>
        <v>0</v>
      </c>
      <c r="H2674" s="14"/>
      <c r="J2674" s="9" cm="1">
        <f t="array" ref="J2674">SUMPRODUCT((Tablo3[Urun Ad]=I2674)*(Tablo3[Ürün Kar Tutarı]))</f>
        <v>0</v>
      </c>
      <c r="L2674" s="37"/>
    </row>
    <row r="2675" spans="1:12" x14ac:dyDescent="0.25">
      <c r="A2675" s="13"/>
      <c r="B2675" s="9" cm="1">
        <f t="array" ref="B2675">SUMPRODUCT((Tablo3[Personel Ad]=A2675)*(Tablo3[Ürün Kar Tutarı]))</f>
        <v>0</v>
      </c>
      <c r="D2675" s="14"/>
      <c r="F2675" s="9" cm="1">
        <f t="array" ref="F2675">SUMPRODUCT((Tablo3[Şehirler]=E2675)*(Tablo3[Ürün Kar Tutarı]))</f>
        <v>0</v>
      </c>
      <c r="H2675" s="14"/>
      <c r="J2675" s="9" cm="1">
        <f t="array" ref="J2675">SUMPRODUCT((Tablo3[Urun Ad]=I2675)*(Tablo3[Ürün Kar Tutarı]))</f>
        <v>0</v>
      </c>
      <c r="L2675" s="37"/>
    </row>
    <row r="2676" spans="1:12" x14ac:dyDescent="0.25">
      <c r="A2676" s="13"/>
      <c r="B2676" s="9" cm="1">
        <f t="array" ref="B2676">SUMPRODUCT((Tablo3[Personel Ad]=A2676)*(Tablo3[Ürün Kar Tutarı]))</f>
        <v>0</v>
      </c>
      <c r="D2676" s="14"/>
      <c r="F2676" s="9" cm="1">
        <f t="array" ref="F2676">SUMPRODUCT((Tablo3[Şehirler]=E2676)*(Tablo3[Ürün Kar Tutarı]))</f>
        <v>0</v>
      </c>
      <c r="H2676" s="14"/>
      <c r="J2676" s="9" cm="1">
        <f t="array" ref="J2676">SUMPRODUCT((Tablo3[Urun Ad]=I2676)*(Tablo3[Ürün Kar Tutarı]))</f>
        <v>0</v>
      </c>
      <c r="L2676" s="37"/>
    </row>
    <row r="2677" spans="1:12" x14ac:dyDescent="0.25">
      <c r="A2677" s="13"/>
      <c r="B2677" s="9" cm="1">
        <f t="array" ref="B2677">SUMPRODUCT((Tablo3[Personel Ad]=A2677)*(Tablo3[Ürün Kar Tutarı]))</f>
        <v>0</v>
      </c>
      <c r="D2677" s="14"/>
      <c r="F2677" s="9" cm="1">
        <f t="array" ref="F2677">SUMPRODUCT((Tablo3[Şehirler]=E2677)*(Tablo3[Ürün Kar Tutarı]))</f>
        <v>0</v>
      </c>
      <c r="H2677" s="14"/>
      <c r="J2677" s="9" cm="1">
        <f t="array" ref="J2677">SUMPRODUCT((Tablo3[Urun Ad]=I2677)*(Tablo3[Ürün Kar Tutarı]))</f>
        <v>0</v>
      </c>
      <c r="L2677" s="37"/>
    </row>
    <row r="2678" spans="1:12" x14ac:dyDescent="0.25">
      <c r="A2678" s="13"/>
      <c r="B2678" s="9" cm="1">
        <f t="array" ref="B2678">SUMPRODUCT((Tablo3[Personel Ad]=A2678)*(Tablo3[Ürün Kar Tutarı]))</f>
        <v>0</v>
      </c>
      <c r="D2678" s="14"/>
      <c r="F2678" s="9" cm="1">
        <f t="array" ref="F2678">SUMPRODUCT((Tablo3[Şehirler]=E2678)*(Tablo3[Ürün Kar Tutarı]))</f>
        <v>0</v>
      </c>
      <c r="H2678" s="14"/>
      <c r="J2678" s="9" cm="1">
        <f t="array" ref="J2678">SUMPRODUCT((Tablo3[Urun Ad]=I2678)*(Tablo3[Ürün Kar Tutarı]))</f>
        <v>0</v>
      </c>
      <c r="L2678" s="37"/>
    </row>
    <row r="2679" spans="1:12" x14ac:dyDescent="0.25">
      <c r="A2679" s="13"/>
      <c r="B2679" s="9" cm="1">
        <f t="array" ref="B2679">SUMPRODUCT((Tablo3[Personel Ad]=A2679)*(Tablo3[Ürün Kar Tutarı]))</f>
        <v>0</v>
      </c>
      <c r="D2679" s="14"/>
      <c r="F2679" s="9" cm="1">
        <f t="array" ref="F2679">SUMPRODUCT((Tablo3[Şehirler]=E2679)*(Tablo3[Ürün Kar Tutarı]))</f>
        <v>0</v>
      </c>
      <c r="H2679" s="14"/>
      <c r="J2679" s="9" cm="1">
        <f t="array" ref="J2679">SUMPRODUCT((Tablo3[Urun Ad]=I2679)*(Tablo3[Ürün Kar Tutarı]))</f>
        <v>0</v>
      </c>
      <c r="L2679" s="37"/>
    </row>
    <row r="2680" spans="1:12" x14ac:dyDescent="0.25">
      <c r="A2680" s="13"/>
      <c r="B2680" s="9" cm="1">
        <f t="array" ref="B2680">SUMPRODUCT((Tablo3[Personel Ad]=A2680)*(Tablo3[Ürün Kar Tutarı]))</f>
        <v>0</v>
      </c>
      <c r="D2680" s="14"/>
      <c r="F2680" s="9" cm="1">
        <f t="array" ref="F2680">SUMPRODUCT((Tablo3[Şehirler]=E2680)*(Tablo3[Ürün Kar Tutarı]))</f>
        <v>0</v>
      </c>
      <c r="H2680" s="14"/>
      <c r="J2680" s="9" cm="1">
        <f t="array" ref="J2680">SUMPRODUCT((Tablo3[Urun Ad]=I2680)*(Tablo3[Ürün Kar Tutarı]))</f>
        <v>0</v>
      </c>
      <c r="L2680" s="37"/>
    </row>
    <row r="2681" spans="1:12" x14ac:dyDescent="0.25">
      <c r="A2681" s="13"/>
      <c r="B2681" s="9" cm="1">
        <f t="array" ref="B2681">SUMPRODUCT((Tablo3[Personel Ad]=A2681)*(Tablo3[Ürün Kar Tutarı]))</f>
        <v>0</v>
      </c>
      <c r="D2681" s="14"/>
      <c r="F2681" s="9" cm="1">
        <f t="array" ref="F2681">SUMPRODUCT((Tablo3[Şehirler]=E2681)*(Tablo3[Ürün Kar Tutarı]))</f>
        <v>0</v>
      </c>
      <c r="H2681" s="14"/>
      <c r="J2681" s="9" cm="1">
        <f t="array" ref="J2681">SUMPRODUCT((Tablo3[Urun Ad]=I2681)*(Tablo3[Ürün Kar Tutarı]))</f>
        <v>0</v>
      </c>
      <c r="L2681" s="37"/>
    </row>
    <row r="2682" spans="1:12" x14ac:dyDescent="0.25">
      <c r="A2682" s="13"/>
      <c r="B2682" s="9" cm="1">
        <f t="array" ref="B2682">SUMPRODUCT((Tablo3[Personel Ad]=A2682)*(Tablo3[Ürün Kar Tutarı]))</f>
        <v>0</v>
      </c>
      <c r="D2682" s="14"/>
      <c r="F2682" s="9" cm="1">
        <f t="array" ref="F2682">SUMPRODUCT((Tablo3[Şehirler]=E2682)*(Tablo3[Ürün Kar Tutarı]))</f>
        <v>0</v>
      </c>
      <c r="H2682" s="14"/>
      <c r="J2682" s="9" cm="1">
        <f t="array" ref="J2682">SUMPRODUCT((Tablo3[Urun Ad]=I2682)*(Tablo3[Ürün Kar Tutarı]))</f>
        <v>0</v>
      </c>
      <c r="L2682" s="37"/>
    </row>
    <row r="2683" spans="1:12" x14ac:dyDescent="0.25">
      <c r="A2683" s="13"/>
      <c r="B2683" s="9" cm="1">
        <f t="array" ref="B2683">SUMPRODUCT((Tablo3[Personel Ad]=A2683)*(Tablo3[Ürün Kar Tutarı]))</f>
        <v>0</v>
      </c>
      <c r="D2683" s="14"/>
      <c r="F2683" s="9" cm="1">
        <f t="array" ref="F2683">SUMPRODUCT((Tablo3[Şehirler]=E2683)*(Tablo3[Ürün Kar Tutarı]))</f>
        <v>0</v>
      </c>
      <c r="H2683" s="14"/>
      <c r="J2683" s="9" cm="1">
        <f t="array" ref="J2683">SUMPRODUCT((Tablo3[Urun Ad]=I2683)*(Tablo3[Ürün Kar Tutarı]))</f>
        <v>0</v>
      </c>
      <c r="L2683" s="37"/>
    </row>
    <row r="2684" spans="1:12" x14ac:dyDescent="0.25">
      <c r="A2684" s="13"/>
      <c r="B2684" s="9" cm="1">
        <f t="array" ref="B2684">SUMPRODUCT((Tablo3[Personel Ad]=A2684)*(Tablo3[Ürün Kar Tutarı]))</f>
        <v>0</v>
      </c>
      <c r="D2684" s="14"/>
      <c r="F2684" s="9" cm="1">
        <f t="array" ref="F2684">SUMPRODUCT((Tablo3[Şehirler]=E2684)*(Tablo3[Ürün Kar Tutarı]))</f>
        <v>0</v>
      </c>
      <c r="H2684" s="14"/>
      <c r="J2684" s="9" cm="1">
        <f t="array" ref="J2684">SUMPRODUCT((Tablo3[Urun Ad]=I2684)*(Tablo3[Ürün Kar Tutarı]))</f>
        <v>0</v>
      </c>
      <c r="L2684" s="37"/>
    </row>
    <row r="2685" spans="1:12" x14ac:dyDescent="0.25">
      <c r="A2685" s="13"/>
      <c r="B2685" s="9" cm="1">
        <f t="array" ref="B2685">SUMPRODUCT((Tablo3[Personel Ad]=A2685)*(Tablo3[Ürün Kar Tutarı]))</f>
        <v>0</v>
      </c>
      <c r="D2685" s="14"/>
      <c r="F2685" s="9" cm="1">
        <f t="array" ref="F2685">SUMPRODUCT((Tablo3[Şehirler]=E2685)*(Tablo3[Ürün Kar Tutarı]))</f>
        <v>0</v>
      </c>
      <c r="H2685" s="14"/>
      <c r="J2685" s="9" cm="1">
        <f t="array" ref="J2685">SUMPRODUCT((Tablo3[Urun Ad]=I2685)*(Tablo3[Ürün Kar Tutarı]))</f>
        <v>0</v>
      </c>
      <c r="L2685" s="37"/>
    </row>
    <row r="2686" spans="1:12" x14ac:dyDescent="0.25">
      <c r="A2686" s="13"/>
      <c r="B2686" s="9" cm="1">
        <f t="array" ref="B2686">SUMPRODUCT((Tablo3[Personel Ad]=A2686)*(Tablo3[Ürün Kar Tutarı]))</f>
        <v>0</v>
      </c>
      <c r="D2686" s="14"/>
      <c r="F2686" s="9" cm="1">
        <f t="array" ref="F2686">SUMPRODUCT((Tablo3[Şehirler]=E2686)*(Tablo3[Ürün Kar Tutarı]))</f>
        <v>0</v>
      </c>
      <c r="H2686" s="14"/>
      <c r="J2686" s="9" cm="1">
        <f t="array" ref="J2686">SUMPRODUCT((Tablo3[Urun Ad]=I2686)*(Tablo3[Ürün Kar Tutarı]))</f>
        <v>0</v>
      </c>
      <c r="L2686" s="37"/>
    </row>
    <row r="2687" spans="1:12" x14ac:dyDescent="0.25">
      <c r="A2687" s="13"/>
      <c r="B2687" s="9" cm="1">
        <f t="array" ref="B2687">SUMPRODUCT((Tablo3[Personel Ad]=A2687)*(Tablo3[Ürün Kar Tutarı]))</f>
        <v>0</v>
      </c>
      <c r="D2687" s="14"/>
      <c r="F2687" s="9" cm="1">
        <f t="array" ref="F2687">SUMPRODUCT((Tablo3[Şehirler]=E2687)*(Tablo3[Ürün Kar Tutarı]))</f>
        <v>0</v>
      </c>
      <c r="H2687" s="14"/>
      <c r="J2687" s="9" cm="1">
        <f t="array" ref="J2687">SUMPRODUCT((Tablo3[Urun Ad]=I2687)*(Tablo3[Ürün Kar Tutarı]))</f>
        <v>0</v>
      </c>
      <c r="L2687" s="37"/>
    </row>
    <row r="2688" spans="1:12" x14ac:dyDescent="0.25">
      <c r="A2688" s="13"/>
      <c r="B2688" s="9" cm="1">
        <f t="array" ref="B2688">SUMPRODUCT((Tablo3[Personel Ad]=A2688)*(Tablo3[Ürün Kar Tutarı]))</f>
        <v>0</v>
      </c>
      <c r="D2688" s="14"/>
      <c r="F2688" s="9" cm="1">
        <f t="array" ref="F2688">SUMPRODUCT((Tablo3[Şehirler]=E2688)*(Tablo3[Ürün Kar Tutarı]))</f>
        <v>0</v>
      </c>
      <c r="H2688" s="14"/>
      <c r="J2688" s="9" cm="1">
        <f t="array" ref="J2688">SUMPRODUCT((Tablo3[Urun Ad]=I2688)*(Tablo3[Ürün Kar Tutarı]))</f>
        <v>0</v>
      </c>
      <c r="L2688" s="37"/>
    </row>
    <row r="2689" spans="1:12" x14ac:dyDescent="0.25">
      <c r="A2689" s="13"/>
      <c r="B2689" s="9" cm="1">
        <f t="array" ref="B2689">SUMPRODUCT((Tablo3[Personel Ad]=A2689)*(Tablo3[Ürün Kar Tutarı]))</f>
        <v>0</v>
      </c>
      <c r="D2689" s="14"/>
      <c r="F2689" s="9" cm="1">
        <f t="array" ref="F2689">SUMPRODUCT((Tablo3[Şehirler]=E2689)*(Tablo3[Ürün Kar Tutarı]))</f>
        <v>0</v>
      </c>
      <c r="H2689" s="14"/>
      <c r="J2689" s="9" cm="1">
        <f t="array" ref="J2689">SUMPRODUCT((Tablo3[Urun Ad]=I2689)*(Tablo3[Ürün Kar Tutarı]))</f>
        <v>0</v>
      </c>
      <c r="L2689" s="37"/>
    </row>
    <row r="2690" spans="1:12" x14ac:dyDescent="0.25">
      <c r="A2690" s="13"/>
      <c r="B2690" s="9" cm="1">
        <f t="array" ref="B2690">SUMPRODUCT((Tablo3[Personel Ad]=A2690)*(Tablo3[Ürün Kar Tutarı]))</f>
        <v>0</v>
      </c>
      <c r="D2690" s="14"/>
      <c r="F2690" s="9" cm="1">
        <f t="array" ref="F2690">SUMPRODUCT((Tablo3[Şehirler]=E2690)*(Tablo3[Ürün Kar Tutarı]))</f>
        <v>0</v>
      </c>
      <c r="H2690" s="14"/>
      <c r="J2690" s="9" cm="1">
        <f t="array" ref="J2690">SUMPRODUCT((Tablo3[Urun Ad]=I2690)*(Tablo3[Ürün Kar Tutarı]))</f>
        <v>0</v>
      </c>
      <c r="L2690" s="37"/>
    </row>
    <row r="2691" spans="1:12" x14ac:dyDescent="0.25">
      <c r="A2691" s="13"/>
      <c r="B2691" s="9" cm="1">
        <f t="array" ref="B2691">SUMPRODUCT((Tablo3[Personel Ad]=A2691)*(Tablo3[Ürün Kar Tutarı]))</f>
        <v>0</v>
      </c>
      <c r="D2691" s="14"/>
      <c r="F2691" s="9" cm="1">
        <f t="array" ref="F2691">SUMPRODUCT((Tablo3[Şehirler]=E2691)*(Tablo3[Ürün Kar Tutarı]))</f>
        <v>0</v>
      </c>
      <c r="H2691" s="14"/>
      <c r="J2691" s="9" cm="1">
        <f t="array" ref="J2691">SUMPRODUCT((Tablo3[Urun Ad]=I2691)*(Tablo3[Ürün Kar Tutarı]))</f>
        <v>0</v>
      </c>
      <c r="L2691" s="37"/>
    </row>
    <row r="2692" spans="1:12" x14ac:dyDescent="0.25">
      <c r="A2692" s="13"/>
      <c r="B2692" s="9" cm="1">
        <f t="array" ref="B2692">SUMPRODUCT((Tablo3[Personel Ad]=A2692)*(Tablo3[Ürün Kar Tutarı]))</f>
        <v>0</v>
      </c>
      <c r="D2692" s="14"/>
      <c r="F2692" s="9" cm="1">
        <f t="array" ref="F2692">SUMPRODUCT((Tablo3[Şehirler]=E2692)*(Tablo3[Ürün Kar Tutarı]))</f>
        <v>0</v>
      </c>
      <c r="H2692" s="14"/>
      <c r="J2692" s="9" cm="1">
        <f t="array" ref="J2692">SUMPRODUCT((Tablo3[Urun Ad]=I2692)*(Tablo3[Ürün Kar Tutarı]))</f>
        <v>0</v>
      </c>
      <c r="L2692" s="37"/>
    </row>
    <row r="2693" spans="1:12" x14ac:dyDescent="0.25">
      <c r="A2693" s="13"/>
      <c r="B2693" s="9" cm="1">
        <f t="array" ref="B2693">SUMPRODUCT((Tablo3[Personel Ad]=A2693)*(Tablo3[Ürün Kar Tutarı]))</f>
        <v>0</v>
      </c>
      <c r="D2693" s="14"/>
      <c r="F2693" s="9" cm="1">
        <f t="array" ref="F2693">SUMPRODUCT((Tablo3[Şehirler]=E2693)*(Tablo3[Ürün Kar Tutarı]))</f>
        <v>0</v>
      </c>
      <c r="H2693" s="14"/>
      <c r="J2693" s="9" cm="1">
        <f t="array" ref="J2693">SUMPRODUCT((Tablo3[Urun Ad]=I2693)*(Tablo3[Ürün Kar Tutarı]))</f>
        <v>0</v>
      </c>
      <c r="L2693" s="37"/>
    </row>
    <row r="2694" spans="1:12" x14ac:dyDescent="0.25">
      <c r="A2694" s="13"/>
      <c r="B2694" s="9" cm="1">
        <f t="array" ref="B2694">SUMPRODUCT((Tablo3[Personel Ad]=A2694)*(Tablo3[Ürün Kar Tutarı]))</f>
        <v>0</v>
      </c>
      <c r="D2694" s="14"/>
      <c r="F2694" s="9" cm="1">
        <f t="array" ref="F2694">SUMPRODUCT((Tablo3[Şehirler]=E2694)*(Tablo3[Ürün Kar Tutarı]))</f>
        <v>0</v>
      </c>
      <c r="H2694" s="14"/>
      <c r="J2694" s="9" cm="1">
        <f t="array" ref="J2694">SUMPRODUCT((Tablo3[Urun Ad]=I2694)*(Tablo3[Ürün Kar Tutarı]))</f>
        <v>0</v>
      </c>
      <c r="L2694" s="37"/>
    </row>
    <row r="2695" spans="1:12" x14ac:dyDescent="0.25">
      <c r="A2695" s="13"/>
      <c r="B2695" s="9" cm="1">
        <f t="array" ref="B2695">SUMPRODUCT((Tablo3[Personel Ad]=A2695)*(Tablo3[Ürün Kar Tutarı]))</f>
        <v>0</v>
      </c>
      <c r="D2695" s="14"/>
      <c r="F2695" s="9" cm="1">
        <f t="array" ref="F2695">SUMPRODUCT((Tablo3[Şehirler]=E2695)*(Tablo3[Ürün Kar Tutarı]))</f>
        <v>0</v>
      </c>
      <c r="H2695" s="14"/>
      <c r="J2695" s="9" cm="1">
        <f t="array" ref="J2695">SUMPRODUCT((Tablo3[Urun Ad]=I2695)*(Tablo3[Ürün Kar Tutarı]))</f>
        <v>0</v>
      </c>
      <c r="L2695" s="37"/>
    </row>
    <row r="2696" spans="1:12" x14ac:dyDescent="0.25">
      <c r="A2696" s="13"/>
      <c r="B2696" s="9" cm="1">
        <f t="array" ref="B2696">SUMPRODUCT((Tablo3[Personel Ad]=A2696)*(Tablo3[Ürün Kar Tutarı]))</f>
        <v>0</v>
      </c>
      <c r="D2696" s="14"/>
      <c r="F2696" s="9" cm="1">
        <f t="array" ref="F2696">SUMPRODUCT((Tablo3[Şehirler]=E2696)*(Tablo3[Ürün Kar Tutarı]))</f>
        <v>0</v>
      </c>
      <c r="H2696" s="14"/>
      <c r="J2696" s="9" cm="1">
        <f t="array" ref="J2696">SUMPRODUCT((Tablo3[Urun Ad]=I2696)*(Tablo3[Ürün Kar Tutarı]))</f>
        <v>0</v>
      </c>
      <c r="L2696" s="37"/>
    </row>
    <row r="2697" spans="1:12" x14ac:dyDescent="0.25">
      <c r="A2697" s="13"/>
      <c r="B2697" s="9" cm="1">
        <f t="array" ref="B2697">SUMPRODUCT((Tablo3[Personel Ad]=A2697)*(Tablo3[Ürün Kar Tutarı]))</f>
        <v>0</v>
      </c>
      <c r="D2697" s="14"/>
      <c r="F2697" s="9" cm="1">
        <f t="array" ref="F2697">SUMPRODUCT((Tablo3[Şehirler]=E2697)*(Tablo3[Ürün Kar Tutarı]))</f>
        <v>0</v>
      </c>
      <c r="H2697" s="14"/>
      <c r="J2697" s="9" cm="1">
        <f t="array" ref="J2697">SUMPRODUCT((Tablo3[Urun Ad]=I2697)*(Tablo3[Ürün Kar Tutarı]))</f>
        <v>0</v>
      </c>
      <c r="L2697" s="37"/>
    </row>
    <row r="2698" spans="1:12" x14ac:dyDescent="0.25">
      <c r="A2698" s="13"/>
      <c r="B2698" s="9" cm="1">
        <f t="array" ref="B2698">SUMPRODUCT((Tablo3[Personel Ad]=A2698)*(Tablo3[Ürün Kar Tutarı]))</f>
        <v>0</v>
      </c>
      <c r="D2698" s="14"/>
      <c r="F2698" s="9" cm="1">
        <f t="array" ref="F2698">SUMPRODUCT((Tablo3[Şehirler]=E2698)*(Tablo3[Ürün Kar Tutarı]))</f>
        <v>0</v>
      </c>
      <c r="H2698" s="14"/>
      <c r="J2698" s="9" cm="1">
        <f t="array" ref="J2698">SUMPRODUCT((Tablo3[Urun Ad]=I2698)*(Tablo3[Ürün Kar Tutarı]))</f>
        <v>0</v>
      </c>
      <c r="L2698" s="37"/>
    </row>
    <row r="2699" spans="1:12" x14ac:dyDescent="0.25">
      <c r="A2699" s="13"/>
      <c r="B2699" s="9" cm="1">
        <f t="array" ref="B2699">SUMPRODUCT((Tablo3[Personel Ad]=A2699)*(Tablo3[Ürün Kar Tutarı]))</f>
        <v>0</v>
      </c>
      <c r="D2699" s="14"/>
      <c r="F2699" s="9" cm="1">
        <f t="array" ref="F2699">SUMPRODUCT((Tablo3[Şehirler]=E2699)*(Tablo3[Ürün Kar Tutarı]))</f>
        <v>0</v>
      </c>
      <c r="H2699" s="14"/>
      <c r="J2699" s="9" cm="1">
        <f t="array" ref="J2699">SUMPRODUCT((Tablo3[Urun Ad]=I2699)*(Tablo3[Ürün Kar Tutarı]))</f>
        <v>0</v>
      </c>
      <c r="L2699" s="37"/>
    </row>
    <row r="2700" spans="1:12" x14ac:dyDescent="0.25">
      <c r="A2700" s="13"/>
      <c r="B2700" s="9" cm="1">
        <f t="array" ref="B2700">SUMPRODUCT((Tablo3[Personel Ad]=A2700)*(Tablo3[Ürün Kar Tutarı]))</f>
        <v>0</v>
      </c>
      <c r="D2700" s="14"/>
      <c r="F2700" s="9" cm="1">
        <f t="array" ref="F2700">SUMPRODUCT((Tablo3[Şehirler]=E2700)*(Tablo3[Ürün Kar Tutarı]))</f>
        <v>0</v>
      </c>
      <c r="H2700" s="14"/>
      <c r="J2700" s="9" cm="1">
        <f t="array" ref="J2700">SUMPRODUCT((Tablo3[Urun Ad]=I2700)*(Tablo3[Ürün Kar Tutarı]))</f>
        <v>0</v>
      </c>
      <c r="L2700" s="37"/>
    </row>
    <row r="2701" spans="1:12" x14ac:dyDescent="0.25">
      <c r="A2701" s="13"/>
      <c r="B2701" s="9" cm="1">
        <f t="array" ref="B2701">SUMPRODUCT((Tablo3[Personel Ad]=A2701)*(Tablo3[Ürün Kar Tutarı]))</f>
        <v>0</v>
      </c>
      <c r="D2701" s="14"/>
      <c r="F2701" s="9" cm="1">
        <f t="array" ref="F2701">SUMPRODUCT((Tablo3[Şehirler]=E2701)*(Tablo3[Ürün Kar Tutarı]))</f>
        <v>0</v>
      </c>
      <c r="H2701" s="14"/>
      <c r="J2701" s="9" cm="1">
        <f t="array" ref="J2701">SUMPRODUCT((Tablo3[Urun Ad]=I2701)*(Tablo3[Ürün Kar Tutarı]))</f>
        <v>0</v>
      </c>
      <c r="L2701" s="37"/>
    </row>
    <row r="2702" spans="1:12" x14ac:dyDescent="0.25">
      <c r="A2702" s="13"/>
      <c r="B2702" s="9" cm="1">
        <f t="array" ref="B2702">SUMPRODUCT((Tablo3[Personel Ad]=A2702)*(Tablo3[Ürün Kar Tutarı]))</f>
        <v>0</v>
      </c>
      <c r="D2702" s="14"/>
      <c r="F2702" s="9" cm="1">
        <f t="array" ref="F2702">SUMPRODUCT((Tablo3[Şehirler]=E2702)*(Tablo3[Ürün Kar Tutarı]))</f>
        <v>0</v>
      </c>
      <c r="H2702" s="14"/>
      <c r="J2702" s="9" cm="1">
        <f t="array" ref="J2702">SUMPRODUCT((Tablo3[Urun Ad]=I2702)*(Tablo3[Ürün Kar Tutarı]))</f>
        <v>0</v>
      </c>
      <c r="L2702" s="37"/>
    </row>
    <row r="2703" spans="1:12" x14ac:dyDescent="0.25">
      <c r="A2703" s="13"/>
      <c r="B2703" s="9" cm="1">
        <f t="array" ref="B2703">SUMPRODUCT((Tablo3[Personel Ad]=A2703)*(Tablo3[Ürün Kar Tutarı]))</f>
        <v>0</v>
      </c>
      <c r="D2703" s="14"/>
      <c r="F2703" s="9" cm="1">
        <f t="array" ref="F2703">SUMPRODUCT((Tablo3[Şehirler]=E2703)*(Tablo3[Ürün Kar Tutarı]))</f>
        <v>0</v>
      </c>
      <c r="H2703" s="14"/>
      <c r="J2703" s="9" cm="1">
        <f t="array" ref="J2703">SUMPRODUCT((Tablo3[Urun Ad]=I2703)*(Tablo3[Ürün Kar Tutarı]))</f>
        <v>0</v>
      </c>
      <c r="L2703" s="37"/>
    </row>
    <row r="2704" spans="1:12" x14ac:dyDescent="0.25">
      <c r="A2704" s="13"/>
      <c r="B2704" s="9" cm="1">
        <f t="array" ref="B2704">SUMPRODUCT((Tablo3[Personel Ad]=A2704)*(Tablo3[Ürün Kar Tutarı]))</f>
        <v>0</v>
      </c>
      <c r="D2704" s="14"/>
      <c r="F2704" s="9" cm="1">
        <f t="array" ref="F2704">SUMPRODUCT((Tablo3[Şehirler]=E2704)*(Tablo3[Ürün Kar Tutarı]))</f>
        <v>0</v>
      </c>
      <c r="H2704" s="14"/>
      <c r="J2704" s="9" cm="1">
        <f t="array" ref="J2704">SUMPRODUCT((Tablo3[Urun Ad]=I2704)*(Tablo3[Ürün Kar Tutarı]))</f>
        <v>0</v>
      </c>
      <c r="L2704" s="37"/>
    </row>
    <row r="2705" spans="1:12" x14ac:dyDescent="0.25">
      <c r="A2705" s="13"/>
      <c r="B2705" s="9" cm="1">
        <f t="array" ref="B2705">SUMPRODUCT((Tablo3[Personel Ad]=A2705)*(Tablo3[Ürün Kar Tutarı]))</f>
        <v>0</v>
      </c>
      <c r="D2705" s="14"/>
      <c r="F2705" s="9" cm="1">
        <f t="array" ref="F2705">SUMPRODUCT((Tablo3[Şehirler]=E2705)*(Tablo3[Ürün Kar Tutarı]))</f>
        <v>0</v>
      </c>
      <c r="H2705" s="14"/>
      <c r="J2705" s="9" cm="1">
        <f t="array" ref="J2705">SUMPRODUCT((Tablo3[Urun Ad]=I2705)*(Tablo3[Ürün Kar Tutarı]))</f>
        <v>0</v>
      </c>
      <c r="L2705" s="37"/>
    </row>
    <row r="2706" spans="1:12" x14ac:dyDescent="0.25">
      <c r="A2706" s="13"/>
      <c r="B2706" s="9" cm="1">
        <f t="array" ref="B2706">SUMPRODUCT((Tablo3[Personel Ad]=A2706)*(Tablo3[Ürün Kar Tutarı]))</f>
        <v>0</v>
      </c>
      <c r="D2706" s="14"/>
      <c r="F2706" s="9" cm="1">
        <f t="array" ref="F2706">SUMPRODUCT((Tablo3[Şehirler]=E2706)*(Tablo3[Ürün Kar Tutarı]))</f>
        <v>0</v>
      </c>
      <c r="H2706" s="14"/>
      <c r="J2706" s="9" cm="1">
        <f t="array" ref="J2706">SUMPRODUCT((Tablo3[Urun Ad]=I2706)*(Tablo3[Ürün Kar Tutarı]))</f>
        <v>0</v>
      </c>
      <c r="L2706" s="37"/>
    </row>
    <row r="2707" spans="1:12" x14ac:dyDescent="0.25">
      <c r="A2707" s="13"/>
      <c r="B2707" s="9" cm="1">
        <f t="array" ref="B2707">SUMPRODUCT((Tablo3[Personel Ad]=A2707)*(Tablo3[Ürün Kar Tutarı]))</f>
        <v>0</v>
      </c>
      <c r="D2707" s="14"/>
      <c r="F2707" s="9" cm="1">
        <f t="array" ref="F2707">SUMPRODUCT((Tablo3[Şehirler]=E2707)*(Tablo3[Ürün Kar Tutarı]))</f>
        <v>0</v>
      </c>
      <c r="H2707" s="14"/>
      <c r="J2707" s="9" cm="1">
        <f t="array" ref="J2707">SUMPRODUCT((Tablo3[Urun Ad]=I2707)*(Tablo3[Ürün Kar Tutarı]))</f>
        <v>0</v>
      </c>
      <c r="L2707" s="37"/>
    </row>
    <row r="2708" spans="1:12" x14ac:dyDescent="0.25">
      <c r="A2708" s="13"/>
      <c r="B2708" s="9" cm="1">
        <f t="array" ref="B2708">SUMPRODUCT((Tablo3[Personel Ad]=A2708)*(Tablo3[Ürün Kar Tutarı]))</f>
        <v>0</v>
      </c>
      <c r="D2708" s="14"/>
      <c r="F2708" s="9" cm="1">
        <f t="array" ref="F2708">SUMPRODUCT((Tablo3[Şehirler]=E2708)*(Tablo3[Ürün Kar Tutarı]))</f>
        <v>0</v>
      </c>
      <c r="H2708" s="14"/>
      <c r="J2708" s="9" cm="1">
        <f t="array" ref="J2708">SUMPRODUCT((Tablo3[Urun Ad]=I2708)*(Tablo3[Ürün Kar Tutarı]))</f>
        <v>0</v>
      </c>
      <c r="L2708" s="37"/>
    </row>
    <row r="2709" spans="1:12" x14ac:dyDescent="0.25">
      <c r="A2709" s="13"/>
      <c r="B2709" s="9" cm="1">
        <f t="array" ref="B2709">SUMPRODUCT((Tablo3[Personel Ad]=A2709)*(Tablo3[Ürün Kar Tutarı]))</f>
        <v>0</v>
      </c>
      <c r="D2709" s="14"/>
      <c r="F2709" s="9" cm="1">
        <f t="array" ref="F2709">SUMPRODUCT((Tablo3[Şehirler]=E2709)*(Tablo3[Ürün Kar Tutarı]))</f>
        <v>0</v>
      </c>
      <c r="H2709" s="14"/>
      <c r="J2709" s="9" cm="1">
        <f t="array" ref="J2709">SUMPRODUCT((Tablo3[Urun Ad]=I2709)*(Tablo3[Ürün Kar Tutarı]))</f>
        <v>0</v>
      </c>
      <c r="L2709" s="37"/>
    </row>
    <row r="2710" spans="1:12" x14ac:dyDescent="0.25">
      <c r="A2710" s="13"/>
      <c r="B2710" s="9" cm="1">
        <f t="array" ref="B2710">SUMPRODUCT((Tablo3[Personel Ad]=A2710)*(Tablo3[Ürün Kar Tutarı]))</f>
        <v>0</v>
      </c>
      <c r="D2710" s="14"/>
      <c r="F2710" s="9" cm="1">
        <f t="array" ref="F2710">SUMPRODUCT((Tablo3[Şehirler]=E2710)*(Tablo3[Ürün Kar Tutarı]))</f>
        <v>0</v>
      </c>
      <c r="H2710" s="14"/>
      <c r="J2710" s="9" cm="1">
        <f t="array" ref="J2710">SUMPRODUCT((Tablo3[Urun Ad]=I2710)*(Tablo3[Ürün Kar Tutarı]))</f>
        <v>0</v>
      </c>
      <c r="L2710" s="37"/>
    </row>
    <row r="2711" spans="1:12" x14ac:dyDescent="0.25">
      <c r="A2711" s="13"/>
      <c r="B2711" s="9" cm="1">
        <f t="array" ref="B2711">SUMPRODUCT((Tablo3[Personel Ad]=A2711)*(Tablo3[Ürün Kar Tutarı]))</f>
        <v>0</v>
      </c>
      <c r="D2711" s="14"/>
      <c r="F2711" s="9" cm="1">
        <f t="array" ref="F2711">SUMPRODUCT((Tablo3[Şehirler]=E2711)*(Tablo3[Ürün Kar Tutarı]))</f>
        <v>0</v>
      </c>
      <c r="H2711" s="14"/>
      <c r="J2711" s="9" cm="1">
        <f t="array" ref="J2711">SUMPRODUCT((Tablo3[Urun Ad]=I2711)*(Tablo3[Ürün Kar Tutarı]))</f>
        <v>0</v>
      </c>
      <c r="L2711" s="37"/>
    </row>
    <row r="2712" spans="1:12" x14ac:dyDescent="0.25">
      <c r="A2712" s="13"/>
      <c r="B2712" s="9" cm="1">
        <f t="array" ref="B2712">SUMPRODUCT((Tablo3[Personel Ad]=A2712)*(Tablo3[Ürün Kar Tutarı]))</f>
        <v>0</v>
      </c>
      <c r="D2712" s="14"/>
      <c r="F2712" s="9" cm="1">
        <f t="array" ref="F2712">SUMPRODUCT((Tablo3[Şehirler]=E2712)*(Tablo3[Ürün Kar Tutarı]))</f>
        <v>0</v>
      </c>
      <c r="H2712" s="14"/>
      <c r="J2712" s="9" cm="1">
        <f t="array" ref="J2712">SUMPRODUCT((Tablo3[Urun Ad]=I2712)*(Tablo3[Ürün Kar Tutarı]))</f>
        <v>0</v>
      </c>
      <c r="L2712" s="37"/>
    </row>
    <row r="2713" spans="1:12" x14ac:dyDescent="0.25">
      <c r="A2713" s="13"/>
      <c r="B2713" s="9" cm="1">
        <f t="array" ref="B2713">SUMPRODUCT((Tablo3[Personel Ad]=A2713)*(Tablo3[Ürün Kar Tutarı]))</f>
        <v>0</v>
      </c>
      <c r="D2713" s="14"/>
      <c r="F2713" s="9" cm="1">
        <f t="array" ref="F2713">SUMPRODUCT((Tablo3[Şehirler]=E2713)*(Tablo3[Ürün Kar Tutarı]))</f>
        <v>0</v>
      </c>
      <c r="H2713" s="14"/>
      <c r="J2713" s="9" cm="1">
        <f t="array" ref="J2713">SUMPRODUCT((Tablo3[Urun Ad]=I2713)*(Tablo3[Ürün Kar Tutarı]))</f>
        <v>0</v>
      </c>
      <c r="L2713" s="37"/>
    </row>
    <row r="2714" spans="1:12" x14ac:dyDescent="0.25">
      <c r="A2714" s="13"/>
      <c r="B2714" s="9" cm="1">
        <f t="array" ref="B2714">SUMPRODUCT((Tablo3[Personel Ad]=A2714)*(Tablo3[Ürün Kar Tutarı]))</f>
        <v>0</v>
      </c>
      <c r="D2714" s="14"/>
      <c r="F2714" s="9" cm="1">
        <f t="array" ref="F2714">SUMPRODUCT((Tablo3[Şehirler]=E2714)*(Tablo3[Ürün Kar Tutarı]))</f>
        <v>0</v>
      </c>
      <c r="H2714" s="14"/>
      <c r="J2714" s="9" cm="1">
        <f t="array" ref="J2714">SUMPRODUCT((Tablo3[Urun Ad]=I2714)*(Tablo3[Ürün Kar Tutarı]))</f>
        <v>0</v>
      </c>
      <c r="L2714" s="37"/>
    </row>
    <row r="2715" spans="1:12" x14ac:dyDescent="0.25">
      <c r="A2715" s="13"/>
      <c r="B2715" s="9" cm="1">
        <f t="array" ref="B2715">SUMPRODUCT((Tablo3[Personel Ad]=A2715)*(Tablo3[Ürün Kar Tutarı]))</f>
        <v>0</v>
      </c>
      <c r="D2715" s="14"/>
      <c r="F2715" s="9" cm="1">
        <f t="array" ref="F2715">SUMPRODUCT((Tablo3[Şehirler]=E2715)*(Tablo3[Ürün Kar Tutarı]))</f>
        <v>0</v>
      </c>
      <c r="H2715" s="14"/>
      <c r="J2715" s="9" cm="1">
        <f t="array" ref="J2715">SUMPRODUCT((Tablo3[Urun Ad]=I2715)*(Tablo3[Ürün Kar Tutarı]))</f>
        <v>0</v>
      </c>
      <c r="L2715" s="37"/>
    </row>
    <row r="2716" spans="1:12" x14ac:dyDescent="0.25">
      <c r="A2716" s="13"/>
      <c r="B2716" s="9" cm="1">
        <f t="array" ref="B2716">SUMPRODUCT((Tablo3[Personel Ad]=A2716)*(Tablo3[Ürün Kar Tutarı]))</f>
        <v>0</v>
      </c>
      <c r="D2716" s="14"/>
      <c r="F2716" s="9" cm="1">
        <f t="array" ref="F2716">SUMPRODUCT((Tablo3[Şehirler]=E2716)*(Tablo3[Ürün Kar Tutarı]))</f>
        <v>0</v>
      </c>
      <c r="H2716" s="14"/>
      <c r="J2716" s="9" cm="1">
        <f t="array" ref="J2716">SUMPRODUCT((Tablo3[Urun Ad]=I2716)*(Tablo3[Ürün Kar Tutarı]))</f>
        <v>0</v>
      </c>
      <c r="L2716" s="37"/>
    </row>
    <row r="2717" spans="1:12" x14ac:dyDescent="0.25">
      <c r="A2717" s="13"/>
      <c r="B2717" s="9" cm="1">
        <f t="array" ref="B2717">SUMPRODUCT((Tablo3[Personel Ad]=A2717)*(Tablo3[Ürün Kar Tutarı]))</f>
        <v>0</v>
      </c>
      <c r="D2717" s="14"/>
      <c r="F2717" s="9" cm="1">
        <f t="array" ref="F2717">SUMPRODUCT((Tablo3[Şehirler]=E2717)*(Tablo3[Ürün Kar Tutarı]))</f>
        <v>0</v>
      </c>
      <c r="H2717" s="14"/>
      <c r="J2717" s="9" cm="1">
        <f t="array" ref="J2717">SUMPRODUCT((Tablo3[Urun Ad]=I2717)*(Tablo3[Ürün Kar Tutarı]))</f>
        <v>0</v>
      </c>
      <c r="L2717" s="37"/>
    </row>
    <row r="2718" spans="1:12" x14ac:dyDescent="0.25">
      <c r="A2718" s="13"/>
      <c r="B2718" s="9" cm="1">
        <f t="array" ref="B2718">SUMPRODUCT((Tablo3[Personel Ad]=A2718)*(Tablo3[Ürün Kar Tutarı]))</f>
        <v>0</v>
      </c>
      <c r="D2718" s="14"/>
      <c r="F2718" s="9" cm="1">
        <f t="array" ref="F2718">SUMPRODUCT((Tablo3[Şehirler]=E2718)*(Tablo3[Ürün Kar Tutarı]))</f>
        <v>0</v>
      </c>
      <c r="H2718" s="14"/>
      <c r="J2718" s="9" cm="1">
        <f t="array" ref="J2718">SUMPRODUCT((Tablo3[Urun Ad]=I2718)*(Tablo3[Ürün Kar Tutarı]))</f>
        <v>0</v>
      </c>
      <c r="L2718" s="37"/>
    </row>
    <row r="2719" spans="1:12" x14ac:dyDescent="0.25">
      <c r="A2719" s="13"/>
      <c r="B2719" s="9" cm="1">
        <f t="array" ref="B2719">SUMPRODUCT((Tablo3[Personel Ad]=A2719)*(Tablo3[Ürün Kar Tutarı]))</f>
        <v>0</v>
      </c>
      <c r="D2719" s="14"/>
      <c r="F2719" s="9" cm="1">
        <f t="array" ref="F2719">SUMPRODUCT((Tablo3[Şehirler]=E2719)*(Tablo3[Ürün Kar Tutarı]))</f>
        <v>0</v>
      </c>
      <c r="H2719" s="14"/>
      <c r="J2719" s="9" cm="1">
        <f t="array" ref="J2719">SUMPRODUCT((Tablo3[Urun Ad]=I2719)*(Tablo3[Ürün Kar Tutarı]))</f>
        <v>0</v>
      </c>
      <c r="L2719" s="37"/>
    </row>
    <row r="2720" spans="1:12" x14ac:dyDescent="0.25">
      <c r="A2720" s="13"/>
      <c r="B2720" s="9" cm="1">
        <f t="array" ref="B2720">SUMPRODUCT((Tablo3[Personel Ad]=A2720)*(Tablo3[Ürün Kar Tutarı]))</f>
        <v>0</v>
      </c>
      <c r="D2720" s="14"/>
      <c r="F2720" s="9" cm="1">
        <f t="array" ref="F2720">SUMPRODUCT((Tablo3[Şehirler]=E2720)*(Tablo3[Ürün Kar Tutarı]))</f>
        <v>0</v>
      </c>
      <c r="H2720" s="14"/>
      <c r="J2720" s="9" cm="1">
        <f t="array" ref="J2720">SUMPRODUCT((Tablo3[Urun Ad]=I2720)*(Tablo3[Ürün Kar Tutarı]))</f>
        <v>0</v>
      </c>
      <c r="L2720" s="37"/>
    </row>
    <row r="2721" spans="1:12" x14ac:dyDescent="0.25">
      <c r="A2721" s="13"/>
      <c r="B2721" s="9" cm="1">
        <f t="array" ref="B2721">SUMPRODUCT((Tablo3[Personel Ad]=A2721)*(Tablo3[Ürün Kar Tutarı]))</f>
        <v>0</v>
      </c>
      <c r="D2721" s="14"/>
      <c r="F2721" s="9" cm="1">
        <f t="array" ref="F2721">SUMPRODUCT((Tablo3[Şehirler]=E2721)*(Tablo3[Ürün Kar Tutarı]))</f>
        <v>0</v>
      </c>
      <c r="H2721" s="14"/>
      <c r="J2721" s="9" cm="1">
        <f t="array" ref="J2721">SUMPRODUCT((Tablo3[Urun Ad]=I2721)*(Tablo3[Ürün Kar Tutarı]))</f>
        <v>0</v>
      </c>
      <c r="L2721" s="37"/>
    </row>
    <row r="2722" spans="1:12" x14ac:dyDescent="0.25">
      <c r="A2722" s="13"/>
      <c r="B2722" s="9" cm="1">
        <f t="array" ref="B2722">SUMPRODUCT((Tablo3[Personel Ad]=A2722)*(Tablo3[Ürün Kar Tutarı]))</f>
        <v>0</v>
      </c>
      <c r="D2722" s="14"/>
      <c r="F2722" s="9" cm="1">
        <f t="array" ref="F2722">SUMPRODUCT((Tablo3[Şehirler]=E2722)*(Tablo3[Ürün Kar Tutarı]))</f>
        <v>0</v>
      </c>
      <c r="H2722" s="14"/>
      <c r="J2722" s="9" cm="1">
        <f t="array" ref="J2722">SUMPRODUCT((Tablo3[Urun Ad]=I2722)*(Tablo3[Ürün Kar Tutarı]))</f>
        <v>0</v>
      </c>
      <c r="L2722" s="37"/>
    </row>
    <row r="2723" spans="1:12" x14ac:dyDescent="0.25">
      <c r="A2723" s="13"/>
      <c r="B2723" s="9" cm="1">
        <f t="array" ref="B2723">SUMPRODUCT((Tablo3[Personel Ad]=A2723)*(Tablo3[Ürün Kar Tutarı]))</f>
        <v>0</v>
      </c>
      <c r="D2723" s="14"/>
      <c r="F2723" s="9" cm="1">
        <f t="array" ref="F2723">SUMPRODUCT((Tablo3[Şehirler]=E2723)*(Tablo3[Ürün Kar Tutarı]))</f>
        <v>0</v>
      </c>
      <c r="H2723" s="14"/>
      <c r="J2723" s="9" cm="1">
        <f t="array" ref="J2723">SUMPRODUCT((Tablo3[Urun Ad]=I2723)*(Tablo3[Ürün Kar Tutarı]))</f>
        <v>0</v>
      </c>
      <c r="L2723" s="37"/>
    </row>
    <row r="2724" spans="1:12" x14ac:dyDescent="0.25">
      <c r="A2724" s="13"/>
      <c r="B2724" s="9" cm="1">
        <f t="array" ref="B2724">SUMPRODUCT((Tablo3[Personel Ad]=A2724)*(Tablo3[Ürün Kar Tutarı]))</f>
        <v>0</v>
      </c>
      <c r="D2724" s="14"/>
      <c r="F2724" s="9" cm="1">
        <f t="array" ref="F2724">SUMPRODUCT((Tablo3[Şehirler]=E2724)*(Tablo3[Ürün Kar Tutarı]))</f>
        <v>0</v>
      </c>
      <c r="H2724" s="14"/>
      <c r="J2724" s="9" cm="1">
        <f t="array" ref="J2724">SUMPRODUCT((Tablo3[Urun Ad]=I2724)*(Tablo3[Ürün Kar Tutarı]))</f>
        <v>0</v>
      </c>
      <c r="L2724" s="37"/>
    </row>
    <row r="2725" spans="1:12" x14ac:dyDescent="0.25">
      <c r="A2725" s="13"/>
      <c r="B2725" s="9" cm="1">
        <f t="array" ref="B2725">SUMPRODUCT((Tablo3[Personel Ad]=A2725)*(Tablo3[Ürün Kar Tutarı]))</f>
        <v>0</v>
      </c>
      <c r="D2725" s="14"/>
      <c r="F2725" s="9" cm="1">
        <f t="array" ref="F2725">SUMPRODUCT((Tablo3[Şehirler]=E2725)*(Tablo3[Ürün Kar Tutarı]))</f>
        <v>0</v>
      </c>
      <c r="H2725" s="14"/>
      <c r="J2725" s="9" cm="1">
        <f t="array" ref="J2725">SUMPRODUCT((Tablo3[Urun Ad]=I2725)*(Tablo3[Ürün Kar Tutarı]))</f>
        <v>0</v>
      </c>
      <c r="L2725" s="37"/>
    </row>
    <row r="2726" spans="1:12" x14ac:dyDescent="0.25">
      <c r="A2726" s="13"/>
      <c r="B2726" s="9" cm="1">
        <f t="array" ref="B2726">SUMPRODUCT((Tablo3[Personel Ad]=A2726)*(Tablo3[Ürün Kar Tutarı]))</f>
        <v>0</v>
      </c>
      <c r="D2726" s="14"/>
      <c r="F2726" s="9" cm="1">
        <f t="array" ref="F2726">SUMPRODUCT((Tablo3[Şehirler]=E2726)*(Tablo3[Ürün Kar Tutarı]))</f>
        <v>0</v>
      </c>
      <c r="H2726" s="14"/>
      <c r="J2726" s="9" cm="1">
        <f t="array" ref="J2726">SUMPRODUCT((Tablo3[Urun Ad]=I2726)*(Tablo3[Ürün Kar Tutarı]))</f>
        <v>0</v>
      </c>
      <c r="L2726" s="37"/>
    </row>
    <row r="2727" spans="1:12" x14ac:dyDescent="0.25">
      <c r="A2727" s="13"/>
      <c r="B2727" s="9" cm="1">
        <f t="array" ref="B2727">SUMPRODUCT((Tablo3[Personel Ad]=A2727)*(Tablo3[Ürün Kar Tutarı]))</f>
        <v>0</v>
      </c>
      <c r="D2727" s="14"/>
      <c r="F2727" s="9" cm="1">
        <f t="array" ref="F2727">SUMPRODUCT((Tablo3[Şehirler]=E2727)*(Tablo3[Ürün Kar Tutarı]))</f>
        <v>0</v>
      </c>
      <c r="H2727" s="14"/>
      <c r="J2727" s="9" cm="1">
        <f t="array" ref="J2727">SUMPRODUCT((Tablo3[Urun Ad]=I2727)*(Tablo3[Ürün Kar Tutarı]))</f>
        <v>0</v>
      </c>
      <c r="L2727" s="37"/>
    </row>
    <row r="2728" spans="1:12" x14ac:dyDescent="0.25">
      <c r="A2728" s="13"/>
      <c r="B2728" s="9" cm="1">
        <f t="array" ref="B2728">SUMPRODUCT((Tablo3[Personel Ad]=A2728)*(Tablo3[Ürün Kar Tutarı]))</f>
        <v>0</v>
      </c>
      <c r="D2728" s="14"/>
      <c r="F2728" s="9" cm="1">
        <f t="array" ref="F2728">SUMPRODUCT((Tablo3[Şehirler]=E2728)*(Tablo3[Ürün Kar Tutarı]))</f>
        <v>0</v>
      </c>
      <c r="H2728" s="14"/>
      <c r="J2728" s="9" cm="1">
        <f t="array" ref="J2728">SUMPRODUCT((Tablo3[Urun Ad]=I2728)*(Tablo3[Ürün Kar Tutarı]))</f>
        <v>0</v>
      </c>
      <c r="L2728" s="37"/>
    </row>
    <row r="2729" spans="1:12" x14ac:dyDescent="0.25">
      <c r="A2729" s="13"/>
      <c r="B2729" s="9" cm="1">
        <f t="array" ref="B2729">SUMPRODUCT((Tablo3[Personel Ad]=A2729)*(Tablo3[Ürün Kar Tutarı]))</f>
        <v>0</v>
      </c>
      <c r="D2729" s="14"/>
      <c r="F2729" s="9" cm="1">
        <f t="array" ref="F2729">SUMPRODUCT((Tablo3[Şehirler]=E2729)*(Tablo3[Ürün Kar Tutarı]))</f>
        <v>0</v>
      </c>
      <c r="H2729" s="14"/>
      <c r="J2729" s="9" cm="1">
        <f t="array" ref="J2729">SUMPRODUCT((Tablo3[Urun Ad]=I2729)*(Tablo3[Ürün Kar Tutarı]))</f>
        <v>0</v>
      </c>
      <c r="L2729" s="37"/>
    </row>
    <row r="2730" spans="1:12" x14ac:dyDescent="0.25">
      <c r="A2730" s="13"/>
      <c r="B2730" s="9" cm="1">
        <f t="array" ref="B2730">SUMPRODUCT((Tablo3[Personel Ad]=A2730)*(Tablo3[Ürün Kar Tutarı]))</f>
        <v>0</v>
      </c>
      <c r="D2730" s="14"/>
      <c r="F2730" s="9" cm="1">
        <f t="array" ref="F2730">SUMPRODUCT((Tablo3[Şehirler]=E2730)*(Tablo3[Ürün Kar Tutarı]))</f>
        <v>0</v>
      </c>
      <c r="H2730" s="14"/>
      <c r="J2730" s="9" cm="1">
        <f t="array" ref="J2730">SUMPRODUCT((Tablo3[Urun Ad]=I2730)*(Tablo3[Ürün Kar Tutarı]))</f>
        <v>0</v>
      </c>
      <c r="L2730" s="37"/>
    </row>
    <row r="2731" spans="1:12" x14ac:dyDescent="0.25">
      <c r="A2731" s="13"/>
      <c r="B2731" s="9" cm="1">
        <f t="array" ref="B2731">SUMPRODUCT((Tablo3[Personel Ad]=A2731)*(Tablo3[Ürün Kar Tutarı]))</f>
        <v>0</v>
      </c>
      <c r="D2731" s="14"/>
      <c r="F2731" s="9" cm="1">
        <f t="array" ref="F2731">SUMPRODUCT((Tablo3[Şehirler]=E2731)*(Tablo3[Ürün Kar Tutarı]))</f>
        <v>0</v>
      </c>
      <c r="H2731" s="14"/>
      <c r="J2731" s="9" cm="1">
        <f t="array" ref="J2731">SUMPRODUCT((Tablo3[Urun Ad]=I2731)*(Tablo3[Ürün Kar Tutarı]))</f>
        <v>0</v>
      </c>
      <c r="L2731" s="37"/>
    </row>
    <row r="2732" spans="1:12" x14ac:dyDescent="0.25">
      <c r="A2732" s="13"/>
      <c r="B2732" s="9" cm="1">
        <f t="array" ref="B2732">SUMPRODUCT((Tablo3[Personel Ad]=A2732)*(Tablo3[Ürün Kar Tutarı]))</f>
        <v>0</v>
      </c>
      <c r="D2732" s="14"/>
      <c r="F2732" s="9" cm="1">
        <f t="array" ref="F2732">SUMPRODUCT((Tablo3[Şehirler]=E2732)*(Tablo3[Ürün Kar Tutarı]))</f>
        <v>0</v>
      </c>
      <c r="H2732" s="14"/>
      <c r="J2732" s="9" cm="1">
        <f t="array" ref="J2732">SUMPRODUCT((Tablo3[Urun Ad]=I2732)*(Tablo3[Ürün Kar Tutarı]))</f>
        <v>0</v>
      </c>
      <c r="L2732" s="37"/>
    </row>
    <row r="2733" spans="1:12" x14ac:dyDescent="0.25">
      <c r="A2733" s="13"/>
      <c r="B2733" s="9" cm="1">
        <f t="array" ref="B2733">SUMPRODUCT((Tablo3[Personel Ad]=A2733)*(Tablo3[Ürün Kar Tutarı]))</f>
        <v>0</v>
      </c>
      <c r="D2733" s="14"/>
      <c r="F2733" s="9" cm="1">
        <f t="array" ref="F2733">SUMPRODUCT((Tablo3[Şehirler]=E2733)*(Tablo3[Ürün Kar Tutarı]))</f>
        <v>0</v>
      </c>
      <c r="H2733" s="14"/>
      <c r="J2733" s="9" cm="1">
        <f t="array" ref="J2733">SUMPRODUCT((Tablo3[Urun Ad]=I2733)*(Tablo3[Ürün Kar Tutarı]))</f>
        <v>0</v>
      </c>
      <c r="L2733" s="37"/>
    </row>
    <row r="2734" spans="1:12" x14ac:dyDescent="0.25">
      <c r="A2734" s="13"/>
      <c r="B2734" s="9" cm="1">
        <f t="array" ref="B2734">SUMPRODUCT((Tablo3[Personel Ad]=A2734)*(Tablo3[Ürün Kar Tutarı]))</f>
        <v>0</v>
      </c>
      <c r="D2734" s="14"/>
      <c r="F2734" s="9" cm="1">
        <f t="array" ref="F2734">SUMPRODUCT((Tablo3[Şehirler]=E2734)*(Tablo3[Ürün Kar Tutarı]))</f>
        <v>0</v>
      </c>
      <c r="H2734" s="14"/>
      <c r="J2734" s="9" cm="1">
        <f t="array" ref="J2734">SUMPRODUCT((Tablo3[Urun Ad]=I2734)*(Tablo3[Ürün Kar Tutarı]))</f>
        <v>0</v>
      </c>
      <c r="L2734" s="37"/>
    </row>
    <row r="2735" spans="1:12" x14ac:dyDescent="0.25">
      <c r="A2735" s="13"/>
      <c r="B2735" s="9" cm="1">
        <f t="array" ref="B2735">SUMPRODUCT((Tablo3[Personel Ad]=A2735)*(Tablo3[Ürün Kar Tutarı]))</f>
        <v>0</v>
      </c>
      <c r="D2735" s="14"/>
      <c r="F2735" s="9" cm="1">
        <f t="array" ref="F2735">SUMPRODUCT((Tablo3[Şehirler]=E2735)*(Tablo3[Ürün Kar Tutarı]))</f>
        <v>0</v>
      </c>
      <c r="H2735" s="14"/>
      <c r="J2735" s="9" cm="1">
        <f t="array" ref="J2735">SUMPRODUCT((Tablo3[Urun Ad]=I2735)*(Tablo3[Ürün Kar Tutarı]))</f>
        <v>0</v>
      </c>
      <c r="L2735" s="37"/>
    </row>
    <row r="2736" spans="1:12" x14ac:dyDescent="0.25">
      <c r="A2736" s="13"/>
      <c r="B2736" s="9" cm="1">
        <f t="array" ref="B2736">SUMPRODUCT((Tablo3[Personel Ad]=A2736)*(Tablo3[Ürün Kar Tutarı]))</f>
        <v>0</v>
      </c>
      <c r="D2736" s="14"/>
      <c r="F2736" s="9" cm="1">
        <f t="array" ref="F2736">SUMPRODUCT((Tablo3[Şehirler]=E2736)*(Tablo3[Ürün Kar Tutarı]))</f>
        <v>0</v>
      </c>
      <c r="H2736" s="14"/>
      <c r="J2736" s="9" cm="1">
        <f t="array" ref="J2736">SUMPRODUCT((Tablo3[Urun Ad]=I2736)*(Tablo3[Ürün Kar Tutarı]))</f>
        <v>0</v>
      </c>
      <c r="L2736" s="37"/>
    </row>
    <row r="2737" spans="1:12" x14ac:dyDescent="0.25">
      <c r="A2737" s="13"/>
      <c r="B2737" s="9" cm="1">
        <f t="array" ref="B2737">SUMPRODUCT((Tablo3[Personel Ad]=A2737)*(Tablo3[Ürün Kar Tutarı]))</f>
        <v>0</v>
      </c>
      <c r="D2737" s="14"/>
      <c r="F2737" s="9" cm="1">
        <f t="array" ref="F2737">SUMPRODUCT((Tablo3[Şehirler]=E2737)*(Tablo3[Ürün Kar Tutarı]))</f>
        <v>0</v>
      </c>
      <c r="H2737" s="14"/>
      <c r="J2737" s="9" cm="1">
        <f t="array" ref="J2737">SUMPRODUCT((Tablo3[Urun Ad]=I2737)*(Tablo3[Ürün Kar Tutarı]))</f>
        <v>0</v>
      </c>
      <c r="L2737" s="37"/>
    </row>
    <row r="2738" spans="1:12" x14ac:dyDescent="0.25">
      <c r="A2738" s="13"/>
      <c r="B2738" s="9" cm="1">
        <f t="array" ref="B2738">SUMPRODUCT((Tablo3[Personel Ad]=A2738)*(Tablo3[Ürün Kar Tutarı]))</f>
        <v>0</v>
      </c>
      <c r="D2738" s="14"/>
      <c r="F2738" s="9" cm="1">
        <f t="array" ref="F2738">SUMPRODUCT((Tablo3[Şehirler]=E2738)*(Tablo3[Ürün Kar Tutarı]))</f>
        <v>0</v>
      </c>
      <c r="H2738" s="14"/>
      <c r="J2738" s="9" cm="1">
        <f t="array" ref="J2738">SUMPRODUCT((Tablo3[Urun Ad]=I2738)*(Tablo3[Ürün Kar Tutarı]))</f>
        <v>0</v>
      </c>
      <c r="L2738" s="37"/>
    </row>
    <row r="2739" spans="1:12" x14ac:dyDescent="0.25">
      <c r="A2739" s="13"/>
      <c r="B2739" s="9" cm="1">
        <f t="array" ref="B2739">SUMPRODUCT((Tablo3[Personel Ad]=A2739)*(Tablo3[Ürün Kar Tutarı]))</f>
        <v>0</v>
      </c>
      <c r="D2739" s="14"/>
      <c r="F2739" s="9" cm="1">
        <f t="array" ref="F2739">SUMPRODUCT((Tablo3[Şehirler]=E2739)*(Tablo3[Ürün Kar Tutarı]))</f>
        <v>0</v>
      </c>
      <c r="H2739" s="14"/>
      <c r="J2739" s="9" cm="1">
        <f t="array" ref="J2739">SUMPRODUCT((Tablo3[Urun Ad]=I2739)*(Tablo3[Ürün Kar Tutarı]))</f>
        <v>0</v>
      </c>
      <c r="L2739" s="37"/>
    </row>
    <row r="2740" spans="1:12" x14ac:dyDescent="0.25">
      <c r="A2740" s="13"/>
      <c r="B2740" s="9" cm="1">
        <f t="array" ref="B2740">SUMPRODUCT((Tablo3[Personel Ad]=A2740)*(Tablo3[Ürün Kar Tutarı]))</f>
        <v>0</v>
      </c>
      <c r="D2740" s="14"/>
      <c r="F2740" s="9" cm="1">
        <f t="array" ref="F2740">SUMPRODUCT((Tablo3[Şehirler]=E2740)*(Tablo3[Ürün Kar Tutarı]))</f>
        <v>0</v>
      </c>
      <c r="H2740" s="14"/>
      <c r="J2740" s="9" cm="1">
        <f t="array" ref="J2740">SUMPRODUCT((Tablo3[Urun Ad]=I2740)*(Tablo3[Ürün Kar Tutarı]))</f>
        <v>0</v>
      </c>
      <c r="L2740" s="37"/>
    </row>
    <row r="2741" spans="1:12" x14ac:dyDescent="0.25">
      <c r="A2741" s="13"/>
      <c r="B2741" s="9" cm="1">
        <f t="array" ref="B2741">SUMPRODUCT((Tablo3[Personel Ad]=A2741)*(Tablo3[Ürün Kar Tutarı]))</f>
        <v>0</v>
      </c>
      <c r="D2741" s="14"/>
      <c r="F2741" s="9" cm="1">
        <f t="array" ref="F2741">SUMPRODUCT((Tablo3[Şehirler]=E2741)*(Tablo3[Ürün Kar Tutarı]))</f>
        <v>0</v>
      </c>
      <c r="H2741" s="14"/>
      <c r="J2741" s="9" cm="1">
        <f t="array" ref="J2741">SUMPRODUCT((Tablo3[Urun Ad]=I2741)*(Tablo3[Ürün Kar Tutarı]))</f>
        <v>0</v>
      </c>
      <c r="L2741" s="37"/>
    </row>
    <row r="2742" spans="1:12" x14ac:dyDescent="0.25">
      <c r="A2742" s="13"/>
      <c r="B2742" s="9" cm="1">
        <f t="array" ref="B2742">SUMPRODUCT((Tablo3[Personel Ad]=A2742)*(Tablo3[Ürün Kar Tutarı]))</f>
        <v>0</v>
      </c>
      <c r="D2742" s="14"/>
      <c r="F2742" s="9" cm="1">
        <f t="array" ref="F2742">SUMPRODUCT((Tablo3[Şehirler]=E2742)*(Tablo3[Ürün Kar Tutarı]))</f>
        <v>0</v>
      </c>
      <c r="H2742" s="14"/>
      <c r="J2742" s="9" cm="1">
        <f t="array" ref="J2742">SUMPRODUCT((Tablo3[Urun Ad]=I2742)*(Tablo3[Ürün Kar Tutarı]))</f>
        <v>0</v>
      </c>
      <c r="L2742" s="37"/>
    </row>
    <row r="2743" spans="1:12" x14ac:dyDescent="0.25">
      <c r="A2743" s="13"/>
      <c r="B2743" s="9" cm="1">
        <f t="array" ref="B2743">SUMPRODUCT((Tablo3[Personel Ad]=A2743)*(Tablo3[Ürün Kar Tutarı]))</f>
        <v>0</v>
      </c>
      <c r="D2743" s="14"/>
      <c r="F2743" s="9" cm="1">
        <f t="array" ref="F2743">SUMPRODUCT((Tablo3[Şehirler]=E2743)*(Tablo3[Ürün Kar Tutarı]))</f>
        <v>0</v>
      </c>
      <c r="H2743" s="14"/>
      <c r="J2743" s="9" cm="1">
        <f t="array" ref="J2743">SUMPRODUCT((Tablo3[Urun Ad]=I2743)*(Tablo3[Ürün Kar Tutarı]))</f>
        <v>0</v>
      </c>
      <c r="L2743" s="37"/>
    </row>
    <row r="2744" spans="1:12" x14ac:dyDescent="0.25">
      <c r="A2744" s="13"/>
      <c r="B2744" s="9" cm="1">
        <f t="array" ref="B2744">SUMPRODUCT((Tablo3[Personel Ad]=A2744)*(Tablo3[Ürün Kar Tutarı]))</f>
        <v>0</v>
      </c>
      <c r="D2744" s="14"/>
      <c r="F2744" s="9" cm="1">
        <f t="array" ref="F2744">SUMPRODUCT((Tablo3[Şehirler]=E2744)*(Tablo3[Ürün Kar Tutarı]))</f>
        <v>0</v>
      </c>
      <c r="H2744" s="14"/>
      <c r="J2744" s="9" cm="1">
        <f t="array" ref="J2744">SUMPRODUCT((Tablo3[Urun Ad]=I2744)*(Tablo3[Ürün Kar Tutarı]))</f>
        <v>0</v>
      </c>
      <c r="L2744" s="37"/>
    </row>
    <row r="2745" spans="1:12" x14ac:dyDescent="0.25">
      <c r="A2745" s="13"/>
      <c r="B2745" s="9" cm="1">
        <f t="array" ref="B2745">SUMPRODUCT((Tablo3[Personel Ad]=A2745)*(Tablo3[Ürün Kar Tutarı]))</f>
        <v>0</v>
      </c>
      <c r="D2745" s="14"/>
      <c r="F2745" s="9" cm="1">
        <f t="array" ref="F2745">SUMPRODUCT((Tablo3[Şehirler]=E2745)*(Tablo3[Ürün Kar Tutarı]))</f>
        <v>0</v>
      </c>
      <c r="H2745" s="14"/>
      <c r="J2745" s="9" cm="1">
        <f t="array" ref="J2745">SUMPRODUCT((Tablo3[Urun Ad]=I2745)*(Tablo3[Ürün Kar Tutarı]))</f>
        <v>0</v>
      </c>
      <c r="L2745" s="37"/>
    </row>
    <row r="2746" spans="1:12" x14ac:dyDescent="0.25">
      <c r="A2746" s="13"/>
      <c r="B2746" s="9" cm="1">
        <f t="array" ref="B2746">SUMPRODUCT((Tablo3[Personel Ad]=A2746)*(Tablo3[Ürün Kar Tutarı]))</f>
        <v>0</v>
      </c>
      <c r="D2746" s="14"/>
      <c r="F2746" s="9" cm="1">
        <f t="array" ref="F2746">SUMPRODUCT((Tablo3[Şehirler]=E2746)*(Tablo3[Ürün Kar Tutarı]))</f>
        <v>0</v>
      </c>
      <c r="H2746" s="14"/>
      <c r="J2746" s="9" cm="1">
        <f t="array" ref="J2746">SUMPRODUCT((Tablo3[Urun Ad]=I2746)*(Tablo3[Ürün Kar Tutarı]))</f>
        <v>0</v>
      </c>
      <c r="L2746" s="37"/>
    </row>
    <row r="2747" spans="1:12" x14ac:dyDescent="0.25">
      <c r="A2747" s="13"/>
      <c r="B2747" s="9" cm="1">
        <f t="array" ref="B2747">SUMPRODUCT((Tablo3[Personel Ad]=A2747)*(Tablo3[Ürün Kar Tutarı]))</f>
        <v>0</v>
      </c>
      <c r="D2747" s="14"/>
      <c r="F2747" s="9" cm="1">
        <f t="array" ref="F2747">SUMPRODUCT((Tablo3[Şehirler]=E2747)*(Tablo3[Ürün Kar Tutarı]))</f>
        <v>0</v>
      </c>
      <c r="H2747" s="14"/>
      <c r="J2747" s="9" cm="1">
        <f t="array" ref="J2747">SUMPRODUCT((Tablo3[Urun Ad]=I2747)*(Tablo3[Ürün Kar Tutarı]))</f>
        <v>0</v>
      </c>
      <c r="L2747" s="37"/>
    </row>
    <row r="2748" spans="1:12" x14ac:dyDescent="0.25">
      <c r="A2748" s="13"/>
      <c r="B2748" s="9" cm="1">
        <f t="array" ref="B2748">SUMPRODUCT((Tablo3[Personel Ad]=A2748)*(Tablo3[Ürün Kar Tutarı]))</f>
        <v>0</v>
      </c>
      <c r="D2748" s="14"/>
      <c r="F2748" s="9" cm="1">
        <f t="array" ref="F2748">SUMPRODUCT((Tablo3[Şehirler]=E2748)*(Tablo3[Ürün Kar Tutarı]))</f>
        <v>0</v>
      </c>
      <c r="H2748" s="14"/>
      <c r="J2748" s="9" cm="1">
        <f t="array" ref="J2748">SUMPRODUCT((Tablo3[Urun Ad]=I2748)*(Tablo3[Ürün Kar Tutarı]))</f>
        <v>0</v>
      </c>
      <c r="L2748" s="37"/>
    </row>
    <row r="2749" spans="1:12" x14ac:dyDescent="0.25">
      <c r="A2749" s="13"/>
      <c r="B2749" s="9" cm="1">
        <f t="array" ref="B2749">SUMPRODUCT((Tablo3[Personel Ad]=A2749)*(Tablo3[Ürün Kar Tutarı]))</f>
        <v>0</v>
      </c>
      <c r="D2749" s="14"/>
      <c r="F2749" s="9" cm="1">
        <f t="array" ref="F2749">SUMPRODUCT((Tablo3[Şehirler]=E2749)*(Tablo3[Ürün Kar Tutarı]))</f>
        <v>0</v>
      </c>
      <c r="H2749" s="14"/>
      <c r="J2749" s="9" cm="1">
        <f t="array" ref="J2749">SUMPRODUCT((Tablo3[Urun Ad]=I2749)*(Tablo3[Ürün Kar Tutarı]))</f>
        <v>0</v>
      </c>
      <c r="L2749" s="37"/>
    </row>
    <row r="2750" spans="1:12" x14ac:dyDescent="0.25">
      <c r="A2750" s="13"/>
      <c r="B2750" s="9" cm="1">
        <f t="array" ref="B2750">SUMPRODUCT((Tablo3[Personel Ad]=A2750)*(Tablo3[Ürün Kar Tutarı]))</f>
        <v>0</v>
      </c>
      <c r="D2750" s="14"/>
      <c r="F2750" s="9" cm="1">
        <f t="array" ref="F2750">SUMPRODUCT((Tablo3[Şehirler]=E2750)*(Tablo3[Ürün Kar Tutarı]))</f>
        <v>0</v>
      </c>
      <c r="H2750" s="14"/>
      <c r="J2750" s="9" cm="1">
        <f t="array" ref="J2750">SUMPRODUCT((Tablo3[Urun Ad]=I2750)*(Tablo3[Ürün Kar Tutarı]))</f>
        <v>0</v>
      </c>
      <c r="L2750" s="37"/>
    </row>
    <row r="2751" spans="1:12" x14ac:dyDescent="0.25">
      <c r="A2751" s="13"/>
      <c r="B2751" s="9" cm="1">
        <f t="array" ref="B2751">SUMPRODUCT((Tablo3[Personel Ad]=A2751)*(Tablo3[Ürün Kar Tutarı]))</f>
        <v>0</v>
      </c>
      <c r="D2751" s="14"/>
      <c r="F2751" s="9" cm="1">
        <f t="array" ref="F2751">SUMPRODUCT((Tablo3[Şehirler]=E2751)*(Tablo3[Ürün Kar Tutarı]))</f>
        <v>0</v>
      </c>
      <c r="H2751" s="14"/>
      <c r="J2751" s="9" cm="1">
        <f t="array" ref="J2751">SUMPRODUCT((Tablo3[Urun Ad]=I2751)*(Tablo3[Ürün Kar Tutarı]))</f>
        <v>0</v>
      </c>
      <c r="L2751" s="37"/>
    </row>
    <row r="2752" spans="1:12" x14ac:dyDescent="0.25">
      <c r="A2752" s="13"/>
      <c r="B2752" s="9" cm="1">
        <f t="array" ref="B2752">SUMPRODUCT((Tablo3[Personel Ad]=A2752)*(Tablo3[Ürün Kar Tutarı]))</f>
        <v>0</v>
      </c>
      <c r="D2752" s="14"/>
      <c r="F2752" s="9" cm="1">
        <f t="array" ref="F2752">SUMPRODUCT((Tablo3[Şehirler]=E2752)*(Tablo3[Ürün Kar Tutarı]))</f>
        <v>0</v>
      </c>
      <c r="H2752" s="14"/>
      <c r="J2752" s="9" cm="1">
        <f t="array" ref="J2752">SUMPRODUCT((Tablo3[Urun Ad]=I2752)*(Tablo3[Ürün Kar Tutarı]))</f>
        <v>0</v>
      </c>
      <c r="L2752" s="37"/>
    </row>
    <row r="2753" spans="1:12" x14ac:dyDescent="0.25">
      <c r="A2753" s="13"/>
      <c r="B2753" s="9" cm="1">
        <f t="array" ref="B2753">SUMPRODUCT((Tablo3[Personel Ad]=A2753)*(Tablo3[Ürün Kar Tutarı]))</f>
        <v>0</v>
      </c>
      <c r="D2753" s="14"/>
      <c r="F2753" s="9" cm="1">
        <f t="array" ref="F2753">SUMPRODUCT((Tablo3[Şehirler]=E2753)*(Tablo3[Ürün Kar Tutarı]))</f>
        <v>0</v>
      </c>
      <c r="H2753" s="14"/>
      <c r="J2753" s="9" cm="1">
        <f t="array" ref="J2753">SUMPRODUCT((Tablo3[Urun Ad]=I2753)*(Tablo3[Ürün Kar Tutarı]))</f>
        <v>0</v>
      </c>
      <c r="L2753" s="37"/>
    </row>
    <row r="2754" spans="1:12" x14ac:dyDescent="0.25">
      <c r="A2754" s="13"/>
      <c r="B2754" s="9" cm="1">
        <f t="array" ref="B2754">SUMPRODUCT((Tablo3[Personel Ad]=A2754)*(Tablo3[Ürün Kar Tutarı]))</f>
        <v>0</v>
      </c>
      <c r="D2754" s="14"/>
      <c r="F2754" s="9" cm="1">
        <f t="array" ref="F2754">SUMPRODUCT((Tablo3[Şehirler]=E2754)*(Tablo3[Ürün Kar Tutarı]))</f>
        <v>0</v>
      </c>
      <c r="H2754" s="14"/>
      <c r="J2754" s="9" cm="1">
        <f t="array" ref="J2754">SUMPRODUCT((Tablo3[Urun Ad]=I2754)*(Tablo3[Ürün Kar Tutarı]))</f>
        <v>0</v>
      </c>
      <c r="L2754" s="37"/>
    </row>
    <row r="2755" spans="1:12" x14ac:dyDescent="0.25">
      <c r="A2755" s="13"/>
      <c r="B2755" s="9" cm="1">
        <f t="array" ref="B2755">SUMPRODUCT((Tablo3[Personel Ad]=A2755)*(Tablo3[Ürün Kar Tutarı]))</f>
        <v>0</v>
      </c>
      <c r="D2755" s="14"/>
      <c r="F2755" s="9" cm="1">
        <f t="array" ref="F2755">SUMPRODUCT((Tablo3[Şehirler]=E2755)*(Tablo3[Ürün Kar Tutarı]))</f>
        <v>0</v>
      </c>
      <c r="H2755" s="14"/>
      <c r="J2755" s="9" cm="1">
        <f t="array" ref="J2755">SUMPRODUCT((Tablo3[Urun Ad]=I2755)*(Tablo3[Ürün Kar Tutarı]))</f>
        <v>0</v>
      </c>
      <c r="L2755" s="37"/>
    </row>
    <row r="2756" spans="1:12" x14ac:dyDescent="0.25">
      <c r="A2756" s="13"/>
      <c r="B2756" s="9" cm="1">
        <f t="array" ref="B2756">SUMPRODUCT((Tablo3[Personel Ad]=A2756)*(Tablo3[Ürün Kar Tutarı]))</f>
        <v>0</v>
      </c>
      <c r="D2756" s="14"/>
      <c r="F2756" s="9" cm="1">
        <f t="array" ref="F2756">SUMPRODUCT((Tablo3[Şehirler]=E2756)*(Tablo3[Ürün Kar Tutarı]))</f>
        <v>0</v>
      </c>
      <c r="H2756" s="14"/>
      <c r="J2756" s="9" cm="1">
        <f t="array" ref="J2756">SUMPRODUCT((Tablo3[Urun Ad]=I2756)*(Tablo3[Ürün Kar Tutarı]))</f>
        <v>0</v>
      </c>
      <c r="L2756" s="37"/>
    </row>
    <row r="2757" spans="1:12" x14ac:dyDescent="0.25">
      <c r="A2757" s="13"/>
      <c r="B2757" s="9" cm="1">
        <f t="array" ref="B2757">SUMPRODUCT((Tablo3[Personel Ad]=A2757)*(Tablo3[Ürün Kar Tutarı]))</f>
        <v>0</v>
      </c>
      <c r="D2757" s="14"/>
      <c r="F2757" s="9" cm="1">
        <f t="array" ref="F2757">SUMPRODUCT((Tablo3[Şehirler]=E2757)*(Tablo3[Ürün Kar Tutarı]))</f>
        <v>0</v>
      </c>
      <c r="H2757" s="14"/>
      <c r="J2757" s="9" cm="1">
        <f t="array" ref="J2757">SUMPRODUCT((Tablo3[Urun Ad]=I2757)*(Tablo3[Ürün Kar Tutarı]))</f>
        <v>0</v>
      </c>
      <c r="L2757" s="37"/>
    </row>
    <row r="2758" spans="1:12" x14ac:dyDescent="0.25">
      <c r="A2758" s="13"/>
      <c r="B2758" s="9" cm="1">
        <f t="array" ref="B2758">SUMPRODUCT((Tablo3[Personel Ad]=A2758)*(Tablo3[Ürün Kar Tutarı]))</f>
        <v>0</v>
      </c>
      <c r="D2758" s="14"/>
      <c r="F2758" s="9" cm="1">
        <f t="array" ref="F2758">SUMPRODUCT((Tablo3[Şehirler]=E2758)*(Tablo3[Ürün Kar Tutarı]))</f>
        <v>0</v>
      </c>
      <c r="H2758" s="14"/>
      <c r="J2758" s="9" cm="1">
        <f t="array" ref="J2758">SUMPRODUCT((Tablo3[Urun Ad]=I2758)*(Tablo3[Ürün Kar Tutarı]))</f>
        <v>0</v>
      </c>
      <c r="L2758" s="37"/>
    </row>
    <row r="2759" spans="1:12" x14ac:dyDescent="0.25">
      <c r="A2759" s="13"/>
      <c r="B2759" s="9" cm="1">
        <f t="array" ref="B2759">SUMPRODUCT((Tablo3[Personel Ad]=A2759)*(Tablo3[Ürün Kar Tutarı]))</f>
        <v>0</v>
      </c>
      <c r="D2759" s="14"/>
      <c r="F2759" s="9" cm="1">
        <f t="array" ref="F2759">SUMPRODUCT((Tablo3[Şehirler]=E2759)*(Tablo3[Ürün Kar Tutarı]))</f>
        <v>0</v>
      </c>
      <c r="H2759" s="14"/>
      <c r="J2759" s="9" cm="1">
        <f t="array" ref="J2759">SUMPRODUCT((Tablo3[Urun Ad]=I2759)*(Tablo3[Ürün Kar Tutarı]))</f>
        <v>0</v>
      </c>
      <c r="L2759" s="37"/>
    </row>
    <row r="2760" spans="1:12" x14ac:dyDescent="0.25">
      <c r="A2760" s="13"/>
      <c r="B2760" s="9" cm="1">
        <f t="array" ref="B2760">SUMPRODUCT((Tablo3[Personel Ad]=A2760)*(Tablo3[Ürün Kar Tutarı]))</f>
        <v>0</v>
      </c>
      <c r="D2760" s="14"/>
      <c r="F2760" s="9" cm="1">
        <f t="array" ref="F2760">SUMPRODUCT((Tablo3[Şehirler]=E2760)*(Tablo3[Ürün Kar Tutarı]))</f>
        <v>0</v>
      </c>
      <c r="H2760" s="14"/>
      <c r="J2760" s="9" cm="1">
        <f t="array" ref="J2760">SUMPRODUCT((Tablo3[Urun Ad]=I2760)*(Tablo3[Ürün Kar Tutarı]))</f>
        <v>0</v>
      </c>
      <c r="L2760" s="37"/>
    </row>
    <row r="2761" spans="1:12" x14ac:dyDescent="0.25">
      <c r="A2761" s="13"/>
      <c r="B2761" s="9" cm="1">
        <f t="array" ref="B2761">SUMPRODUCT((Tablo3[Personel Ad]=A2761)*(Tablo3[Ürün Kar Tutarı]))</f>
        <v>0</v>
      </c>
      <c r="D2761" s="14"/>
      <c r="F2761" s="9" cm="1">
        <f t="array" ref="F2761">SUMPRODUCT((Tablo3[Şehirler]=E2761)*(Tablo3[Ürün Kar Tutarı]))</f>
        <v>0</v>
      </c>
      <c r="H2761" s="14"/>
      <c r="J2761" s="9" cm="1">
        <f t="array" ref="J2761">SUMPRODUCT((Tablo3[Urun Ad]=I2761)*(Tablo3[Ürün Kar Tutarı]))</f>
        <v>0</v>
      </c>
      <c r="L2761" s="37"/>
    </row>
    <row r="2762" spans="1:12" x14ac:dyDescent="0.25">
      <c r="A2762" s="13"/>
      <c r="B2762" s="9" cm="1">
        <f t="array" ref="B2762">SUMPRODUCT((Tablo3[Personel Ad]=A2762)*(Tablo3[Ürün Kar Tutarı]))</f>
        <v>0</v>
      </c>
      <c r="D2762" s="14"/>
      <c r="F2762" s="9" cm="1">
        <f t="array" ref="F2762">SUMPRODUCT((Tablo3[Şehirler]=E2762)*(Tablo3[Ürün Kar Tutarı]))</f>
        <v>0</v>
      </c>
      <c r="H2762" s="14"/>
      <c r="J2762" s="9" cm="1">
        <f t="array" ref="J2762">SUMPRODUCT((Tablo3[Urun Ad]=I2762)*(Tablo3[Ürün Kar Tutarı]))</f>
        <v>0</v>
      </c>
      <c r="L2762" s="37"/>
    </row>
    <row r="2763" spans="1:12" x14ac:dyDescent="0.25">
      <c r="A2763" s="13"/>
      <c r="B2763" s="9" cm="1">
        <f t="array" ref="B2763">SUMPRODUCT((Tablo3[Personel Ad]=A2763)*(Tablo3[Ürün Kar Tutarı]))</f>
        <v>0</v>
      </c>
      <c r="D2763" s="14"/>
      <c r="F2763" s="9" cm="1">
        <f t="array" ref="F2763">SUMPRODUCT((Tablo3[Şehirler]=E2763)*(Tablo3[Ürün Kar Tutarı]))</f>
        <v>0</v>
      </c>
      <c r="H2763" s="14"/>
      <c r="J2763" s="9" cm="1">
        <f t="array" ref="J2763">SUMPRODUCT((Tablo3[Urun Ad]=I2763)*(Tablo3[Ürün Kar Tutarı]))</f>
        <v>0</v>
      </c>
      <c r="L2763" s="37"/>
    </row>
    <row r="2764" spans="1:12" x14ac:dyDescent="0.25">
      <c r="A2764" s="13"/>
      <c r="B2764" s="9" cm="1">
        <f t="array" ref="B2764">SUMPRODUCT((Tablo3[Personel Ad]=A2764)*(Tablo3[Ürün Kar Tutarı]))</f>
        <v>0</v>
      </c>
      <c r="D2764" s="14"/>
      <c r="F2764" s="9" cm="1">
        <f t="array" ref="F2764">SUMPRODUCT((Tablo3[Şehirler]=E2764)*(Tablo3[Ürün Kar Tutarı]))</f>
        <v>0</v>
      </c>
      <c r="H2764" s="14"/>
      <c r="J2764" s="9" cm="1">
        <f t="array" ref="J2764">SUMPRODUCT((Tablo3[Urun Ad]=I2764)*(Tablo3[Ürün Kar Tutarı]))</f>
        <v>0</v>
      </c>
      <c r="L2764" s="37"/>
    </row>
    <row r="2765" spans="1:12" x14ac:dyDescent="0.25">
      <c r="A2765" s="13"/>
      <c r="B2765" s="9" cm="1">
        <f t="array" ref="B2765">SUMPRODUCT((Tablo3[Personel Ad]=A2765)*(Tablo3[Ürün Kar Tutarı]))</f>
        <v>0</v>
      </c>
      <c r="D2765" s="14"/>
      <c r="F2765" s="9" cm="1">
        <f t="array" ref="F2765">SUMPRODUCT((Tablo3[Şehirler]=E2765)*(Tablo3[Ürün Kar Tutarı]))</f>
        <v>0</v>
      </c>
      <c r="H2765" s="14"/>
      <c r="J2765" s="9" cm="1">
        <f t="array" ref="J2765">SUMPRODUCT((Tablo3[Urun Ad]=I2765)*(Tablo3[Ürün Kar Tutarı]))</f>
        <v>0</v>
      </c>
      <c r="L2765" s="37"/>
    </row>
    <row r="2766" spans="1:12" x14ac:dyDescent="0.25">
      <c r="A2766" s="13"/>
      <c r="B2766" s="9" cm="1">
        <f t="array" ref="B2766">SUMPRODUCT((Tablo3[Personel Ad]=A2766)*(Tablo3[Ürün Kar Tutarı]))</f>
        <v>0</v>
      </c>
      <c r="D2766" s="14"/>
      <c r="F2766" s="9" cm="1">
        <f t="array" ref="F2766">SUMPRODUCT((Tablo3[Şehirler]=E2766)*(Tablo3[Ürün Kar Tutarı]))</f>
        <v>0</v>
      </c>
      <c r="H2766" s="14"/>
      <c r="J2766" s="9" cm="1">
        <f t="array" ref="J2766">SUMPRODUCT((Tablo3[Urun Ad]=I2766)*(Tablo3[Ürün Kar Tutarı]))</f>
        <v>0</v>
      </c>
      <c r="L2766" s="37"/>
    </row>
    <row r="2767" spans="1:12" x14ac:dyDescent="0.25">
      <c r="A2767" s="13"/>
      <c r="B2767" s="9" cm="1">
        <f t="array" ref="B2767">SUMPRODUCT((Tablo3[Personel Ad]=A2767)*(Tablo3[Ürün Kar Tutarı]))</f>
        <v>0</v>
      </c>
      <c r="D2767" s="14"/>
      <c r="F2767" s="9" cm="1">
        <f t="array" ref="F2767">SUMPRODUCT((Tablo3[Şehirler]=E2767)*(Tablo3[Ürün Kar Tutarı]))</f>
        <v>0</v>
      </c>
      <c r="H2767" s="14"/>
      <c r="J2767" s="9" cm="1">
        <f t="array" ref="J2767">SUMPRODUCT((Tablo3[Urun Ad]=I2767)*(Tablo3[Ürün Kar Tutarı]))</f>
        <v>0</v>
      </c>
      <c r="L2767" s="37"/>
    </row>
    <row r="2768" spans="1:12" x14ac:dyDescent="0.25">
      <c r="A2768" s="13"/>
      <c r="B2768" s="9" cm="1">
        <f t="array" ref="B2768">SUMPRODUCT((Tablo3[Personel Ad]=A2768)*(Tablo3[Ürün Kar Tutarı]))</f>
        <v>0</v>
      </c>
      <c r="D2768" s="14"/>
      <c r="F2768" s="9" cm="1">
        <f t="array" ref="F2768">SUMPRODUCT((Tablo3[Şehirler]=E2768)*(Tablo3[Ürün Kar Tutarı]))</f>
        <v>0</v>
      </c>
      <c r="H2768" s="14"/>
      <c r="J2768" s="9" cm="1">
        <f t="array" ref="J2768">SUMPRODUCT((Tablo3[Urun Ad]=I2768)*(Tablo3[Ürün Kar Tutarı]))</f>
        <v>0</v>
      </c>
      <c r="L2768" s="37"/>
    </row>
    <row r="2769" spans="1:12" x14ac:dyDescent="0.25">
      <c r="A2769" s="13"/>
      <c r="B2769" s="9" cm="1">
        <f t="array" ref="B2769">SUMPRODUCT((Tablo3[Personel Ad]=A2769)*(Tablo3[Ürün Kar Tutarı]))</f>
        <v>0</v>
      </c>
      <c r="D2769" s="14"/>
      <c r="F2769" s="9" cm="1">
        <f t="array" ref="F2769">SUMPRODUCT((Tablo3[Şehirler]=E2769)*(Tablo3[Ürün Kar Tutarı]))</f>
        <v>0</v>
      </c>
      <c r="H2769" s="14"/>
      <c r="J2769" s="9" cm="1">
        <f t="array" ref="J2769">SUMPRODUCT((Tablo3[Urun Ad]=I2769)*(Tablo3[Ürün Kar Tutarı]))</f>
        <v>0</v>
      </c>
      <c r="L2769" s="37"/>
    </row>
    <row r="2770" spans="1:12" x14ac:dyDescent="0.25">
      <c r="A2770" s="13"/>
      <c r="B2770" s="9" cm="1">
        <f t="array" ref="B2770">SUMPRODUCT((Tablo3[Personel Ad]=A2770)*(Tablo3[Ürün Kar Tutarı]))</f>
        <v>0</v>
      </c>
      <c r="D2770" s="14"/>
      <c r="F2770" s="9" cm="1">
        <f t="array" ref="F2770">SUMPRODUCT((Tablo3[Şehirler]=E2770)*(Tablo3[Ürün Kar Tutarı]))</f>
        <v>0</v>
      </c>
      <c r="H2770" s="14"/>
      <c r="J2770" s="9" cm="1">
        <f t="array" ref="J2770">SUMPRODUCT((Tablo3[Urun Ad]=I2770)*(Tablo3[Ürün Kar Tutarı]))</f>
        <v>0</v>
      </c>
      <c r="L2770" s="37"/>
    </row>
    <row r="2771" spans="1:12" x14ac:dyDescent="0.25">
      <c r="A2771" s="13"/>
      <c r="B2771" s="9" cm="1">
        <f t="array" ref="B2771">SUMPRODUCT((Tablo3[Personel Ad]=A2771)*(Tablo3[Ürün Kar Tutarı]))</f>
        <v>0</v>
      </c>
      <c r="D2771" s="14"/>
      <c r="F2771" s="9" cm="1">
        <f t="array" ref="F2771">SUMPRODUCT((Tablo3[Şehirler]=E2771)*(Tablo3[Ürün Kar Tutarı]))</f>
        <v>0</v>
      </c>
      <c r="H2771" s="14"/>
      <c r="J2771" s="9" cm="1">
        <f t="array" ref="J2771">SUMPRODUCT((Tablo3[Urun Ad]=I2771)*(Tablo3[Ürün Kar Tutarı]))</f>
        <v>0</v>
      </c>
      <c r="L2771" s="37"/>
    </row>
    <row r="2772" spans="1:12" x14ac:dyDescent="0.25">
      <c r="A2772" s="13"/>
      <c r="B2772" s="9" cm="1">
        <f t="array" ref="B2772">SUMPRODUCT((Tablo3[Personel Ad]=A2772)*(Tablo3[Ürün Kar Tutarı]))</f>
        <v>0</v>
      </c>
      <c r="D2772" s="14"/>
      <c r="F2772" s="9" cm="1">
        <f t="array" ref="F2772">SUMPRODUCT((Tablo3[Şehirler]=E2772)*(Tablo3[Ürün Kar Tutarı]))</f>
        <v>0</v>
      </c>
      <c r="H2772" s="14"/>
      <c r="J2772" s="9" cm="1">
        <f t="array" ref="J2772">SUMPRODUCT((Tablo3[Urun Ad]=I2772)*(Tablo3[Ürün Kar Tutarı]))</f>
        <v>0</v>
      </c>
      <c r="L2772" s="37"/>
    </row>
    <row r="2773" spans="1:12" x14ac:dyDescent="0.25">
      <c r="A2773" s="13"/>
      <c r="B2773" s="9" cm="1">
        <f t="array" ref="B2773">SUMPRODUCT((Tablo3[Personel Ad]=A2773)*(Tablo3[Ürün Kar Tutarı]))</f>
        <v>0</v>
      </c>
      <c r="D2773" s="14"/>
      <c r="F2773" s="9" cm="1">
        <f t="array" ref="F2773">SUMPRODUCT((Tablo3[Şehirler]=E2773)*(Tablo3[Ürün Kar Tutarı]))</f>
        <v>0</v>
      </c>
      <c r="H2773" s="14"/>
      <c r="J2773" s="9" cm="1">
        <f t="array" ref="J2773">SUMPRODUCT((Tablo3[Urun Ad]=I2773)*(Tablo3[Ürün Kar Tutarı]))</f>
        <v>0</v>
      </c>
      <c r="L2773" s="37"/>
    </row>
    <row r="2774" spans="1:12" x14ac:dyDescent="0.25">
      <c r="A2774" s="13"/>
      <c r="B2774" s="9" cm="1">
        <f t="array" ref="B2774">SUMPRODUCT((Tablo3[Personel Ad]=A2774)*(Tablo3[Ürün Kar Tutarı]))</f>
        <v>0</v>
      </c>
      <c r="D2774" s="14"/>
      <c r="F2774" s="9" cm="1">
        <f t="array" ref="F2774">SUMPRODUCT((Tablo3[Şehirler]=E2774)*(Tablo3[Ürün Kar Tutarı]))</f>
        <v>0</v>
      </c>
      <c r="H2774" s="14"/>
      <c r="J2774" s="9" cm="1">
        <f t="array" ref="J2774">SUMPRODUCT((Tablo3[Urun Ad]=I2774)*(Tablo3[Ürün Kar Tutarı]))</f>
        <v>0</v>
      </c>
      <c r="L2774" s="37"/>
    </row>
    <row r="2775" spans="1:12" x14ac:dyDescent="0.25">
      <c r="A2775" s="13"/>
      <c r="B2775" s="9" cm="1">
        <f t="array" ref="B2775">SUMPRODUCT((Tablo3[Personel Ad]=A2775)*(Tablo3[Ürün Kar Tutarı]))</f>
        <v>0</v>
      </c>
      <c r="D2775" s="14"/>
      <c r="F2775" s="9" cm="1">
        <f t="array" ref="F2775">SUMPRODUCT((Tablo3[Şehirler]=E2775)*(Tablo3[Ürün Kar Tutarı]))</f>
        <v>0</v>
      </c>
      <c r="H2775" s="14"/>
      <c r="J2775" s="9" cm="1">
        <f t="array" ref="J2775">SUMPRODUCT((Tablo3[Urun Ad]=I2775)*(Tablo3[Ürün Kar Tutarı]))</f>
        <v>0</v>
      </c>
      <c r="L2775" s="37"/>
    </row>
    <row r="2776" spans="1:12" x14ac:dyDescent="0.25">
      <c r="A2776" s="13"/>
      <c r="B2776" s="9" cm="1">
        <f t="array" ref="B2776">SUMPRODUCT((Tablo3[Personel Ad]=A2776)*(Tablo3[Ürün Kar Tutarı]))</f>
        <v>0</v>
      </c>
      <c r="D2776" s="14"/>
      <c r="F2776" s="9" cm="1">
        <f t="array" ref="F2776">SUMPRODUCT((Tablo3[Şehirler]=E2776)*(Tablo3[Ürün Kar Tutarı]))</f>
        <v>0</v>
      </c>
      <c r="H2776" s="14"/>
      <c r="J2776" s="9" cm="1">
        <f t="array" ref="J2776">SUMPRODUCT((Tablo3[Urun Ad]=I2776)*(Tablo3[Ürün Kar Tutarı]))</f>
        <v>0</v>
      </c>
      <c r="L2776" s="37"/>
    </row>
    <row r="2777" spans="1:12" x14ac:dyDescent="0.25">
      <c r="A2777" s="13"/>
      <c r="B2777" s="9" cm="1">
        <f t="array" ref="B2777">SUMPRODUCT((Tablo3[Personel Ad]=A2777)*(Tablo3[Ürün Kar Tutarı]))</f>
        <v>0</v>
      </c>
      <c r="D2777" s="14"/>
      <c r="F2777" s="9" cm="1">
        <f t="array" ref="F2777">SUMPRODUCT((Tablo3[Şehirler]=E2777)*(Tablo3[Ürün Kar Tutarı]))</f>
        <v>0</v>
      </c>
      <c r="H2777" s="14"/>
      <c r="J2777" s="9" cm="1">
        <f t="array" ref="J2777">SUMPRODUCT((Tablo3[Urun Ad]=I2777)*(Tablo3[Ürün Kar Tutarı]))</f>
        <v>0</v>
      </c>
      <c r="L2777" s="37"/>
    </row>
    <row r="2778" spans="1:12" x14ac:dyDescent="0.25">
      <c r="A2778" s="13"/>
      <c r="B2778" s="9" cm="1">
        <f t="array" ref="B2778">SUMPRODUCT((Tablo3[Personel Ad]=A2778)*(Tablo3[Ürün Kar Tutarı]))</f>
        <v>0</v>
      </c>
      <c r="D2778" s="14"/>
      <c r="F2778" s="9" cm="1">
        <f t="array" ref="F2778">SUMPRODUCT((Tablo3[Şehirler]=E2778)*(Tablo3[Ürün Kar Tutarı]))</f>
        <v>0</v>
      </c>
      <c r="H2778" s="14"/>
      <c r="J2778" s="9" cm="1">
        <f t="array" ref="J2778">SUMPRODUCT((Tablo3[Urun Ad]=I2778)*(Tablo3[Ürün Kar Tutarı]))</f>
        <v>0</v>
      </c>
      <c r="L2778" s="37"/>
    </row>
    <row r="2779" spans="1:12" x14ac:dyDescent="0.25">
      <c r="A2779" s="13"/>
      <c r="B2779" s="9" cm="1">
        <f t="array" ref="B2779">SUMPRODUCT((Tablo3[Personel Ad]=A2779)*(Tablo3[Ürün Kar Tutarı]))</f>
        <v>0</v>
      </c>
      <c r="D2779" s="14"/>
      <c r="F2779" s="9" cm="1">
        <f t="array" ref="F2779">SUMPRODUCT((Tablo3[Şehirler]=E2779)*(Tablo3[Ürün Kar Tutarı]))</f>
        <v>0</v>
      </c>
      <c r="H2779" s="14"/>
      <c r="J2779" s="9" cm="1">
        <f t="array" ref="J2779">SUMPRODUCT((Tablo3[Urun Ad]=I2779)*(Tablo3[Ürün Kar Tutarı]))</f>
        <v>0</v>
      </c>
      <c r="L2779" s="37"/>
    </row>
    <row r="2780" spans="1:12" x14ac:dyDescent="0.25">
      <c r="A2780" s="13"/>
      <c r="B2780" s="9" cm="1">
        <f t="array" ref="B2780">SUMPRODUCT((Tablo3[Personel Ad]=A2780)*(Tablo3[Ürün Kar Tutarı]))</f>
        <v>0</v>
      </c>
      <c r="D2780" s="14"/>
      <c r="F2780" s="9" cm="1">
        <f t="array" ref="F2780">SUMPRODUCT((Tablo3[Şehirler]=E2780)*(Tablo3[Ürün Kar Tutarı]))</f>
        <v>0</v>
      </c>
      <c r="H2780" s="14"/>
      <c r="J2780" s="9" cm="1">
        <f t="array" ref="J2780">SUMPRODUCT((Tablo3[Urun Ad]=I2780)*(Tablo3[Ürün Kar Tutarı]))</f>
        <v>0</v>
      </c>
      <c r="L2780" s="37"/>
    </row>
    <row r="2781" spans="1:12" x14ac:dyDescent="0.25">
      <c r="A2781" s="13"/>
      <c r="B2781" s="9" cm="1">
        <f t="array" ref="B2781">SUMPRODUCT((Tablo3[Personel Ad]=A2781)*(Tablo3[Ürün Kar Tutarı]))</f>
        <v>0</v>
      </c>
      <c r="D2781" s="14"/>
      <c r="F2781" s="9" cm="1">
        <f t="array" ref="F2781">SUMPRODUCT((Tablo3[Şehirler]=E2781)*(Tablo3[Ürün Kar Tutarı]))</f>
        <v>0</v>
      </c>
      <c r="H2781" s="14"/>
      <c r="J2781" s="9" cm="1">
        <f t="array" ref="J2781">SUMPRODUCT((Tablo3[Urun Ad]=I2781)*(Tablo3[Ürün Kar Tutarı]))</f>
        <v>0</v>
      </c>
      <c r="L2781" s="37"/>
    </row>
    <row r="2782" spans="1:12" x14ac:dyDescent="0.25">
      <c r="A2782" s="13"/>
      <c r="B2782" s="9" cm="1">
        <f t="array" ref="B2782">SUMPRODUCT((Tablo3[Personel Ad]=A2782)*(Tablo3[Ürün Kar Tutarı]))</f>
        <v>0</v>
      </c>
      <c r="D2782" s="14"/>
      <c r="F2782" s="9" cm="1">
        <f t="array" ref="F2782">SUMPRODUCT((Tablo3[Şehirler]=E2782)*(Tablo3[Ürün Kar Tutarı]))</f>
        <v>0</v>
      </c>
      <c r="H2782" s="14"/>
      <c r="J2782" s="9" cm="1">
        <f t="array" ref="J2782">SUMPRODUCT((Tablo3[Urun Ad]=I2782)*(Tablo3[Ürün Kar Tutarı]))</f>
        <v>0</v>
      </c>
      <c r="L2782" s="37"/>
    </row>
    <row r="2783" spans="1:12" x14ac:dyDescent="0.25">
      <c r="A2783" s="13"/>
      <c r="B2783" s="9" cm="1">
        <f t="array" ref="B2783">SUMPRODUCT((Tablo3[Personel Ad]=A2783)*(Tablo3[Ürün Kar Tutarı]))</f>
        <v>0</v>
      </c>
      <c r="D2783" s="14"/>
      <c r="F2783" s="9" cm="1">
        <f t="array" ref="F2783">SUMPRODUCT((Tablo3[Şehirler]=E2783)*(Tablo3[Ürün Kar Tutarı]))</f>
        <v>0</v>
      </c>
      <c r="H2783" s="14"/>
      <c r="J2783" s="9" cm="1">
        <f t="array" ref="J2783">SUMPRODUCT((Tablo3[Urun Ad]=I2783)*(Tablo3[Ürün Kar Tutarı]))</f>
        <v>0</v>
      </c>
      <c r="L2783" s="37"/>
    </row>
    <row r="2784" spans="1:12" x14ac:dyDescent="0.25">
      <c r="A2784" s="13"/>
      <c r="B2784" s="9" cm="1">
        <f t="array" ref="B2784">SUMPRODUCT((Tablo3[Personel Ad]=A2784)*(Tablo3[Ürün Kar Tutarı]))</f>
        <v>0</v>
      </c>
      <c r="D2784" s="14"/>
      <c r="F2784" s="9" cm="1">
        <f t="array" ref="F2784">SUMPRODUCT((Tablo3[Şehirler]=E2784)*(Tablo3[Ürün Kar Tutarı]))</f>
        <v>0</v>
      </c>
      <c r="H2784" s="14"/>
      <c r="J2784" s="9" cm="1">
        <f t="array" ref="J2784">SUMPRODUCT((Tablo3[Urun Ad]=I2784)*(Tablo3[Ürün Kar Tutarı]))</f>
        <v>0</v>
      </c>
      <c r="L2784" s="37"/>
    </row>
    <row r="2785" spans="1:12" x14ac:dyDescent="0.25">
      <c r="A2785" s="13"/>
      <c r="B2785" s="9" cm="1">
        <f t="array" ref="B2785">SUMPRODUCT((Tablo3[Personel Ad]=A2785)*(Tablo3[Ürün Kar Tutarı]))</f>
        <v>0</v>
      </c>
      <c r="D2785" s="14"/>
      <c r="F2785" s="9" cm="1">
        <f t="array" ref="F2785">SUMPRODUCT((Tablo3[Şehirler]=E2785)*(Tablo3[Ürün Kar Tutarı]))</f>
        <v>0</v>
      </c>
      <c r="H2785" s="14"/>
      <c r="J2785" s="9" cm="1">
        <f t="array" ref="J2785">SUMPRODUCT((Tablo3[Urun Ad]=I2785)*(Tablo3[Ürün Kar Tutarı]))</f>
        <v>0</v>
      </c>
      <c r="L2785" s="37"/>
    </row>
    <row r="2786" spans="1:12" x14ac:dyDescent="0.25">
      <c r="A2786" s="13"/>
      <c r="B2786" s="9" cm="1">
        <f t="array" ref="B2786">SUMPRODUCT((Tablo3[Personel Ad]=A2786)*(Tablo3[Ürün Kar Tutarı]))</f>
        <v>0</v>
      </c>
      <c r="D2786" s="14"/>
      <c r="F2786" s="9" cm="1">
        <f t="array" ref="F2786">SUMPRODUCT((Tablo3[Şehirler]=E2786)*(Tablo3[Ürün Kar Tutarı]))</f>
        <v>0</v>
      </c>
      <c r="H2786" s="14"/>
      <c r="J2786" s="9" cm="1">
        <f t="array" ref="J2786">SUMPRODUCT((Tablo3[Urun Ad]=I2786)*(Tablo3[Ürün Kar Tutarı]))</f>
        <v>0</v>
      </c>
      <c r="L2786" s="37"/>
    </row>
    <row r="2787" spans="1:12" x14ac:dyDescent="0.25">
      <c r="A2787" s="13"/>
      <c r="B2787" s="9" cm="1">
        <f t="array" ref="B2787">SUMPRODUCT((Tablo3[Personel Ad]=A2787)*(Tablo3[Ürün Kar Tutarı]))</f>
        <v>0</v>
      </c>
      <c r="D2787" s="14"/>
      <c r="F2787" s="9" cm="1">
        <f t="array" ref="F2787">SUMPRODUCT((Tablo3[Şehirler]=E2787)*(Tablo3[Ürün Kar Tutarı]))</f>
        <v>0</v>
      </c>
      <c r="H2787" s="14"/>
      <c r="J2787" s="9" cm="1">
        <f t="array" ref="J2787">SUMPRODUCT((Tablo3[Urun Ad]=I2787)*(Tablo3[Ürün Kar Tutarı]))</f>
        <v>0</v>
      </c>
      <c r="L2787" s="37"/>
    </row>
    <row r="2788" spans="1:12" x14ac:dyDescent="0.25">
      <c r="A2788" s="13"/>
      <c r="B2788" s="9" cm="1">
        <f t="array" ref="B2788">SUMPRODUCT((Tablo3[Personel Ad]=A2788)*(Tablo3[Ürün Kar Tutarı]))</f>
        <v>0</v>
      </c>
      <c r="D2788" s="14"/>
      <c r="F2788" s="9" cm="1">
        <f t="array" ref="F2788">SUMPRODUCT((Tablo3[Şehirler]=E2788)*(Tablo3[Ürün Kar Tutarı]))</f>
        <v>0</v>
      </c>
      <c r="H2788" s="14"/>
      <c r="J2788" s="9" cm="1">
        <f t="array" ref="J2788">SUMPRODUCT((Tablo3[Urun Ad]=I2788)*(Tablo3[Ürün Kar Tutarı]))</f>
        <v>0</v>
      </c>
      <c r="L2788" s="37"/>
    </row>
    <row r="2789" spans="1:12" x14ac:dyDescent="0.25">
      <c r="A2789" s="13"/>
      <c r="B2789" s="9" cm="1">
        <f t="array" ref="B2789">SUMPRODUCT((Tablo3[Personel Ad]=A2789)*(Tablo3[Ürün Kar Tutarı]))</f>
        <v>0</v>
      </c>
      <c r="D2789" s="14"/>
      <c r="F2789" s="9" cm="1">
        <f t="array" ref="F2789">SUMPRODUCT((Tablo3[Şehirler]=E2789)*(Tablo3[Ürün Kar Tutarı]))</f>
        <v>0</v>
      </c>
      <c r="H2789" s="14"/>
      <c r="J2789" s="9" cm="1">
        <f t="array" ref="J2789">SUMPRODUCT((Tablo3[Urun Ad]=I2789)*(Tablo3[Ürün Kar Tutarı]))</f>
        <v>0</v>
      </c>
      <c r="L2789" s="37"/>
    </row>
    <row r="2790" spans="1:12" x14ac:dyDescent="0.25">
      <c r="A2790" s="13"/>
      <c r="B2790" s="9" cm="1">
        <f t="array" ref="B2790">SUMPRODUCT((Tablo3[Personel Ad]=A2790)*(Tablo3[Ürün Kar Tutarı]))</f>
        <v>0</v>
      </c>
      <c r="D2790" s="14"/>
      <c r="F2790" s="9" cm="1">
        <f t="array" ref="F2790">SUMPRODUCT((Tablo3[Şehirler]=E2790)*(Tablo3[Ürün Kar Tutarı]))</f>
        <v>0</v>
      </c>
      <c r="H2790" s="14"/>
      <c r="J2790" s="9" cm="1">
        <f t="array" ref="J2790">SUMPRODUCT((Tablo3[Urun Ad]=I2790)*(Tablo3[Ürün Kar Tutarı]))</f>
        <v>0</v>
      </c>
      <c r="L2790" s="37"/>
    </row>
    <row r="2791" spans="1:12" x14ac:dyDescent="0.25">
      <c r="A2791" s="13"/>
      <c r="B2791" s="9" cm="1">
        <f t="array" ref="B2791">SUMPRODUCT((Tablo3[Personel Ad]=A2791)*(Tablo3[Ürün Kar Tutarı]))</f>
        <v>0</v>
      </c>
      <c r="D2791" s="14"/>
      <c r="F2791" s="9" cm="1">
        <f t="array" ref="F2791">SUMPRODUCT((Tablo3[Şehirler]=E2791)*(Tablo3[Ürün Kar Tutarı]))</f>
        <v>0</v>
      </c>
      <c r="H2791" s="14"/>
      <c r="J2791" s="9" cm="1">
        <f t="array" ref="J2791">SUMPRODUCT((Tablo3[Urun Ad]=I2791)*(Tablo3[Ürün Kar Tutarı]))</f>
        <v>0</v>
      </c>
      <c r="L2791" s="37"/>
    </row>
    <row r="2792" spans="1:12" x14ac:dyDescent="0.25">
      <c r="A2792" s="13"/>
      <c r="B2792" s="9" cm="1">
        <f t="array" ref="B2792">SUMPRODUCT((Tablo3[Personel Ad]=A2792)*(Tablo3[Ürün Kar Tutarı]))</f>
        <v>0</v>
      </c>
      <c r="D2792" s="14"/>
      <c r="F2792" s="9" cm="1">
        <f t="array" ref="F2792">SUMPRODUCT((Tablo3[Şehirler]=E2792)*(Tablo3[Ürün Kar Tutarı]))</f>
        <v>0</v>
      </c>
      <c r="H2792" s="14"/>
      <c r="J2792" s="9" cm="1">
        <f t="array" ref="J2792">SUMPRODUCT((Tablo3[Urun Ad]=I2792)*(Tablo3[Ürün Kar Tutarı]))</f>
        <v>0</v>
      </c>
      <c r="L2792" s="37"/>
    </row>
    <row r="2793" spans="1:12" x14ac:dyDescent="0.25">
      <c r="A2793" s="13"/>
      <c r="B2793" s="9" cm="1">
        <f t="array" ref="B2793">SUMPRODUCT((Tablo3[Personel Ad]=A2793)*(Tablo3[Ürün Kar Tutarı]))</f>
        <v>0</v>
      </c>
      <c r="D2793" s="14"/>
      <c r="F2793" s="9" cm="1">
        <f t="array" ref="F2793">SUMPRODUCT((Tablo3[Şehirler]=E2793)*(Tablo3[Ürün Kar Tutarı]))</f>
        <v>0</v>
      </c>
      <c r="H2793" s="14"/>
      <c r="J2793" s="9" cm="1">
        <f t="array" ref="J2793">SUMPRODUCT((Tablo3[Urun Ad]=I2793)*(Tablo3[Ürün Kar Tutarı]))</f>
        <v>0</v>
      </c>
      <c r="L2793" s="37"/>
    </row>
    <row r="2794" spans="1:12" x14ac:dyDescent="0.25">
      <c r="A2794" s="13"/>
      <c r="B2794" s="9" cm="1">
        <f t="array" ref="B2794">SUMPRODUCT((Tablo3[Personel Ad]=A2794)*(Tablo3[Ürün Kar Tutarı]))</f>
        <v>0</v>
      </c>
      <c r="D2794" s="14"/>
      <c r="F2794" s="9" cm="1">
        <f t="array" ref="F2794">SUMPRODUCT((Tablo3[Şehirler]=E2794)*(Tablo3[Ürün Kar Tutarı]))</f>
        <v>0</v>
      </c>
      <c r="H2794" s="14"/>
      <c r="J2794" s="9" cm="1">
        <f t="array" ref="J2794">SUMPRODUCT((Tablo3[Urun Ad]=I2794)*(Tablo3[Ürün Kar Tutarı]))</f>
        <v>0</v>
      </c>
      <c r="L2794" s="37"/>
    </row>
    <row r="2795" spans="1:12" x14ac:dyDescent="0.25">
      <c r="A2795" s="13"/>
      <c r="B2795" s="9" cm="1">
        <f t="array" ref="B2795">SUMPRODUCT((Tablo3[Personel Ad]=A2795)*(Tablo3[Ürün Kar Tutarı]))</f>
        <v>0</v>
      </c>
      <c r="D2795" s="14"/>
      <c r="F2795" s="9" cm="1">
        <f t="array" ref="F2795">SUMPRODUCT((Tablo3[Şehirler]=E2795)*(Tablo3[Ürün Kar Tutarı]))</f>
        <v>0</v>
      </c>
      <c r="H2795" s="14"/>
      <c r="J2795" s="9" cm="1">
        <f t="array" ref="J2795">SUMPRODUCT((Tablo3[Urun Ad]=I2795)*(Tablo3[Ürün Kar Tutarı]))</f>
        <v>0</v>
      </c>
      <c r="L2795" s="37"/>
    </row>
    <row r="2796" spans="1:12" x14ac:dyDescent="0.25">
      <c r="A2796" s="13"/>
      <c r="B2796" s="9" cm="1">
        <f t="array" ref="B2796">SUMPRODUCT((Tablo3[Personel Ad]=A2796)*(Tablo3[Ürün Kar Tutarı]))</f>
        <v>0</v>
      </c>
      <c r="D2796" s="14"/>
      <c r="F2796" s="9" cm="1">
        <f t="array" ref="F2796">SUMPRODUCT((Tablo3[Şehirler]=E2796)*(Tablo3[Ürün Kar Tutarı]))</f>
        <v>0</v>
      </c>
      <c r="H2796" s="14"/>
      <c r="J2796" s="9" cm="1">
        <f t="array" ref="J2796">SUMPRODUCT((Tablo3[Urun Ad]=I2796)*(Tablo3[Ürün Kar Tutarı]))</f>
        <v>0</v>
      </c>
      <c r="L2796" s="37"/>
    </row>
    <row r="2797" spans="1:12" x14ac:dyDescent="0.25">
      <c r="A2797" s="13"/>
      <c r="B2797" s="9" cm="1">
        <f t="array" ref="B2797">SUMPRODUCT((Tablo3[Personel Ad]=A2797)*(Tablo3[Ürün Kar Tutarı]))</f>
        <v>0</v>
      </c>
      <c r="D2797" s="14"/>
      <c r="F2797" s="9" cm="1">
        <f t="array" ref="F2797">SUMPRODUCT((Tablo3[Şehirler]=E2797)*(Tablo3[Ürün Kar Tutarı]))</f>
        <v>0</v>
      </c>
      <c r="H2797" s="14"/>
      <c r="J2797" s="9" cm="1">
        <f t="array" ref="J2797">SUMPRODUCT((Tablo3[Urun Ad]=I2797)*(Tablo3[Ürün Kar Tutarı]))</f>
        <v>0</v>
      </c>
      <c r="L2797" s="37"/>
    </row>
    <row r="2798" spans="1:12" x14ac:dyDescent="0.25">
      <c r="A2798" s="13"/>
      <c r="B2798" s="9" cm="1">
        <f t="array" ref="B2798">SUMPRODUCT((Tablo3[Personel Ad]=A2798)*(Tablo3[Ürün Kar Tutarı]))</f>
        <v>0</v>
      </c>
      <c r="D2798" s="14"/>
      <c r="F2798" s="9" cm="1">
        <f t="array" ref="F2798">SUMPRODUCT((Tablo3[Şehirler]=E2798)*(Tablo3[Ürün Kar Tutarı]))</f>
        <v>0</v>
      </c>
      <c r="H2798" s="14"/>
      <c r="J2798" s="9" cm="1">
        <f t="array" ref="J2798">SUMPRODUCT((Tablo3[Urun Ad]=I2798)*(Tablo3[Ürün Kar Tutarı]))</f>
        <v>0</v>
      </c>
      <c r="L2798" s="37"/>
    </row>
    <row r="2799" spans="1:12" x14ac:dyDescent="0.25">
      <c r="A2799" s="13"/>
      <c r="B2799" s="9" cm="1">
        <f t="array" ref="B2799">SUMPRODUCT((Tablo3[Personel Ad]=A2799)*(Tablo3[Ürün Kar Tutarı]))</f>
        <v>0</v>
      </c>
      <c r="D2799" s="14"/>
      <c r="F2799" s="9" cm="1">
        <f t="array" ref="F2799">SUMPRODUCT((Tablo3[Şehirler]=E2799)*(Tablo3[Ürün Kar Tutarı]))</f>
        <v>0</v>
      </c>
      <c r="H2799" s="14"/>
      <c r="J2799" s="9" cm="1">
        <f t="array" ref="J2799">SUMPRODUCT((Tablo3[Urun Ad]=I2799)*(Tablo3[Ürün Kar Tutarı]))</f>
        <v>0</v>
      </c>
      <c r="L2799" s="37"/>
    </row>
    <row r="2800" spans="1:12" x14ac:dyDescent="0.25">
      <c r="A2800" s="13"/>
      <c r="B2800" s="9" cm="1">
        <f t="array" ref="B2800">SUMPRODUCT((Tablo3[Personel Ad]=A2800)*(Tablo3[Ürün Kar Tutarı]))</f>
        <v>0</v>
      </c>
      <c r="D2800" s="14"/>
      <c r="F2800" s="9" cm="1">
        <f t="array" ref="F2800">SUMPRODUCT((Tablo3[Şehirler]=E2800)*(Tablo3[Ürün Kar Tutarı]))</f>
        <v>0</v>
      </c>
      <c r="H2800" s="14"/>
      <c r="J2800" s="9" cm="1">
        <f t="array" ref="J2800">SUMPRODUCT((Tablo3[Urun Ad]=I2800)*(Tablo3[Ürün Kar Tutarı]))</f>
        <v>0</v>
      </c>
      <c r="L2800" s="37"/>
    </row>
    <row r="2801" spans="1:12" x14ac:dyDescent="0.25">
      <c r="A2801" s="13"/>
      <c r="B2801" s="9" cm="1">
        <f t="array" ref="B2801">SUMPRODUCT((Tablo3[Personel Ad]=A2801)*(Tablo3[Ürün Kar Tutarı]))</f>
        <v>0</v>
      </c>
      <c r="D2801" s="14"/>
      <c r="F2801" s="9" cm="1">
        <f t="array" ref="F2801">SUMPRODUCT((Tablo3[Şehirler]=E2801)*(Tablo3[Ürün Kar Tutarı]))</f>
        <v>0</v>
      </c>
      <c r="H2801" s="14"/>
      <c r="J2801" s="9" cm="1">
        <f t="array" ref="J2801">SUMPRODUCT((Tablo3[Urun Ad]=I2801)*(Tablo3[Ürün Kar Tutarı]))</f>
        <v>0</v>
      </c>
      <c r="L2801" s="37"/>
    </row>
    <row r="2802" spans="1:12" x14ac:dyDescent="0.25">
      <c r="A2802" s="13"/>
      <c r="B2802" s="9" cm="1">
        <f t="array" ref="B2802">SUMPRODUCT((Tablo3[Personel Ad]=A2802)*(Tablo3[Ürün Kar Tutarı]))</f>
        <v>0</v>
      </c>
      <c r="D2802" s="14"/>
      <c r="F2802" s="9" cm="1">
        <f t="array" ref="F2802">SUMPRODUCT((Tablo3[Şehirler]=E2802)*(Tablo3[Ürün Kar Tutarı]))</f>
        <v>0</v>
      </c>
      <c r="H2802" s="14"/>
      <c r="J2802" s="9" cm="1">
        <f t="array" ref="J2802">SUMPRODUCT((Tablo3[Urun Ad]=I2802)*(Tablo3[Ürün Kar Tutarı]))</f>
        <v>0</v>
      </c>
      <c r="L2802" s="37"/>
    </row>
    <row r="2803" spans="1:12" x14ac:dyDescent="0.25">
      <c r="A2803" s="13"/>
      <c r="B2803" s="9" cm="1">
        <f t="array" ref="B2803">SUMPRODUCT((Tablo3[Personel Ad]=A2803)*(Tablo3[Ürün Kar Tutarı]))</f>
        <v>0</v>
      </c>
      <c r="D2803" s="14"/>
      <c r="F2803" s="9" cm="1">
        <f t="array" ref="F2803">SUMPRODUCT((Tablo3[Şehirler]=E2803)*(Tablo3[Ürün Kar Tutarı]))</f>
        <v>0</v>
      </c>
      <c r="H2803" s="14"/>
      <c r="J2803" s="9" cm="1">
        <f t="array" ref="J2803">SUMPRODUCT((Tablo3[Urun Ad]=I2803)*(Tablo3[Ürün Kar Tutarı]))</f>
        <v>0</v>
      </c>
      <c r="L2803" s="37"/>
    </row>
    <row r="2804" spans="1:12" x14ac:dyDescent="0.25">
      <c r="A2804" s="13"/>
      <c r="B2804" s="9" cm="1">
        <f t="array" ref="B2804">SUMPRODUCT((Tablo3[Personel Ad]=A2804)*(Tablo3[Ürün Kar Tutarı]))</f>
        <v>0</v>
      </c>
      <c r="D2804" s="14"/>
      <c r="F2804" s="9" cm="1">
        <f t="array" ref="F2804">SUMPRODUCT((Tablo3[Şehirler]=E2804)*(Tablo3[Ürün Kar Tutarı]))</f>
        <v>0</v>
      </c>
      <c r="H2804" s="14"/>
      <c r="J2804" s="9" cm="1">
        <f t="array" ref="J2804">SUMPRODUCT((Tablo3[Urun Ad]=I2804)*(Tablo3[Ürün Kar Tutarı]))</f>
        <v>0</v>
      </c>
      <c r="L2804" s="37"/>
    </row>
    <row r="2805" spans="1:12" x14ac:dyDescent="0.25">
      <c r="A2805" s="13"/>
      <c r="B2805" s="9" cm="1">
        <f t="array" ref="B2805">SUMPRODUCT((Tablo3[Personel Ad]=A2805)*(Tablo3[Ürün Kar Tutarı]))</f>
        <v>0</v>
      </c>
      <c r="D2805" s="14"/>
      <c r="F2805" s="9" cm="1">
        <f t="array" ref="F2805">SUMPRODUCT((Tablo3[Şehirler]=E2805)*(Tablo3[Ürün Kar Tutarı]))</f>
        <v>0</v>
      </c>
      <c r="H2805" s="14"/>
      <c r="J2805" s="9" cm="1">
        <f t="array" ref="J2805">SUMPRODUCT((Tablo3[Urun Ad]=I2805)*(Tablo3[Ürün Kar Tutarı]))</f>
        <v>0</v>
      </c>
      <c r="L2805" s="37"/>
    </row>
    <row r="2806" spans="1:12" x14ac:dyDescent="0.25">
      <c r="A2806" s="13"/>
      <c r="B2806" s="9" cm="1">
        <f t="array" ref="B2806">SUMPRODUCT((Tablo3[Personel Ad]=A2806)*(Tablo3[Ürün Kar Tutarı]))</f>
        <v>0</v>
      </c>
      <c r="D2806" s="14"/>
      <c r="F2806" s="9" cm="1">
        <f t="array" ref="F2806">SUMPRODUCT((Tablo3[Şehirler]=E2806)*(Tablo3[Ürün Kar Tutarı]))</f>
        <v>0</v>
      </c>
      <c r="H2806" s="14"/>
      <c r="J2806" s="9" cm="1">
        <f t="array" ref="J2806">SUMPRODUCT((Tablo3[Urun Ad]=I2806)*(Tablo3[Ürün Kar Tutarı]))</f>
        <v>0</v>
      </c>
      <c r="L2806" s="37"/>
    </row>
    <row r="2807" spans="1:12" x14ac:dyDescent="0.25">
      <c r="A2807" s="13"/>
      <c r="B2807" s="9" cm="1">
        <f t="array" ref="B2807">SUMPRODUCT((Tablo3[Personel Ad]=A2807)*(Tablo3[Ürün Kar Tutarı]))</f>
        <v>0</v>
      </c>
      <c r="D2807" s="14"/>
      <c r="F2807" s="9" cm="1">
        <f t="array" ref="F2807">SUMPRODUCT((Tablo3[Şehirler]=E2807)*(Tablo3[Ürün Kar Tutarı]))</f>
        <v>0</v>
      </c>
      <c r="H2807" s="14"/>
      <c r="J2807" s="9" cm="1">
        <f t="array" ref="J2807">SUMPRODUCT((Tablo3[Urun Ad]=I2807)*(Tablo3[Ürün Kar Tutarı]))</f>
        <v>0</v>
      </c>
      <c r="L2807" s="37"/>
    </row>
    <row r="2808" spans="1:12" x14ac:dyDescent="0.25">
      <c r="A2808" s="13"/>
      <c r="B2808" s="9" cm="1">
        <f t="array" ref="B2808">SUMPRODUCT((Tablo3[Personel Ad]=A2808)*(Tablo3[Ürün Kar Tutarı]))</f>
        <v>0</v>
      </c>
      <c r="D2808" s="14"/>
      <c r="F2808" s="9" cm="1">
        <f t="array" ref="F2808">SUMPRODUCT((Tablo3[Şehirler]=E2808)*(Tablo3[Ürün Kar Tutarı]))</f>
        <v>0</v>
      </c>
      <c r="H2808" s="14"/>
      <c r="J2808" s="9" cm="1">
        <f t="array" ref="J2808">SUMPRODUCT((Tablo3[Urun Ad]=I2808)*(Tablo3[Ürün Kar Tutarı]))</f>
        <v>0</v>
      </c>
      <c r="L2808" s="37"/>
    </row>
    <row r="2809" spans="1:12" x14ac:dyDescent="0.25">
      <c r="A2809" s="13"/>
      <c r="B2809" s="9" cm="1">
        <f t="array" ref="B2809">SUMPRODUCT((Tablo3[Personel Ad]=A2809)*(Tablo3[Ürün Kar Tutarı]))</f>
        <v>0</v>
      </c>
      <c r="D2809" s="14"/>
      <c r="F2809" s="9" cm="1">
        <f t="array" ref="F2809">SUMPRODUCT((Tablo3[Şehirler]=E2809)*(Tablo3[Ürün Kar Tutarı]))</f>
        <v>0</v>
      </c>
      <c r="H2809" s="14"/>
      <c r="J2809" s="9" cm="1">
        <f t="array" ref="J2809">SUMPRODUCT((Tablo3[Urun Ad]=I2809)*(Tablo3[Ürün Kar Tutarı]))</f>
        <v>0</v>
      </c>
      <c r="L2809" s="37"/>
    </row>
    <row r="2810" spans="1:12" x14ac:dyDescent="0.25">
      <c r="A2810" s="13"/>
      <c r="B2810" s="9" cm="1">
        <f t="array" ref="B2810">SUMPRODUCT((Tablo3[Personel Ad]=A2810)*(Tablo3[Ürün Kar Tutarı]))</f>
        <v>0</v>
      </c>
      <c r="D2810" s="14"/>
      <c r="F2810" s="9" cm="1">
        <f t="array" ref="F2810">SUMPRODUCT((Tablo3[Şehirler]=E2810)*(Tablo3[Ürün Kar Tutarı]))</f>
        <v>0</v>
      </c>
      <c r="H2810" s="14"/>
      <c r="J2810" s="9" cm="1">
        <f t="array" ref="J2810">SUMPRODUCT((Tablo3[Urun Ad]=I2810)*(Tablo3[Ürün Kar Tutarı]))</f>
        <v>0</v>
      </c>
      <c r="L2810" s="37"/>
    </row>
    <row r="2811" spans="1:12" x14ac:dyDescent="0.25">
      <c r="A2811" s="13"/>
      <c r="B2811" s="9" cm="1">
        <f t="array" ref="B2811">SUMPRODUCT((Tablo3[Personel Ad]=A2811)*(Tablo3[Ürün Kar Tutarı]))</f>
        <v>0</v>
      </c>
      <c r="D2811" s="14"/>
      <c r="F2811" s="9" cm="1">
        <f t="array" ref="F2811">SUMPRODUCT((Tablo3[Şehirler]=E2811)*(Tablo3[Ürün Kar Tutarı]))</f>
        <v>0</v>
      </c>
      <c r="H2811" s="14"/>
      <c r="J2811" s="9" cm="1">
        <f t="array" ref="J2811">SUMPRODUCT((Tablo3[Urun Ad]=I2811)*(Tablo3[Ürün Kar Tutarı]))</f>
        <v>0</v>
      </c>
      <c r="L2811" s="37"/>
    </row>
    <row r="2812" spans="1:12" x14ac:dyDescent="0.25">
      <c r="A2812" s="13"/>
      <c r="B2812" s="9" cm="1">
        <f t="array" ref="B2812">SUMPRODUCT((Tablo3[Personel Ad]=A2812)*(Tablo3[Ürün Kar Tutarı]))</f>
        <v>0</v>
      </c>
      <c r="D2812" s="14"/>
      <c r="F2812" s="9" cm="1">
        <f t="array" ref="F2812">SUMPRODUCT((Tablo3[Şehirler]=E2812)*(Tablo3[Ürün Kar Tutarı]))</f>
        <v>0</v>
      </c>
      <c r="H2812" s="14"/>
      <c r="J2812" s="9" cm="1">
        <f t="array" ref="J2812">SUMPRODUCT((Tablo3[Urun Ad]=I2812)*(Tablo3[Ürün Kar Tutarı]))</f>
        <v>0</v>
      </c>
      <c r="L2812" s="37"/>
    </row>
    <row r="2813" spans="1:12" x14ac:dyDescent="0.25">
      <c r="A2813" s="13"/>
      <c r="B2813" s="9" cm="1">
        <f t="array" ref="B2813">SUMPRODUCT((Tablo3[Personel Ad]=A2813)*(Tablo3[Ürün Kar Tutarı]))</f>
        <v>0</v>
      </c>
      <c r="D2813" s="14"/>
      <c r="F2813" s="9" cm="1">
        <f t="array" ref="F2813">SUMPRODUCT((Tablo3[Şehirler]=E2813)*(Tablo3[Ürün Kar Tutarı]))</f>
        <v>0</v>
      </c>
      <c r="H2813" s="14"/>
      <c r="J2813" s="9" cm="1">
        <f t="array" ref="J2813">SUMPRODUCT((Tablo3[Urun Ad]=I2813)*(Tablo3[Ürün Kar Tutarı]))</f>
        <v>0</v>
      </c>
      <c r="L2813" s="37"/>
    </row>
    <row r="2814" spans="1:12" x14ac:dyDescent="0.25">
      <c r="A2814" s="13"/>
      <c r="B2814" s="9" cm="1">
        <f t="array" ref="B2814">SUMPRODUCT((Tablo3[Personel Ad]=A2814)*(Tablo3[Ürün Kar Tutarı]))</f>
        <v>0</v>
      </c>
      <c r="D2814" s="14"/>
      <c r="F2814" s="9" cm="1">
        <f t="array" ref="F2814">SUMPRODUCT((Tablo3[Şehirler]=E2814)*(Tablo3[Ürün Kar Tutarı]))</f>
        <v>0</v>
      </c>
      <c r="H2814" s="14"/>
      <c r="J2814" s="9" cm="1">
        <f t="array" ref="J2814">SUMPRODUCT((Tablo3[Urun Ad]=I2814)*(Tablo3[Ürün Kar Tutarı]))</f>
        <v>0</v>
      </c>
      <c r="L2814" s="37"/>
    </row>
    <row r="2815" spans="1:12" x14ac:dyDescent="0.25">
      <c r="A2815" s="13"/>
      <c r="B2815" s="9" cm="1">
        <f t="array" ref="B2815">SUMPRODUCT((Tablo3[Personel Ad]=A2815)*(Tablo3[Ürün Kar Tutarı]))</f>
        <v>0</v>
      </c>
      <c r="D2815" s="14"/>
      <c r="F2815" s="9" cm="1">
        <f t="array" ref="F2815">SUMPRODUCT((Tablo3[Şehirler]=E2815)*(Tablo3[Ürün Kar Tutarı]))</f>
        <v>0</v>
      </c>
      <c r="H2815" s="14"/>
      <c r="J2815" s="9" cm="1">
        <f t="array" ref="J2815">SUMPRODUCT((Tablo3[Urun Ad]=I2815)*(Tablo3[Ürün Kar Tutarı]))</f>
        <v>0</v>
      </c>
      <c r="L2815" s="37"/>
    </row>
    <row r="2816" spans="1:12" x14ac:dyDescent="0.25">
      <c r="A2816" s="13"/>
      <c r="B2816" s="9" cm="1">
        <f t="array" ref="B2816">SUMPRODUCT((Tablo3[Personel Ad]=A2816)*(Tablo3[Ürün Kar Tutarı]))</f>
        <v>0</v>
      </c>
      <c r="D2816" s="14"/>
      <c r="F2816" s="9" cm="1">
        <f t="array" ref="F2816">SUMPRODUCT((Tablo3[Şehirler]=E2816)*(Tablo3[Ürün Kar Tutarı]))</f>
        <v>0</v>
      </c>
      <c r="H2816" s="14"/>
      <c r="J2816" s="9" cm="1">
        <f t="array" ref="J2816">SUMPRODUCT((Tablo3[Urun Ad]=I2816)*(Tablo3[Ürün Kar Tutarı]))</f>
        <v>0</v>
      </c>
      <c r="L2816" s="37"/>
    </row>
    <row r="2817" spans="1:12" x14ac:dyDescent="0.25">
      <c r="A2817" s="13"/>
      <c r="B2817" s="9" cm="1">
        <f t="array" ref="B2817">SUMPRODUCT((Tablo3[Personel Ad]=A2817)*(Tablo3[Ürün Kar Tutarı]))</f>
        <v>0</v>
      </c>
      <c r="D2817" s="14"/>
      <c r="F2817" s="9" cm="1">
        <f t="array" ref="F2817">SUMPRODUCT((Tablo3[Şehirler]=E2817)*(Tablo3[Ürün Kar Tutarı]))</f>
        <v>0</v>
      </c>
      <c r="H2817" s="14"/>
      <c r="J2817" s="9" cm="1">
        <f t="array" ref="J2817">SUMPRODUCT((Tablo3[Urun Ad]=I2817)*(Tablo3[Ürün Kar Tutarı]))</f>
        <v>0</v>
      </c>
      <c r="L2817" s="37"/>
    </row>
    <row r="2818" spans="1:12" x14ac:dyDescent="0.25">
      <c r="A2818" s="13"/>
      <c r="B2818" s="9" cm="1">
        <f t="array" ref="B2818">SUMPRODUCT((Tablo3[Personel Ad]=A2818)*(Tablo3[Ürün Kar Tutarı]))</f>
        <v>0</v>
      </c>
      <c r="D2818" s="14"/>
      <c r="F2818" s="9" cm="1">
        <f t="array" ref="F2818">SUMPRODUCT((Tablo3[Şehirler]=E2818)*(Tablo3[Ürün Kar Tutarı]))</f>
        <v>0</v>
      </c>
      <c r="H2818" s="14"/>
      <c r="J2818" s="9" cm="1">
        <f t="array" ref="J2818">SUMPRODUCT((Tablo3[Urun Ad]=I2818)*(Tablo3[Ürün Kar Tutarı]))</f>
        <v>0</v>
      </c>
      <c r="L2818" s="37"/>
    </row>
    <row r="2819" spans="1:12" x14ac:dyDescent="0.25">
      <c r="A2819" s="13"/>
      <c r="B2819" s="9" cm="1">
        <f t="array" ref="B2819">SUMPRODUCT((Tablo3[Personel Ad]=A2819)*(Tablo3[Ürün Kar Tutarı]))</f>
        <v>0</v>
      </c>
      <c r="D2819" s="14"/>
      <c r="F2819" s="9" cm="1">
        <f t="array" ref="F2819">SUMPRODUCT((Tablo3[Şehirler]=E2819)*(Tablo3[Ürün Kar Tutarı]))</f>
        <v>0</v>
      </c>
      <c r="H2819" s="14"/>
      <c r="J2819" s="9" cm="1">
        <f t="array" ref="J2819">SUMPRODUCT((Tablo3[Urun Ad]=I2819)*(Tablo3[Ürün Kar Tutarı]))</f>
        <v>0</v>
      </c>
      <c r="L2819" s="37"/>
    </row>
    <row r="2820" spans="1:12" x14ac:dyDescent="0.25">
      <c r="A2820" s="13"/>
      <c r="B2820" s="9" cm="1">
        <f t="array" ref="B2820">SUMPRODUCT((Tablo3[Personel Ad]=A2820)*(Tablo3[Ürün Kar Tutarı]))</f>
        <v>0</v>
      </c>
      <c r="D2820" s="14"/>
      <c r="F2820" s="9" cm="1">
        <f t="array" ref="F2820">SUMPRODUCT((Tablo3[Şehirler]=E2820)*(Tablo3[Ürün Kar Tutarı]))</f>
        <v>0</v>
      </c>
      <c r="H2820" s="14"/>
      <c r="J2820" s="9" cm="1">
        <f t="array" ref="J2820">SUMPRODUCT((Tablo3[Urun Ad]=I2820)*(Tablo3[Ürün Kar Tutarı]))</f>
        <v>0</v>
      </c>
      <c r="L2820" s="37"/>
    </row>
    <row r="2821" spans="1:12" x14ac:dyDescent="0.25">
      <c r="A2821" s="13"/>
      <c r="B2821" s="9" cm="1">
        <f t="array" ref="B2821">SUMPRODUCT((Tablo3[Personel Ad]=A2821)*(Tablo3[Ürün Kar Tutarı]))</f>
        <v>0</v>
      </c>
      <c r="D2821" s="14"/>
      <c r="F2821" s="9" cm="1">
        <f t="array" ref="F2821">SUMPRODUCT((Tablo3[Şehirler]=E2821)*(Tablo3[Ürün Kar Tutarı]))</f>
        <v>0</v>
      </c>
      <c r="H2821" s="14"/>
      <c r="J2821" s="9" cm="1">
        <f t="array" ref="J2821">SUMPRODUCT((Tablo3[Urun Ad]=I2821)*(Tablo3[Ürün Kar Tutarı]))</f>
        <v>0</v>
      </c>
      <c r="L2821" s="37"/>
    </row>
    <row r="2822" spans="1:12" x14ac:dyDescent="0.25">
      <c r="A2822" s="13"/>
      <c r="B2822" s="9" cm="1">
        <f t="array" ref="B2822">SUMPRODUCT((Tablo3[Personel Ad]=A2822)*(Tablo3[Ürün Kar Tutarı]))</f>
        <v>0</v>
      </c>
      <c r="D2822" s="14"/>
      <c r="F2822" s="9" cm="1">
        <f t="array" ref="F2822">SUMPRODUCT((Tablo3[Şehirler]=E2822)*(Tablo3[Ürün Kar Tutarı]))</f>
        <v>0</v>
      </c>
      <c r="H2822" s="14"/>
      <c r="J2822" s="9" cm="1">
        <f t="array" ref="J2822">SUMPRODUCT((Tablo3[Urun Ad]=I2822)*(Tablo3[Ürün Kar Tutarı]))</f>
        <v>0</v>
      </c>
      <c r="L2822" s="37"/>
    </row>
    <row r="2823" spans="1:12" x14ac:dyDescent="0.25">
      <c r="A2823" s="13"/>
      <c r="B2823" s="9" cm="1">
        <f t="array" ref="B2823">SUMPRODUCT((Tablo3[Personel Ad]=A2823)*(Tablo3[Ürün Kar Tutarı]))</f>
        <v>0</v>
      </c>
      <c r="D2823" s="14"/>
      <c r="F2823" s="9" cm="1">
        <f t="array" ref="F2823">SUMPRODUCT((Tablo3[Şehirler]=E2823)*(Tablo3[Ürün Kar Tutarı]))</f>
        <v>0</v>
      </c>
      <c r="H2823" s="14"/>
      <c r="J2823" s="9" cm="1">
        <f t="array" ref="J2823">SUMPRODUCT((Tablo3[Urun Ad]=I2823)*(Tablo3[Ürün Kar Tutarı]))</f>
        <v>0</v>
      </c>
      <c r="L2823" s="37"/>
    </row>
    <row r="2824" spans="1:12" x14ac:dyDescent="0.25">
      <c r="A2824" s="13"/>
      <c r="B2824" s="9" cm="1">
        <f t="array" ref="B2824">SUMPRODUCT((Tablo3[Personel Ad]=A2824)*(Tablo3[Ürün Kar Tutarı]))</f>
        <v>0</v>
      </c>
      <c r="D2824" s="14"/>
      <c r="F2824" s="9" cm="1">
        <f t="array" ref="F2824">SUMPRODUCT((Tablo3[Şehirler]=E2824)*(Tablo3[Ürün Kar Tutarı]))</f>
        <v>0</v>
      </c>
      <c r="H2824" s="14"/>
      <c r="J2824" s="9" cm="1">
        <f t="array" ref="J2824">SUMPRODUCT((Tablo3[Urun Ad]=I2824)*(Tablo3[Ürün Kar Tutarı]))</f>
        <v>0</v>
      </c>
      <c r="L2824" s="37"/>
    </row>
    <row r="2825" spans="1:12" x14ac:dyDescent="0.25">
      <c r="A2825" s="13"/>
      <c r="B2825" s="9" cm="1">
        <f t="array" ref="B2825">SUMPRODUCT((Tablo3[Personel Ad]=A2825)*(Tablo3[Ürün Kar Tutarı]))</f>
        <v>0</v>
      </c>
      <c r="D2825" s="14"/>
      <c r="F2825" s="9" cm="1">
        <f t="array" ref="F2825">SUMPRODUCT((Tablo3[Şehirler]=E2825)*(Tablo3[Ürün Kar Tutarı]))</f>
        <v>0</v>
      </c>
      <c r="H2825" s="14"/>
      <c r="J2825" s="9" cm="1">
        <f t="array" ref="J2825">SUMPRODUCT((Tablo3[Urun Ad]=I2825)*(Tablo3[Ürün Kar Tutarı]))</f>
        <v>0</v>
      </c>
      <c r="L2825" s="37"/>
    </row>
    <row r="2826" spans="1:12" x14ac:dyDescent="0.25">
      <c r="A2826" s="13"/>
      <c r="B2826" s="9" cm="1">
        <f t="array" ref="B2826">SUMPRODUCT((Tablo3[Personel Ad]=A2826)*(Tablo3[Ürün Kar Tutarı]))</f>
        <v>0</v>
      </c>
      <c r="D2826" s="14"/>
      <c r="F2826" s="9" cm="1">
        <f t="array" ref="F2826">SUMPRODUCT((Tablo3[Şehirler]=E2826)*(Tablo3[Ürün Kar Tutarı]))</f>
        <v>0</v>
      </c>
      <c r="H2826" s="14"/>
      <c r="J2826" s="9" cm="1">
        <f t="array" ref="J2826">SUMPRODUCT((Tablo3[Urun Ad]=I2826)*(Tablo3[Ürün Kar Tutarı]))</f>
        <v>0</v>
      </c>
      <c r="L2826" s="37"/>
    </row>
    <row r="2827" spans="1:12" x14ac:dyDescent="0.25">
      <c r="A2827" s="13"/>
      <c r="B2827" s="9" cm="1">
        <f t="array" ref="B2827">SUMPRODUCT((Tablo3[Personel Ad]=A2827)*(Tablo3[Ürün Kar Tutarı]))</f>
        <v>0</v>
      </c>
      <c r="D2827" s="14"/>
      <c r="F2827" s="9" cm="1">
        <f t="array" ref="F2827">SUMPRODUCT((Tablo3[Şehirler]=E2827)*(Tablo3[Ürün Kar Tutarı]))</f>
        <v>0</v>
      </c>
      <c r="H2827" s="14"/>
      <c r="J2827" s="9" cm="1">
        <f t="array" ref="J2827">SUMPRODUCT((Tablo3[Urun Ad]=I2827)*(Tablo3[Ürün Kar Tutarı]))</f>
        <v>0</v>
      </c>
      <c r="L2827" s="37"/>
    </row>
    <row r="2828" spans="1:12" x14ac:dyDescent="0.25">
      <c r="A2828" s="13"/>
      <c r="B2828" s="9" cm="1">
        <f t="array" ref="B2828">SUMPRODUCT((Tablo3[Personel Ad]=A2828)*(Tablo3[Ürün Kar Tutarı]))</f>
        <v>0</v>
      </c>
      <c r="D2828" s="14"/>
      <c r="F2828" s="9" cm="1">
        <f t="array" ref="F2828">SUMPRODUCT((Tablo3[Şehirler]=E2828)*(Tablo3[Ürün Kar Tutarı]))</f>
        <v>0</v>
      </c>
      <c r="H2828" s="14"/>
      <c r="J2828" s="9" cm="1">
        <f t="array" ref="J2828">SUMPRODUCT((Tablo3[Urun Ad]=I2828)*(Tablo3[Ürün Kar Tutarı]))</f>
        <v>0</v>
      </c>
      <c r="L2828" s="37"/>
    </row>
    <row r="2829" spans="1:12" x14ac:dyDescent="0.25">
      <c r="A2829" s="13"/>
      <c r="B2829" s="9" cm="1">
        <f t="array" ref="B2829">SUMPRODUCT((Tablo3[Personel Ad]=A2829)*(Tablo3[Ürün Kar Tutarı]))</f>
        <v>0</v>
      </c>
      <c r="D2829" s="14"/>
      <c r="F2829" s="9" cm="1">
        <f t="array" ref="F2829">SUMPRODUCT((Tablo3[Şehirler]=E2829)*(Tablo3[Ürün Kar Tutarı]))</f>
        <v>0</v>
      </c>
      <c r="H2829" s="14"/>
      <c r="J2829" s="9" cm="1">
        <f t="array" ref="J2829">SUMPRODUCT((Tablo3[Urun Ad]=I2829)*(Tablo3[Ürün Kar Tutarı]))</f>
        <v>0</v>
      </c>
      <c r="L2829" s="37"/>
    </row>
    <row r="2830" spans="1:12" x14ac:dyDescent="0.25">
      <c r="A2830" s="13"/>
      <c r="B2830" s="9" cm="1">
        <f t="array" ref="B2830">SUMPRODUCT((Tablo3[Personel Ad]=A2830)*(Tablo3[Ürün Kar Tutarı]))</f>
        <v>0</v>
      </c>
      <c r="D2830" s="14"/>
      <c r="F2830" s="9" cm="1">
        <f t="array" ref="F2830">SUMPRODUCT((Tablo3[Şehirler]=E2830)*(Tablo3[Ürün Kar Tutarı]))</f>
        <v>0</v>
      </c>
      <c r="H2830" s="14"/>
      <c r="J2830" s="9" cm="1">
        <f t="array" ref="J2830">SUMPRODUCT((Tablo3[Urun Ad]=I2830)*(Tablo3[Ürün Kar Tutarı]))</f>
        <v>0</v>
      </c>
      <c r="L2830" s="37"/>
    </row>
    <row r="2831" spans="1:12" x14ac:dyDescent="0.25">
      <c r="A2831" s="13"/>
      <c r="B2831" s="9" cm="1">
        <f t="array" ref="B2831">SUMPRODUCT((Tablo3[Personel Ad]=A2831)*(Tablo3[Ürün Kar Tutarı]))</f>
        <v>0</v>
      </c>
      <c r="D2831" s="14"/>
      <c r="F2831" s="9" cm="1">
        <f t="array" ref="F2831">SUMPRODUCT((Tablo3[Şehirler]=E2831)*(Tablo3[Ürün Kar Tutarı]))</f>
        <v>0</v>
      </c>
      <c r="H2831" s="14"/>
      <c r="J2831" s="9" cm="1">
        <f t="array" ref="J2831">SUMPRODUCT((Tablo3[Urun Ad]=I2831)*(Tablo3[Ürün Kar Tutarı]))</f>
        <v>0</v>
      </c>
      <c r="L2831" s="37"/>
    </row>
    <row r="2832" spans="1:12" x14ac:dyDescent="0.25">
      <c r="A2832" s="13"/>
      <c r="B2832" s="9" cm="1">
        <f t="array" ref="B2832">SUMPRODUCT((Tablo3[Personel Ad]=A2832)*(Tablo3[Ürün Kar Tutarı]))</f>
        <v>0</v>
      </c>
      <c r="D2832" s="14"/>
      <c r="F2832" s="9" cm="1">
        <f t="array" ref="F2832">SUMPRODUCT((Tablo3[Şehirler]=E2832)*(Tablo3[Ürün Kar Tutarı]))</f>
        <v>0</v>
      </c>
      <c r="H2832" s="14"/>
      <c r="J2832" s="9" cm="1">
        <f t="array" ref="J2832">SUMPRODUCT((Tablo3[Urun Ad]=I2832)*(Tablo3[Ürün Kar Tutarı]))</f>
        <v>0</v>
      </c>
      <c r="L2832" s="37"/>
    </row>
    <row r="2833" spans="1:12" x14ac:dyDescent="0.25">
      <c r="A2833" s="13"/>
      <c r="B2833" s="9" cm="1">
        <f t="array" ref="B2833">SUMPRODUCT((Tablo3[Personel Ad]=A2833)*(Tablo3[Ürün Kar Tutarı]))</f>
        <v>0</v>
      </c>
      <c r="D2833" s="14"/>
      <c r="F2833" s="9" cm="1">
        <f t="array" ref="F2833">SUMPRODUCT((Tablo3[Şehirler]=E2833)*(Tablo3[Ürün Kar Tutarı]))</f>
        <v>0</v>
      </c>
      <c r="H2833" s="14"/>
      <c r="J2833" s="9" cm="1">
        <f t="array" ref="J2833">SUMPRODUCT((Tablo3[Urun Ad]=I2833)*(Tablo3[Ürün Kar Tutarı]))</f>
        <v>0</v>
      </c>
      <c r="L2833" s="37"/>
    </row>
    <row r="2834" spans="1:12" x14ac:dyDescent="0.25">
      <c r="A2834" s="13"/>
      <c r="B2834" s="9" cm="1">
        <f t="array" ref="B2834">SUMPRODUCT((Tablo3[Personel Ad]=A2834)*(Tablo3[Ürün Kar Tutarı]))</f>
        <v>0</v>
      </c>
      <c r="D2834" s="14"/>
      <c r="F2834" s="9" cm="1">
        <f t="array" ref="F2834">SUMPRODUCT((Tablo3[Şehirler]=E2834)*(Tablo3[Ürün Kar Tutarı]))</f>
        <v>0</v>
      </c>
      <c r="H2834" s="14"/>
      <c r="J2834" s="9" cm="1">
        <f t="array" ref="J2834">SUMPRODUCT((Tablo3[Urun Ad]=I2834)*(Tablo3[Ürün Kar Tutarı]))</f>
        <v>0</v>
      </c>
      <c r="L2834" s="37"/>
    </row>
    <row r="2835" spans="1:12" x14ac:dyDescent="0.25">
      <c r="A2835" s="13"/>
      <c r="B2835" s="9" cm="1">
        <f t="array" ref="B2835">SUMPRODUCT((Tablo3[Personel Ad]=A2835)*(Tablo3[Ürün Kar Tutarı]))</f>
        <v>0</v>
      </c>
      <c r="D2835" s="14"/>
      <c r="F2835" s="9" cm="1">
        <f t="array" ref="F2835">SUMPRODUCT((Tablo3[Şehirler]=E2835)*(Tablo3[Ürün Kar Tutarı]))</f>
        <v>0</v>
      </c>
      <c r="H2835" s="14"/>
      <c r="J2835" s="9" cm="1">
        <f t="array" ref="J2835">SUMPRODUCT((Tablo3[Urun Ad]=I2835)*(Tablo3[Ürün Kar Tutarı]))</f>
        <v>0</v>
      </c>
      <c r="L2835" s="37"/>
    </row>
    <row r="2836" spans="1:12" x14ac:dyDescent="0.25">
      <c r="A2836" s="13"/>
      <c r="B2836" s="9" cm="1">
        <f t="array" ref="B2836">SUMPRODUCT((Tablo3[Personel Ad]=A2836)*(Tablo3[Ürün Kar Tutarı]))</f>
        <v>0</v>
      </c>
      <c r="D2836" s="14"/>
      <c r="F2836" s="9" cm="1">
        <f t="array" ref="F2836">SUMPRODUCT((Tablo3[Şehirler]=E2836)*(Tablo3[Ürün Kar Tutarı]))</f>
        <v>0</v>
      </c>
      <c r="H2836" s="14"/>
      <c r="J2836" s="9" cm="1">
        <f t="array" ref="J2836">SUMPRODUCT((Tablo3[Urun Ad]=I2836)*(Tablo3[Ürün Kar Tutarı]))</f>
        <v>0</v>
      </c>
      <c r="L2836" s="37"/>
    </row>
    <row r="2837" spans="1:12" x14ac:dyDescent="0.25">
      <c r="A2837" s="13"/>
      <c r="B2837" s="9" cm="1">
        <f t="array" ref="B2837">SUMPRODUCT((Tablo3[Personel Ad]=A2837)*(Tablo3[Ürün Kar Tutarı]))</f>
        <v>0</v>
      </c>
      <c r="D2837" s="14"/>
      <c r="F2837" s="9" cm="1">
        <f t="array" ref="F2837">SUMPRODUCT((Tablo3[Şehirler]=E2837)*(Tablo3[Ürün Kar Tutarı]))</f>
        <v>0</v>
      </c>
      <c r="H2837" s="14"/>
      <c r="J2837" s="9" cm="1">
        <f t="array" ref="J2837">SUMPRODUCT((Tablo3[Urun Ad]=I2837)*(Tablo3[Ürün Kar Tutarı]))</f>
        <v>0</v>
      </c>
      <c r="L2837" s="37"/>
    </row>
    <row r="2838" spans="1:12" x14ac:dyDescent="0.25">
      <c r="A2838" s="13"/>
      <c r="B2838" s="9" cm="1">
        <f t="array" ref="B2838">SUMPRODUCT((Tablo3[Personel Ad]=A2838)*(Tablo3[Ürün Kar Tutarı]))</f>
        <v>0</v>
      </c>
      <c r="D2838" s="14"/>
      <c r="F2838" s="9" cm="1">
        <f t="array" ref="F2838">SUMPRODUCT((Tablo3[Şehirler]=E2838)*(Tablo3[Ürün Kar Tutarı]))</f>
        <v>0</v>
      </c>
      <c r="H2838" s="14"/>
      <c r="J2838" s="9" cm="1">
        <f t="array" ref="J2838">SUMPRODUCT((Tablo3[Urun Ad]=I2838)*(Tablo3[Ürün Kar Tutarı]))</f>
        <v>0</v>
      </c>
      <c r="L2838" s="37"/>
    </row>
    <row r="2839" spans="1:12" x14ac:dyDescent="0.25">
      <c r="A2839" s="13"/>
      <c r="B2839" s="9" cm="1">
        <f t="array" ref="B2839">SUMPRODUCT((Tablo3[Personel Ad]=A2839)*(Tablo3[Ürün Kar Tutarı]))</f>
        <v>0</v>
      </c>
      <c r="D2839" s="14"/>
      <c r="F2839" s="9" cm="1">
        <f t="array" ref="F2839">SUMPRODUCT((Tablo3[Şehirler]=E2839)*(Tablo3[Ürün Kar Tutarı]))</f>
        <v>0</v>
      </c>
      <c r="H2839" s="14"/>
      <c r="J2839" s="9" cm="1">
        <f t="array" ref="J2839">SUMPRODUCT((Tablo3[Urun Ad]=I2839)*(Tablo3[Ürün Kar Tutarı]))</f>
        <v>0</v>
      </c>
      <c r="L2839" s="37"/>
    </row>
    <row r="2840" spans="1:12" x14ac:dyDescent="0.25">
      <c r="A2840" s="13"/>
      <c r="B2840" s="9" cm="1">
        <f t="array" ref="B2840">SUMPRODUCT((Tablo3[Personel Ad]=A2840)*(Tablo3[Ürün Kar Tutarı]))</f>
        <v>0</v>
      </c>
      <c r="D2840" s="14"/>
      <c r="F2840" s="9" cm="1">
        <f t="array" ref="F2840">SUMPRODUCT((Tablo3[Şehirler]=E2840)*(Tablo3[Ürün Kar Tutarı]))</f>
        <v>0</v>
      </c>
      <c r="H2840" s="14"/>
      <c r="J2840" s="9" cm="1">
        <f t="array" ref="J2840">SUMPRODUCT((Tablo3[Urun Ad]=I2840)*(Tablo3[Ürün Kar Tutarı]))</f>
        <v>0</v>
      </c>
      <c r="L2840" s="37"/>
    </row>
    <row r="2841" spans="1:12" x14ac:dyDescent="0.25">
      <c r="A2841" s="13"/>
      <c r="B2841" s="9" cm="1">
        <f t="array" ref="B2841">SUMPRODUCT((Tablo3[Personel Ad]=A2841)*(Tablo3[Ürün Kar Tutarı]))</f>
        <v>0</v>
      </c>
      <c r="D2841" s="14"/>
      <c r="F2841" s="9" cm="1">
        <f t="array" ref="F2841">SUMPRODUCT((Tablo3[Şehirler]=E2841)*(Tablo3[Ürün Kar Tutarı]))</f>
        <v>0</v>
      </c>
      <c r="H2841" s="14"/>
      <c r="J2841" s="9" cm="1">
        <f t="array" ref="J2841">SUMPRODUCT((Tablo3[Urun Ad]=I2841)*(Tablo3[Ürün Kar Tutarı]))</f>
        <v>0</v>
      </c>
      <c r="L2841" s="37"/>
    </row>
    <row r="2842" spans="1:12" x14ac:dyDescent="0.25">
      <c r="A2842" s="13"/>
      <c r="B2842" s="9" cm="1">
        <f t="array" ref="B2842">SUMPRODUCT((Tablo3[Personel Ad]=A2842)*(Tablo3[Ürün Kar Tutarı]))</f>
        <v>0</v>
      </c>
      <c r="D2842" s="14"/>
      <c r="F2842" s="9" cm="1">
        <f t="array" ref="F2842">SUMPRODUCT((Tablo3[Şehirler]=E2842)*(Tablo3[Ürün Kar Tutarı]))</f>
        <v>0</v>
      </c>
      <c r="H2842" s="14"/>
      <c r="J2842" s="9" cm="1">
        <f t="array" ref="J2842">SUMPRODUCT((Tablo3[Urun Ad]=I2842)*(Tablo3[Ürün Kar Tutarı]))</f>
        <v>0</v>
      </c>
      <c r="L2842" s="37"/>
    </row>
    <row r="2843" spans="1:12" x14ac:dyDescent="0.25">
      <c r="A2843" s="13"/>
      <c r="B2843" s="9" cm="1">
        <f t="array" ref="B2843">SUMPRODUCT((Tablo3[Personel Ad]=A2843)*(Tablo3[Ürün Kar Tutarı]))</f>
        <v>0</v>
      </c>
      <c r="D2843" s="14"/>
      <c r="F2843" s="9" cm="1">
        <f t="array" ref="F2843">SUMPRODUCT((Tablo3[Şehirler]=E2843)*(Tablo3[Ürün Kar Tutarı]))</f>
        <v>0</v>
      </c>
      <c r="H2843" s="14"/>
      <c r="J2843" s="9" cm="1">
        <f t="array" ref="J2843">SUMPRODUCT((Tablo3[Urun Ad]=I2843)*(Tablo3[Ürün Kar Tutarı]))</f>
        <v>0</v>
      </c>
      <c r="L2843" s="37"/>
    </row>
    <row r="2844" spans="1:12" x14ac:dyDescent="0.25">
      <c r="A2844" s="13"/>
      <c r="B2844" s="9" cm="1">
        <f t="array" ref="B2844">SUMPRODUCT((Tablo3[Personel Ad]=A2844)*(Tablo3[Ürün Kar Tutarı]))</f>
        <v>0</v>
      </c>
      <c r="D2844" s="14"/>
      <c r="F2844" s="9" cm="1">
        <f t="array" ref="F2844">SUMPRODUCT((Tablo3[Şehirler]=E2844)*(Tablo3[Ürün Kar Tutarı]))</f>
        <v>0</v>
      </c>
      <c r="H2844" s="14"/>
      <c r="J2844" s="9" cm="1">
        <f t="array" ref="J2844">SUMPRODUCT((Tablo3[Urun Ad]=I2844)*(Tablo3[Ürün Kar Tutarı]))</f>
        <v>0</v>
      </c>
      <c r="L2844" s="37"/>
    </row>
    <row r="2845" spans="1:12" x14ac:dyDescent="0.25">
      <c r="A2845" s="13"/>
      <c r="B2845" s="9" cm="1">
        <f t="array" ref="B2845">SUMPRODUCT((Tablo3[Personel Ad]=A2845)*(Tablo3[Ürün Kar Tutarı]))</f>
        <v>0</v>
      </c>
      <c r="D2845" s="14"/>
      <c r="F2845" s="9" cm="1">
        <f t="array" ref="F2845">SUMPRODUCT((Tablo3[Şehirler]=E2845)*(Tablo3[Ürün Kar Tutarı]))</f>
        <v>0</v>
      </c>
      <c r="H2845" s="14"/>
      <c r="J2845" s="9" cm="1">
        <f t="array" ref="J2845">SUMPRODUCT((Tablo3[Urun Ad]=I2845)*(Tablo3[Ürün Kar Tutarı]))</f>
        <v>0</v>
      </c>
      <c r="L2845" s="37"/>
    </row>
    <row r="2846" spans="1:12" x14ac:dyDescent="0.25">
      <c r="A2846" s="13"/>
      <c r="B2846" s="9" cm="1">
        <f t="array" ref="B2846">SUMPRODUCT((Tablo3[Personel Ad]=A2846)*(Tablo3[Ürün Kar Tutarı]))</f>
        <v>0</v>
      </c>
      <c r="D2846" s="14"/>
      <c r="F2846" s="9" cm="1">
        <f t="array" ref="F2846">SUMPRODUCT((Tablo3[Şehirler]=E2846)*(Tablo3[Ürün Kar Tutarı]))</f>
        <v>0</v>
      </c>
      <c r="H2846" s="14"/>
      <c r="J2846" s="9" cm="1">
        <f t="array" ref="J2846">SUMPRODUCT((Tablo3[Urun Ad]=I2846)*(Tablo3[Ürün Kar Tutarı]))</f>
        <v>0</v>
      </c>
      <c r="L2846" s="37"/>
    </row>
    <row r="2847" spans="1:12" x14ac:dyDescent="0.25">
      <c r="A2847" s="13"/>
      <c r="B2847" s="9" cm="1">
        <f t="array" ref="B2847">SUMPRODUCT((Tablo3[Personel Ad]=A2847)*(Tablo3[Ürün Kar Tutarı]))</f>
        <v>0</v>
      </c>
      <c r="D2847" s="14"/>
      <c r="F2847" s="9" cm="1">
        <f t="array" ref="F2847">SUMPRODUCT((Tablo3[Şehirler]=E2847)*(Tablo3[Ürün Kar Tutarı]))</f>
        <v>0</v>
      </c>
      <c r="H2847" s="14"/>
      <c r="J2847" s="9" cm="1">
        <f t="array" ref="J2847">SUMPRODUCT((Tablo3[Urun Ad]=I2847)*(Tablo3[Ürün Kar Tutarı]))</f>
        <v>0</v>
      </c>
      <c r="L2847" s="37"/>
    </row>
    <row r="2848" spans="1:12" x14ac:dyDescent="0.25">
      <c r="A2848" s="13"/>
      <c r="B2848" s="9" cm="1">
        <f t="array" ref="B2848">SUMPRODUCT((Tablo3[Personel Ad]=A2848)*(Tablo3[Ürün Kar Tutarı]))</f>
        <v>0</v>
      </c>
      <c r="D2848" s="14"/>
      <c r="F2848" s="9" cm="1">
        <f t="array" ref="F2848">SUMPRODUCT((Tablo3[Şehirler]=E2848)*(Tablo3[Ürün Kar Tutarı]))</f>
        <v>0</v>
      </c>
      <c r="H2848" s="14"/>
      <c r="J2848" s="9" cm="1">
        <f t="array" ref="J2848">SUMPRODUCT((Tablo3[Urun Ad]=I2848)*(Tablo3[Ürün Kar Tutarı]))</f>
        <v>0</v>
      </c>
      <c r="L2848" s="37"/>
    </row>
    <row r="2849" spans="1:12" x14ac:dyDescent="0.25">
      <c r="A2849" s="13"/>
      <c r="B2849" s="9" cm="1">
        <f t="array" ref="B2849">SUMPRODUCT((Tablo3[Personel Ad]=A2849)*(Tablo3[Ürün Kar Tutarı]))</f>
        <v>0</v>
      </c>
      <c r="D2849" s="14"/>
      <c r="F2849" s="9" cm="1">
        <f t="array" ref="F2849">SUMPRODUCT((Tablo3[Şehirler]=E2849)*(Tablo3[Ürün Kar Tutarı]))</f>
        <v>0</v>
      </c>
      <c r="H2849" s="14"/>
      <c r="J2849" s="9" cm="1">
        <f t="array" ref="J2849">SUMPRODUCT((Tablo3[Urun Ad]=I2849)*(Tablo3[Ürün Kar Tutarı]))</f>
        <v>0</v>
      </c>
      <c r="L2849" s="37"/>
    </row>
    <row r="2850" spans="1:12" x14ac:dyDescent="0.25">
      <c r="A2850" s="13"/>
      <c r="B2850" s="9" cm="1">
        <f t="array" ref="B2850">SUMPRODUCT((Tablo3[Personel Ad]=A2850)*(Tablo3[Ürün Kar Tutarı]))</f>
        <v>0</v>
      </c>
      <c r="D2850" s="14"/>
      <c r="F2850" s="9" cm="1">
        <f t="array" ref="F2850">SUMPRODUCT((Tablo3[Şehirler]=E2850)*(Tablo3[Ürün Kar Tutarı]))</f>
        <v>0</v>
      </c>
      <c r="H2850" s="14"/>
      <c r="J2850" s="9" cm="1">
        <f t="array" ref="J2850">SUMPRODUCT((Tablo3[Urun Ad]=I2850)*(Tablo3[Ürün Kar Tutarı]))</f>
        <v>0</v>
      </c>
      <c r="L2850" s="37"/>
    </row>
    <row r="2851" spans="1:12" x14ac:dyDescent="0.25">
      <c r="A2851" s="13"/>
      <c r="B2851" s="9" cm="1">
        <f t="array" ref="B2851">SUMPRODUCT((Tablo3[Personel Ad]=A2851)*(Tablo3[Ürün Kar Tutarı]))</f>
        <v>0</v>
      </c>
      <c r="D2851" s="14"/>
      <c r="F2851" s="9" cm="1">
        <f t="array" ref="F2851">SUMPRODUCT((Tablo3[Şehirler]=E2851)*(Tablo3[Ürün Kar Tutarı]))</f>
        <v>0</v>
      </c>
      <c r="H2851" s="14"/>
      <c r="J2851" s="9" cm="1">
        <f t="array" ref="J2851">SUMPRODUCT((Tablo3[Urun Ad]=I2851)*(Tablo3[Ürün Kar Tutarı]))</f>
        <v>0</v>
      </c>
      <c r="L2851" s="37"/>
    </row>
    <row r="2852" spans="1:12" x14ac:dyDescent="0.25">
      <c r="A2852" s="13"/>
      <c r="B2852" s="9" cm="1">
        <f t="array" ref="B2852">SUMPRODUCT((Tablo3[Personel Ad]=A2852)*(Tablo3[Ürün Kar Tutarı]))</f>
        <v>0</v>
      </c>
      <c r="D2852" s="14"/>
      <c r="F2852" s="9" cm="1">
        <f t="array" ref="F2852">SUMPRODUCT((Tablo3[Şehirler]=E2852)*(Tablo3[Ürün Kar Tutarı]))</f>
        <v>0</v>
      </c>
      <c r="H2852" s="14"/>
      <c r="J2852" s="9" cm="1">
        <f t="array" ref="J2852">SUMPRODUCT((Tablo3[Urun Ad]=I2852)*(Tablo3[Ürün Kar Tutarı]))</f>
        <v>0</v>
      </c>
      <c r="L2852" s="37"/>
    </row>
    <row r="2853" spans="1:12" x14ac:dyDescent="0.25">
      <c r="A2853" s="13"/>
      <c r="B2853" s="9" cm="1">
        <f t="array" ref="B2853">SUMPRODUCT((Tablo3[Personel Ad]=A2853)*(Tablo3[Ürün Kar Tutarı]))</f>
        <v>0</v>
      </c>
      <c r="D2853" s="14"/>
      <c r="F2853" s="9" cm="1">
        <f t="array" ref="F2853">SUMPRODUCT((Tablo3[Şehirler]=E2853)*(Tablo3[Ürün Kar Tutarı]))</f>
        <v>0</v>
      </c>
      <c r="H2853" s="14"/>
      <c r="J2853" s="9" cm="1">
        <f t="array" ref="J2853">SUMPRODUCT((Tablo3[Urun Ad]=I2853)*(Tablo3[Ürün Kar Tutarı]))</f>
        <v>0</v>
      </c>
      <c r="L2853" s="37"/>
    </row>
    <row r="2854" spans="1:12" x14ac:dyDescent="0.25">
      <c r="A2854" s="13"/>
      <c r="B2854" s="9" cm="1">
        <f t="array" ref="B2854">SUMPRODUCT((Tablo3[Personel Ad]=A2854)*(Tablo3[Ürün Kar Tutarı]))</f>
        <v>0</v>
      </c>
      <c r="D2854" s="14"/>
      <c r="F2854" s="9" cm="1">
        <f t="array" ref="F2854">SUMPRODUCT((Tablo3[Şehirler]=E2854)*(Tablo3[Ürün Kar Tutarı]))</f>
        <v>0</v>
      </c>
      <c r="H2854" s="14"/>
      <c r="J2854" s="9" cm="1">
        <f t="array" ref="J2854">SUMPRODUCT((Tablo3[Urun Ad]=I2854)*(Tablo3[Ürün Kar Tutarı]))</f>
        <v>0</v>
      </c>
      <c r="L2854" s="37"/>
    </row>
    <row r="2855" spans="1:12" x14ac:dyDescent="0.25">
      <c r="A2855" s="13"/>
      <c r="B2855" s="9" cm="1">
        <f t="array" ref="B2855">SUMPRODUCT((Tablo3[Personel Ad]=A2855)*(Tablo3[Ürün Kar Tutarı]))</f>
        <v>0</v>
      </c>
      <c r="D2855" s="14"/>
      <c r="F2855" s="9" cm="1">
        <f t="array" ref="F2855">SUMPRODUCT((Tablo3[Şehirler]=E2855)*(Tablo3[Ürün Kar Tutarı]))</f>
        <v>0</v>
      </c>
      <c r="H2855" s="14"/>
      <c r="J2855" s="9" cm="1">
        <f t="array" ref="J2855">SUMPRODUCT((Tablo3[Urun Ad]=I2855)*(Tablo3[Ürün Kar Tutarı]))</f>
        <v>0</v>
      </c>
      <c r="L2855" s="37"/>
    </row>
    <row r="2856" spans="1:12" x14ac:dyDescent="0.25">
      <c r="A2856" s="13"/>
      <c r="B2856" s="9" cm="1">
        <f t="array" ref="B2856">SUMPRODUCT((Tablo3[Personel Ad]=A2856)*(Tablo3[Ürün Kar Tutarı]))</f>
        <v>0</v>
      </c>
      <c r="D2856" s="14"/>
      <c r="F2856" s="9" cm="1">
        <f t="array" ref="F2856">SUMPRODUCT((Tablo3[Şehirler]=E2856)*(Tablo3[Ürün Kar Tutarı]))</f>
        <v>0</v>
      </c>
      <c r="H2856" s="14"/>
      <c r="J2856" s="9" cm="1">
        <f t="array" ref="J2856">SUMPRODUCT((Tablo3[Urun Ad]=I2856)*(Tablo3[Ürün Kar Tutarı]))</f>
        <v>0</v>
      </c>
      <c r="L2856" s="37"/>
    </row>
    <row r="2857" spans="1:12" x14ac:dyDescent="0.25">
      <c r="A2857" s="13"/>
      <c r="B2857" s="9" cm="1">
        <f t="array" ref="B2857">SUMPRODUCT((Tablo3[Personel Ad]=A2857)*(Tablo3[Ürün Kar Tutarı]))</f>
        <v>0</v>
      </c>
      <c r="D2857" s="14"/>
      <c r="F2857" s="9" cm="1">
        <f t="array" ref="F2857">SUMPRODUCT((Tablo3[Şehirler]=E2857)*(Tablo3[Ürün Kar Tutarı]))</f>
        <v>0</v>
      </c>
      <c r="H2857" s="14"/>
      <c r="J2857" s="9" cm="1">
        <f t="array" ref="J2857">SUMPRODUCT((Tablo3[Urun Ad]=I2857)*(Tablo3[Ürün Kar Tutarı]))</f>
        <v>0</v>
      </c>
      <c r="L2857" s="37"/>
    </row>
    <row r="2858" spans="1:12" x14ac:dyDescent="0.25">
      <c r="A2858" s="13"/>
      <c r="B2858" s="9" cm="1">
        <f t="array" ref="B2858">SUMPRODUCT((Tablo3[Personel Ad]=A2858)*(Tablo3[Ürün Kar Tutarı]))</f>
        <v>0</v>
      </c>
      <c r="D2858" s="14"/>
      <c r="F2858" s="9" cm="1">
        <f t="array" ref="F2858">SUMPRODUCT((Tablo3[Şehirler]=E2858)*(Tablo3[Ürün Kar Tutarı]))</f>
        <v>0</v>
      </c>
      <c r="H2858" s="14"/>
      <c r="J2858" s="9" cm="1">
        <f t="array" ref="J2858">SUMPRODUCT((Tablo3[Urun Ad]=I2858)*(Tablo3[Ürün Kar Tutarı]))</f>
        <v>0</v>
      </c>
      <c r="L2858" s="37"/>
    </row>
    <row r="2859" spans="1:12" x14ac:dyDescent="0.25">
      <c r="A2859" s="13"/>
      <c r="B2859" s="9" cm="1">
        <f t="array" ref="B2859">SUMPRODUCT((Tablo3[Personel Ad]=A2859)*(Tablo3[Ürün Kar Tutarı]))</f>
        <v>0</v>
      </c>
      <c r="D2859" s="14"/>
      <c r="F2859" s="9" cm="1">
        <f t="array" ref="F2859">SUMPRODUCT((Tablo3[Şehirler]=E2859)*(Tablo3[Ürün Kar Tutarı]))</f>
        <v>0</v>
      </c>
      <c r="H2859" s="14"/>
      <c r="J2859" s="9" cm="1">
        <f t="array" ref="J2859">SUMPRODUCT((Tablo3[Urun Ad]=I2859)*(Tablo3[Ürün Kar Tutarı]))</f>
        <v>0</v>
      </c>
      <c r="L2859" s="37"/>
    </row>
    <row r="2860" spans="1:12" x14ac:dyDescent="0.25">
      <c r="A2860" s="13"/>
      <c r="B2860" s="9" cm="1">
        <f t="array" ref="B2860">SUMPRODUCT((Tablo3[Personel Ad]=A2860)*(Tablo3[Ürün Kar Tutarı]))</f>
        <v>0</v>
      </c>
      <c r="D2860" s="14"/>
      <c r="F2860" s="9" cm="1">
        <f t="array" ref="F2860">SUMPRODUCT((Tablo3[Şehirler]=E2860)*(Tablo3[Ürün Kar Tutarı]))</f>
        <v>0</v>
      </c>
      <c r="H2860" s="14"/>
      <c r="J2860" s="9" cm="1">
        <f t="array" ref="J2860">SUMPRODUCT((Tablo3[Urun Ad]=I2860)*(Tablo3[Ürün Kar Tutarı]))</f>
        <v>0</v>
      </c>
      <c r="L2860" s="37"/>
    </row>
    <row r="2861" spans="1:12" x14ac:dyDescent="0.25">
      <c r="A2861" s="13"/>
      <c r="B2861" s="9" cm="1">
        <f t="array" ref="B2861">SUMPRODUCT((Tablo3[Personel Ad]=A2861)*(Tablo3[Ürün Kar Tutarı]))</f>
        <v>0</v>
      </c>
      <c r="D2861" s="14"/>
      <c r="F2861" s="9" cm="1">
        <f t="array" ref="F2861">SUMPRODUCT((Tablo3[Şehirler]=E2861)*(Tablo3[Ürün Kar Tutarı]))</f>
        <v>0</v>
      </c>
      <c r="H2861" s="14"/>
      <c r="J2861" s="9" cm="1">
        <f t="array" ref="J2861">SUMPRODUCT((Tablo3[Urun Ad]=I2861)*(Tablo3[Ürün Kar Tutarı]))</f>
        <v>0</v>
      </c>
      <c r="L2861" s="37"/>
    </row>
    <row r="2862" spans="1:12" x14ac:dyDescent="0.25">
      <c r="A2862" s="13"/>
      <c r="B2862" s="9" cm="1">
        <f t="array" ref="B2862">SUMPRODUCT((Tablo3[Personel Ad]=A2862)*(Tablo3[Ürün Kar Tutarı]))</f>
        <v>0</v>
      </c>
      <c r="D2862" s="14"/>
      <c r="F2862" s="9" cm="1">
        <f t="array" ref="F2862">SUMPRODUCT((Tablo3[Şehirler]=E2862)*(Tablo3[Ürün Kar Tutarı]))</f>
        <v>0</v>
      </c>
      <c r="H2862" s="14"/>
      <c r="J2862" s="9" cm="1">
        <f t="array" ref="J2862">SUMPRODUCT((Tablo3[Urun Ad]=I2862)*(Tablo3[Ürün Kar Tutarı]))</f>
        <v>0</v>
      </c>
      <c r="L2862" s="37"/>
    </row>
    <row r="2863" spans="1:12" x14ac:dyDescent="0.25">
      <c r="A2863" s="13"/>
      <c r="B2863" s="9" cm="1">
        <f t="array" ref="B2863">SUMPRODUCT((Tablo3[Personel Ad]=A2863)*(Tablo3[Ürün Kar Tutarı]))</f>
        <v>0</v>
      </c>
      <c r="D2863" s="14"/>
      <c r="F2863" s="9" cm="1">
        <f t="array" ref="F2863">SUMPRODUCT((Tablo3[Şehirler]=E2863)*(Tablo3[Ürün Kar Tutarı]))</f>
        <v>0</v>
      </c>
      <c r="H2863" s="14"/>
      <c r="J2863" s="9" cm="1">
        <f t="array" ref="J2863">SUMPRODUCT((Tablo3[Urun Ad]=I2863)*(Tablo3[Ürün Kar Tutarı]))</f>
        <v>0</v>
      </c>
      <c r="L2863" s="37"/>
    </row>
    <row r="2864" spans="1:12" x14ac:dyDescent="0.25">
      <c r="A2864" s="13"/>
      <c r="B2864" s="9" cm="1">
        <f t="array" ref="B2864">SUMPRODUCT((Tablo3[Personel Ad]=A2864)*(Tablo3[Ürün Kar Tutarı]))</f>
        <v>0</v>
      </c>
      <c r="D2864" s="14"/>
      <c r="F2864" s="9" cm="1">
        <f t="array" ref="F2864">SUMPRODUCT((Tablo3[Şehirler]=E2864)*(Tablo3[Ürün Kar Tutarı]))</f>
        <v>0</v>
      </c>
      <c r="H2864" s="14"/>
      <c r="J2864" s="9" cm="1">
        <f t="array" ref="J2864">SUMPRODUCT((Tablo3[Urun Ad]=I2864)*(Tablo3[Ürün Kar Tutarı]))</f>
        <v>0</v>
      </c>
      <c r="L2864" s="37"/>
    </row>
    <row r="2865" spans="1:12" x14ac:dyDescent="0.25">
      <c r="A2865" s="13"/>
      <c r="B2865" s="9" cm="1">
        <f t="array" ref="B2865">SUMPRODUCT((Tablo3[Personel Ad]=A2865)*(Tablo3[Ürün Kar Tutarı]))</f>
        <v>0</v>
      </c>
      <c r="D2865" s="14"/>
      <c r="F2865" s="9" cm="1">
        <f t="array" ref="F2865">SUMPRODUCT((Tablo3[Şehirler]=E2865)*(Tablo3[Ürün Kar Tutarı]))</f>
        <v>0</v>
      </c>
      <c r="H2865" s="14"/>
      <c r="J2865" s="9" cm="1">
        <f t="array" ref="J2865">SUMPRODUCT((Tablo3[Urun Ad]=I2865)*(Tablo3[Ürün Kar Tutarı]))</f>
        <v>0</v>
      </c>
      <c r="L2865" s="37"/>
    </row>
    <row r="2866" spans="1:12" x14ac:dyDescent="0.25">
      <c r="A2866" s="13"/>
      <c r="B2866" s="9" cm="1">
        <f t="array" ref="B2866">SUMPRODUCT((Tablo3[Personel Ad]=A2866)*(Tablo3[Ürün Kar Tutarı]))</f>
        <v>0</v>
      </c>
      <c r="D2866" s="14"/>
      <c r="F2866" s="9" cm="1">
        <f t="array" ref="F2866">SUMPRODUCT((Tablo3[Şehirler]=E2866)*(Tablo3[Ürün Kar Tutarı]))</f>
        <v>0</v>
      </c>
      <c r="H2866" s="14"/>
      <c r="J2866" s="9" cm="1">
        <f t="array" ref="J2866">SUMPRODUCT((Tablo3[Urun Ad]=I2866)*(Tablo3[Ürün Kar Tutarı]))</f>
        <v>0</v>
      </c>
      <c r="L2866" s="37"/>
    </row>
    <row r="2867" spans="1:12" x14ac:dyDescent="0.25">
      <c r="A2867" s="13"/>
      <c r="B2867" s="9" cm="1">
        <f t="array" ref="B2867">SUMPRODUCT((Tablo3[Personel Ad]=A2867)*(Tablo3[Ürün Kar Tutarı]))</f>
        <v>0</v>
      </c>
      <c r="D2867" s="14"/>
      <c r="F2867" s="9" cm="1">
        <f t="array" ref="F2867">SUMPRODUCT((Tablo3[Şehirler]=E2867)*(Tablo3[Ürün Kar Tutarı]))</f>
        <v>0</v>
      </c>
      <c r="H2867" s="14"/>
      <c r="J2867" s="9" cm="1">
        <f t="array" ref="J2867">SUMPRODUCT((Tablo3[Urun Ad]=I2867)*(Tablo3[Ürün Kar Tutarı]))</f>
        <v>0</v>
      </c>
      <c r="L2867" s="37"/>
    </row>
    <row r="2868" spans="1:12" x14ac:dyDescent="0.25">
      <c r="A2868" s="13"/>
      <c r="B2868" s="9" cm="1">
        <f t="array" ref="B2868">SUMPRODUCT((Tablo3[Personel Ad]=A2868)*(Tablo3[Ürün Kar Tutarı]))</f>
        <v>0</v>
      </c>
      <c r="D2868" s="14"/>
      <c r="F2868" s="9" cm="1">
        <f t="array" ref="F2868">SUMPRODUCT((Tablo3[Şehirler]=E2868)*(Tablo3[Ürün Kar Tutarı]))</f>
        <v>0</v>
      </c>
      <c r="H2868" s="14"/>
      <c r="J2868" s="9" cm="1">
        <f t="array" ref="J2868">SUMPRODUCT((Tablo3[Urun Ad]=I2868)*(Tablo3[Ürün Kar Tutarı]))</f>
        <v>0</v>
      </c>
      <c r="L2868" s="37"/>
    </row>
    <row r="2869" spans="1:12" x14ac:dyDescent="0.25">
      <c r="A2869" s="13"/>
      <c r="B2869" s="9" cm="1">
        <f t="array" ref="B2869">SUMPRODUCT((Tablo3[Personel Ad]=A2869)*(Tablo3[Ürün Kar Tutarı]))</f>
        <v>0</v>
      </c>
      <c r="D2869" s="14"/>
      <c r="F2869" s="9" cm="1">
        <f t="array" ref="F2869">SUMPRODUCT((Tablo3[Şehirler]=E2869)*(Tablo3[Ürün Kar Tutarı]))</f>
        <v>0</v>
      </c>
      <c r="H2869" s="14"/>
      <c r="J2869" s="9" cm="1">
        <f t="array" ref="J2869">SUMPRODUCT((Tablo3[Urun Ad]=I2869)*(Tablo3[Ürün Kar Tutarı]))</f>
        <v>0</v>
      </c>
      <c r="L2869" s="37"/>
    </row>
    <row r="2870" spans="1:12" x14ac:dyDescent="0.25">
      <c r="A2870" s="13"/>
      <c r="B2870" s="9" cm="1">
        <f t="array" ref="B2870">SUMPRODUCT((Tablo3[Personel Ad]=A2870)*(Tablo3[Ürün Kar Tutarı]))</f>
        <v>0</v>
      </c>
      <c r="D2870" s="14"/>
      <c r="F2870" s="9" cm="1">
        <f t="array" ref="F2870">SUMPRODUCT((Tablo3[Şehirler]=E2870)*(Tablo3[Ürün Kar Tutarı]))</f>
        <v>0</v>
      </c>
      <c r="H2870" s="14"/>
      <c r="J2870" s="9" cm="1">
        <f t="array" ref="J2870">SUMPRODUCT((Tablo3[Urun Ad]=I2870)*(Tablo3[Ürün Kar Tutarı]))</f>
        <v>0</v>
      </c>
      <c r="L2870" s="37"/>
    </row>
    <row r="2871" spans="1:12" x14ac:dyDescent="0.25">
      <c r="A2871" s="13"/>
      <c r="B2871" s="9" cm="1">
        <f t="array" ref="B2871">SUMPRODUCT((Tablo3[Personel Ad]=A2871)*(Tablo3[Ürün Kar Tutarı]))</f>
        <v>0</v>
      </c>
      <c r="D2871" s="14"/>
      <c r="F2871" s="9" cm="1">
        <f t="array" ref="F2871">SUMPRODUCT((Tablo3[Şehirler]=E2871)*(Tablo3[Ürün Kar Tutarı]))</f>
        <v>0</v>
      </c>
      <c r="H2871" s="14"/>
      <c r="J2871" s="9" cm="1">
        <f t="array" ref="J2871">SUMPRODUCT((Tablo3[Urun Ad]=I2871)*(Tablo3[Ürün Kar Tutarı]))</f>
        <v>0</v>
      </c>
      <c r="L2871" s="37"/>
    </row>
    <row r="2872" spans="1:12" x14ac:dyDescent="0.25">
      <c r="A2872" s="13"/>
      <c r="B2872" s="9" cm="1">
        <f t="array" ref="B2872">SUMPRODUCT((Tablo3[Personel Ad]=A2872)*(Tablo3[Ürün Kar Tutarı]))</f>
        <v>0</v>
      </c>
      <c r="D2872" s="14"/>
      <c r="F2872" s="9" cm="1">
        <f t="array" ref="F2872">SUMPRODUCT((Tablo3[Şehirler]=E2872)*(Tablo3[Ürün Kar Tutarı]))</f>
        <v>0</v>
      </c>
      <c r="H2872" s="14"/>
      <c r="J2872" s="9" cm="1">
        <f t="array" ref="J2872">SUMPRODUCT((Tablo3[Urun Ad]=I2872)*(Tablo3[Ürün Kar Tutarı]))</f>
        <v>0</v>
      </c>
      <c r="L2872" s="37"/>
    </row>
    <row r="2873" spans="1:12" x14ac:dyDescent="0.25">
      <c r="A2873" s="13"/>
      <c r="B2873" s="9" cm="1">
        <f t="array" ref="B2873">SUMPRODUCT((Tablo3[Personel Ad]=A2873)*(Tablo3[Ürün Kar Tutarı]))</f>
        <v>0</v>
      </c>
      <c r="D2873" s="14"/>
      <c r="F2873" s="9" cm="1">
        <f t="array" ref="F2873">SUMPRODUCT((Tablo3[Şehirler]=E2873)*(Tablo3[Ürün Kar Tutarı]))</f>
        <v>0</v>
      </c>
      <c r="H2873" s="14"/>
      <c r="J2873" s="9" cm="1">
        <f t="array" ref="J2873">SUMPRODUCT((Tablo3[Urun Ad]=I2873)*(Tablo3[Ürün Kar Tutarı]))</f>
        <v>0</v>
      </c>
      <c r="L2873" s="37"/>
    </row>
    <row r="2874" spans="1:12" x14ac:dyDescent="0.25">
      <c r="A2874" s="13"/>
      <c r="B2874" s="9" cm="1">
        <f t="array" ref="B2874">SUMPRODUCT((Tablo3[Personel Ad]=A2874)*(Tablo3[Ürün Kar Tutarı]))</f>
        <v>0</v>
      </c>
      <c r="D2874" s="14"/>
      <c r="F2874" s="9" cm="1">
        <f t="array" ref="F2874">SUMPRODUCT((Tablo3[Şehirler]=E2874)*(Tablo3[Ürün Kar Tutarı]))</f>
        <v>0</v>
      </c>
      <c r="H2874" s="14"/>
      <c r="J2874" s="9" cm="1">
        <f t="array" ref="J2874">SUMPRODUCT((Tablo3[Urun Ad]=I2874)*(Tablo3[Ürün Kar Tutarı]))</f>
        <v>0</v>
      </c>
      <c r="L2874" s="37"/>
    </row>
    <row r="2875" spans="1:12" x14ac:dyDescent="0.25">
      <c r="A2875" s="13"/>
      <c r="B2875" s="9" cm="1">
        <f t="array" ref="B2875">SUMPRODUCT((Tablo3[Personel Ad]=A2875)*(Tablo3[Ürün Kar Tutarı]))</f>
        <v>0</v>
      </c>
      <c r="D2875" s="14"/>
      <c r="F2875" s="9" cm="1">
        <f t="array" ref="F2875">SUMPRODUCT((Tablo3[Şehirler]=E2875)*(Tablo3[Ürün Kar Tutarı]))</f>
        <v>0</v>
      </c>
      <c r="H2875" s="14"/>
      <c r="J2875" s="9" cm="1">
        <f t="array" ref="J2875">SUMPRODUCT((Tablo3[Urun Ad]=I2875)*(Tablo3[Ürün Kar Tutarı]))</f>
        <v>0</v>
      </c>
      <c r="L2875" s="37"/>
    </row>
    <row r="2876" spans="1:12" x14ac:dyDescent="0.25">
      <c r="A2876" s="13"/>
      <c r="B2876" s="9" cm="1">
        <f t="array" ref="B2876">SUMPRODUCT((Tablo3[Personel Ad]=A2876)*(Tablo3[Ürün Kar Tutarı]))</f>
        <v>0</v>
      </c>
      <c r="D2876" s="14"/>
      <c r="F2876" s="9" cm="1">
        <f t="array" ref="F2876">SUMPRODUCT((Tablo3[Şehirler]=E2876)*(Tablo3[Ürün Kar Tutarı]))</f>
        <v>0</v>
      </c>
      <c r="H2876" s="14"/>
      <c r="J2876" s="9" cm="1">
        <f t="array" ref="J2876">SUMPRODUCT((Tablo3[Urun Ad]=I2876)*(Tablo3[Ürün Kar Tutarı]))</f>
        <v>0</v>
      </c>
      <c r="L2876" s="37"/>
    </row>
    <row r="2877" spans="1:12" x14ac:dyDescent="0.25">
      <c r="A2877" s="13"/>
      <c r="B2877" s="9" cm="1">
        <f t="array" ref="B2877">SUMPRODUCT((Tablo3[Personel Ad]=A2877)*(Tablo3[Ürün Kar Tutarı]))</f>
        <v>0</v>
      </c>
      <c r="D2877" s="14"/>
      <c r="F2877" s="9" cm="1">
        <f t="array" ref="F2877">SUMPRODUCT((Tablo3[Şehirler]=E2877)*(Tablo3[Ürün Kar Tutarı]))</f>
        <v>0</v>
      </c>
      <c r="H2877" s="14"/>
      <c r="J2877" s="9" cm="1">
        <f t="array" ref="J2877">SUMPRODUCT((Tablo3[Urun Ad]=I2877)*(Tablo3[Ürün Kar Tutarı]))</f>
        <v>0</v>
      </c>
      <c r="L2877" s="37"/>
    </row>
    <row r="2878" spans="1:12" x14ac:dyDescent="0.25">
      <c r="A2878" s="13"/>
      <c r="B2878" s="9" cm="1">
        <f t="array" ref="B2878">SUMPRODUCT((Tablo3[Personel Ad]=A2878)*(Tablo3[Ürün Kar Tutarı]))</f>
        <v>0</v>
      </c>
      <c r="D2878" s="14"/>
      <c r="F2878" s="9" cm="1">
        <f t="array" ref="F2878">SUMPRODUCT((Tablo3[Şehirler]=E2878)*(Tablo3[Ürün Kar Tutarı]))</f>
        <v>0</v>
      </c>
      <c r="H2878" s="14"/>
      <c r="J2878" s="9" cm="1">
        <f t="array" ref="J2878">SUMPRODUCT((Tablo3[Urun Ad]=I2878)*(Tablo3[Ürün Kar Tutarı]))</f>
        <v>0</v>
      </c>
      <c r="L2878" s="37"/>
    </row>
    <row r="2879" spans="1:12" x14ac:dyDescent="0.25">
      <c r="A2879" s="13"/>
      <c r="B2879" s="9" cm="1">
        <f t="array" ref="B2879">SUMPRODUCT((Tablo3[Personel Ad]=A2879)*(Tablo3[Ürün Kar Tutarı]))</f>
        <v>0</v>
      </c>
      <c r="D2879" s="14"/>
      <c r="F2879" s="9" cm="1">
        <f t="array" ref="F2879">SUMPRODUCT((Tablo3[Şehirler]=E2879)*(Tablo3[Ürün Kar Tutarı]))</f>
        <v>0</v>
      </c>
      <c r="H2879" s="14"/>
      <c r="J2879" s="9" cm="1">
        <f t="array" ref="J2879">SUMPRODUCT((Tablo3[Urun Ad]=I2879)*(Tablo3[Ürün Kar Tutarı]))</f>
        <v>0</v>
      </c>
      <c r="L2879" s="37"/>
    </row>
    <row r="2880" spans="1:12" x14ac:dyDescent="0.25">
      <c r="A2880" s="13"/>
      <c r="B2880" s="9" cm="1">
        <f t="array" ref="B2880">SUMPRODUCT((Tablo3[Personel Ad]=A2880)*(Tablo3[Ürün Kar Tutarı]))</f>
        <v>0</v>
      </c>
      <c r="D2880" s="14"/>
      <c r="F2880" s="9" cm="1">
        <f t="array" ref="F2880">SUMPRODUCT((Tablo3[Şehirler]=E2880)*(Tablo3[Ürün Kar Tutarı]))</f>
        <v>0</v>
      </c>
      <c r="H2880" s="14"/>
      <c r="J2880" s="9" cm="1">
        <f t="array" ref="J2880">SUMPRODUCT((Tablo3[Urun Ad]=I2880)*(Tablo3[Ürün Kar Tutarı]))</f>
        <v>0</v>
      </c>
      <c r="L2880" s="37"/>
    </row>
    <row r="2881" spans="1:12" x14ac:dyDescent="0.25">
      <c r="A2881" s="13"/>
      <c r="B2881" s="9" cm="1">
        <f t="array" ref="B2881">SUMPRODUCT((Tablo3[Personel Ad]=A2881)*(Tablo3[Ürün Kar Tutarı]))</f>
        <v>0</v>
      </c>
      <c r="D2881" s="14"/>
      <c r="F2881" s="9" cm="1">
        <f t="array" ref="F2881">SUMPRODUCT((Tablo3[Şehirler]=E2881)*(Tablo3[Ürün Kar Tutarı]))</f>
        <v>0</v>
      </c>
      <c r="H2881" s="14"/>
      <c r="J2881" s="9" cm="1">
        <f t="array" ref="J2881">SUMPRODUCT((Tablo3[Urun Ad]=I2881)*(Tablo3[Ürün Kar Tutarı]))</f>
        <v>0</v>
      </c>
      <c r="L2881" s="37"/>
    </row>
    <row r="2882" spans="1:12" x14ac:dyDescent="0.25">
      <c r="A2882" s="13"/>
      <c r="B2882" s="9" cm="1">
        <f t="array" ref="B2882">SUMPRODUCT((Tablo3[Personel Ad]=A2882)*(Tablo3[Ürün Kar Tutarı]))</f>
        <v>0</v>
      </c>
      <c r="D2882" s="14"/>
      <c r="F2882" s="9" cm="1">
        <f t="array" ref="F2882">SUMPRODUCT((Tablo3[Şehirler]=E2882)*(Tablo3[Ürün Kar Tutarı]))</f>
        <v>0</v>
      </c>
      <c r="H2882" s="14"/>
      <c r="J2882" s="9" cm="1">
        <f t="array" ref="J2882">SUMPRODUCT((Tablo3[Urun Ad]=I2882)*(Tablo3[Ürün Kar Tutarı]))</f>
        <v>0</v>
      </c>
      <c r="L2882" s="37"/>
    </row>
    <row r="2883" spans="1:12" x14ac:dyDescent="0.25">
      <c r="A2883" s="13"/>
      <c r="B2883" s="9" cm="1">
        <f t="array" ref="B2883">SUMPRODUCT((Tablo3[Personel Ad]=A2883)*(Tablo3[Ürün Kar Tutarı]))</f>
        <v>0</v>
      </c>
      <c r="D2883" s="14"/>
      <c r="F2883" s="9" cm="1">
        <f t="array" ref="F2883">SUMPRODUCT((Tablo3[Şehirler]=E2883)*(Tablo3[Ürün Kar Tutarı]))</f>
        <v>0</v>
      </c>
      <c r="H2883" s="14"/>
      <c r="J2883" s="9" cm="1">
        <f t="array" ref="J2883">SUMPRODUCT((Tablo3[Urun Ad]=I2883)*(Tablo3[Ürün Kar Tutarı]))</f>
        <v>0</v>
      </c>
      <c r="L2883" s="37"/>
    </row>
    <row r="2884" spans="1:12" x14ac:dyDescent="0.25">
      <c r="A2884" s="13"/>
      <c r="B2884" s="9" cm="1">
        <f t="array" ref="B2884">SUMPRODUCT((Tablo3[Personel Ad]=A2884)*(Tablo3[Ürün Kar Tutarı]))</f>
        <v>0</v>
      </c>
      <c r="D2884" s="14"/>
      <c r="F2884" s="9" cm="1">
        <f t="array" ref="F2884">SUMPRODUCT((Tablo3[Şehirler]=E2884)*(Tablo3[Ürün Kar Tutarı]))</f>
        <v>0</v>
      </c>
      <c r="H2884" s="14"/>
      <c r="J2884" s="9" cm="1">
        <f t="array" ref="J2884">SUMPRODUCT((Tablo3[Urun Ad]=I2884)*(Tablo3[Ürün Kar Tutarı]))</f>
        <v>0</v>
      </c>
      <c r="L2884" s="37"/>
    </row>
    <row r="2885" spans="1:12" x14ac:dyDescent="0.25">
      <c r="A2885" s="13"/>
      <c r="B2885" s="9" cm="1">
        <f t="array" ref="B2885">SUMPRODUCT((Tablo3[Personel Ad]=A2885)*(Tablo3[Ürün Kar Tutarı]))</f>
        <v>0</v>
      </c>
      <c r="D2885" s="14"/>
      <c r="F2885" s="9" cm="1">
        <f t="array" ref="F2885">SUMPRODUCT((Tablo3[Şehirler]=E2885)*(Tablo3[Ürün Kar Tutarı]))</f>
        <v>0</v>
      </c>
      <c r="H2885" s="14"/>
      <c r="J2885" s="9" cm="1">
        <f t="array" ref="J2885">SUMPRODUCT((Tablo3[Urun Ad]=I2885)*(Tablo3[Ürün Kar Tutarı]))</f>
        <v>0</v>
      </c>
      <c r="L2885" s="37"/>
    </row>
    <row r="2886" spans="1:12" x14ac:dyDescent="0.25">
      <c r="A2886" s="13"/>
      <c r="B2886" s="9" cm="1">
        <f t="array" ref="B2886">SUMPRODUCT((Tablo3[Personel Ad]=A2886)*(Tablo3[Ürün Kar Tutarı]))</f>
        <v>0</v>
      </c>
      <c r="D2886" s="14"/>
      <c r="F2886" s="9" cm="1">
        <f t="array" ref="F2886">SUMPRODUCT((Tablo3[Şehirler]=E2886)*(Tablo3[Ürün Kar Tutarı]))</f>
        <v>0</v>
      </c>
      <c r="H2886" s="14"/>
      <c r="J2886" s="9" cm="1">
        <f t="array" ref="J2886">SUMPRODUCT((Tablo3[Urun Ad]=I2886)*(Tablo3[Ürün Kar Tutarı]))</f>
        <v>0</v>
      </c>
      <c r="L2886" s="37"/>
    </row>
    <row r="2887" spans="1:12" x14ac:dyDescent="0.25">
      <c r="A2887" s="13"/>
      <c r="B2887" s="9" cm="1">
        <f t="array" ref="B2887">SUMPRODUCT((Tablo3[Personel Ad]=A2887)*(Tablo3[Ürün Kar Tutarı]))</f>
        <v>0</v>
      </c>
      <c r="D2887" s="14"/>
      <c r="F2887" s="9" cm="1">
        <f t="array" ref="F2887">SUMPRODUCT((Tablo3[Şehirler]=E2887)*(Tablo3[Ürün Kar Tutarı]))</f>
        <v>0</v>
      </c>
      <c r="H2887" s="14"/>
      <c r="J2887" s="9" cm="1">
        <f t="array" ref="J2887">SUMPRODUCT((Tablo3[Urun Ad]=I2887)*(Tablo3[Ürün Kar Tutarı]))</f>
        <v>0</v>
      </c>
      <c r="L2887" s="37"/>
    </row>
    <row r="2888" spans="1:12" x14ac:dyDescent="0.25">
      <c r="A2888" s="13"/>
      <c r="B2888" s="9" cm="1">
        <f t="array" ref="B2888">SUMPRODUCT((Tablo3[Personel Ad]=A2888)*(Tablo3[Ürün Kar Tutarı]))</f>
        <v>0</v>
      </c>
      <c r="D2888" s="14"/>
      <c r="F2888" s="9" cm="1">
        <f t="array" ref="F2888">SUMPRODUCT((Tablo3[Şehirler]=E2888)*(Tablo3[Ürün Kar Tutarı]))</f>
        <v>0</v>
      </c>
      <c r="H2888" s="14"/>
      <c r="J2888" s="9" cm="1">
        <f t="array" ref="J2888">SUMPRODUCT((Tablo3[Urun Ad]=I2888)*(Tablo3[Ürün Kar Tutarı]))</f>
        <v>0</v>
      </c>
      <c r="L2888" s="37"/>
    </row>
    <row r="2889" spans="1:12" x14ac:dyDescent="0.25">
      <c r="A2889" s="13"/>
      <c r="B2889" s="9" cm="1">
        <f t="array" ref="B2889">SUMPRODUCT((Tablo3[Personel Ad]=A2889)*(Tablo3[Ürün Kar Tutarı]))</f>
        <v>0</v>
      </c>
      <c r="D2889" s="14"/>
      <c r="F2889" s="9" cm="1">
        <f t="array" ref="F2889">SUMPRODUCT((Tablo3[Şehirler]=E2889)*(Tablo3[Ürün Kar Tutarı]))</f>
        <v>0</v>
      </c>
      <c r="H2889" s="14"/>
      <c r="J2889" s="9" cm="1">
        <f t="array" ref="J2889">SUMPRODUCT((Tablo3[Urun Ad]=I2889)*(Tablo3[Ürün Kar Tutarı]))</f>
        <v>0</v>
      </c>
      <c r="L2889" s="37"/>
    </row>
    <row r="2890" spans="1:12" x14ac:dyDescent="0.25">
      <c r="A2890" s="13"/>
      <c r="B2890" s="9" cm="1">
        <f t="array" ref="B2890">SUMPRODUCT((Tablo3[Personel Ad]=A2890)*(Tablo3[Ürün Kar Tutarı]))</f>
        <v>0</v>
      </c>
      <c r="D2890" s="14"/>
      <c r="F2890" s="9" cm="1">
        <f t="array" ref="F2890">SUMPRODUCT((Tablo3[Şehirler]=E2890)*(Tablo3[Ürün Kar Tutarı]))</f>
        <v>0</v>
      </c>
      <c r="H2890" s="14"/>
      <c r="J2890" s="9" cm="1">
        <f t="array" ref="J2890">SUMPRODUCT((Tablo3[Urun Ad]=I2890)*(Tablo3[Ürün Kar Tutarı]))</f>
        <v>0</v>
      </c>
      <c r="L2890" s="37"/>
    </row>
    <row r="2891" spans="1:12" x14ac:dyDescent="0.25">
      <c r="A2891" s="13"/>
      <c r="B2891" s="9" cm="1">
        <f t="array" ref="B2891">SUMPRODUCT((Tablo3[Personel Ad]=A2891)*(Tablo3[Ürün Kar Tutarı]))</f>
        <v>0</v>
      </c>
      <c r="D2891" s="14"/>
      <c r="F2891" s="9" cm="1">
        <f t="array" ref="F2891">SUMPRODUCT((Tablo3[Şehirler]=E2891)*(Tablo3[Ürün Kar Tutarı]))</f>
        <v>0</v>
      </c>
      <c r="H2891" s="14"/>
      <c r="J2891" s="9" cm="1">
        <f t="array" ref="J2891">SUMPRODUCT((Tablo3[Urun Ad]=I2891)*(Tablo3[Ürün Kar Tutarı]))</f>
        <v>0</v>
      </c>
      <c r="L2891" s="37"/>
    </row>
    <row r="2892" spans="1:12" x14ac:dyDescent="0.25">
      <c r="A2892" s="13"/>
      <c r="B2892" s="9" cm="1">
        <f t="array" ref="B2892">SUMPRODUCT((Tablo3[Personel Ad]=A2892)*(Tablo3[Ürün Kar Tutarı]))</f>
        <v>0</v>
      </c>
      <c r="D2892" s="14"/>
      <c r="F2892" s="9" cm="1">
        <f t="array" ref="F2892">SUMPRODUCT((Tablo3[Şehirler]=E2892)*(Tablo3[Ürün Kar Tutarı]))</f>
        <v>0</v>
      </c>
      <c r="H2892" s="14"/>
      <c r="J2892" s="9" cm="1">
        <f t="array" ref="J2892">SUMPRODUCT((Tablo3[Urun Ad]=I2892)*(Tablo3[Ürün Kar Tutarı]))</f>
        <v>0</v>
      </c>
      <c r="L2892" s="37"/>
    </row>
    <row r="2893" spans="1:12" x14ac:dyDescent="0.25">
      <c r="A2893" s="13"/>
      <c r="B2893" s="9" cm="1">
        <f t="array" ref="B2893">SUMPRODUCT((Tablo3[Personel Ad]=A2893)*(Tablo3[Ürün Kar Tutarı]))</f>
        <v>0</v>
      </c>
      <c r="D2893" s="14"/>
      <c r="F2893" s="9" cm="1">
        <f t="array" ref="F2893">SUMPRODUCT((Tablo3[Şehirler]=E2893)*(Tablo3[Ürün Kar Tutarı]))</f>
        <v>0</v>
      </c>
      <c r="H2893" s="14"/>
      <c r="J2893" s="9" cm="1">
        <f t="array" ref="J2893">SUMPRODUCT((Tablo3[Urun Ad]=I2893)*(Tablo3[Ürün Kar Tutarı]))</f>
        <v>0</v>
      </c>
      <c r="L2893" s="37"/>
    </row>
    <row r="2894" spans="1:12" x14ac:dyDescent="0.25">
      <c r="A2894" s="13"/>
      <c r="B2894" s="9" cm="1">
        <f t="array" ref="B2894">SUMPRODUCT((Tablo3[Personel Ad]=A2894)*(Tablo3[Ürün Kar Tutarı]))</f>
        <v>0</v>
      </c>
      <c r="D2894" s="14"/>
      <c r="F2894" s="9" cm="1">
        <f t="array" ref="F2894">SUMPRODUCT((Tablo3[Şehirler]=E2894)*(Tablo3[Ürün Kar Tutarı]))</f>
        <v>0</v>
      </c>
      <c r="H2894" s="14"/>
      <c r="J2894" s="9" cm="1">
        <f t="array" ref="J2894">SUMPRODUCT((Tablo3[Urun Ad]=I2894)*(Tablo3[Ürün Kar Tutarı]))</f>
        <v>0</v>
      </c>
      <c r="L2894" s="37"/>
    </row>
    <row r="2895" spans="1:12" x14ac:dyDescent="0.25">
      <c r="A2895" s="13"/>
      <c r="B2895" s="9" cm="1">
        <f t="array" ref="B2895">SUMPRODUCT((Tablo3[Personel Ad]=A2895)*(Tablo3[Ürün Kar Tutarı]))</f>
        <v>0</v>
      </c>
      <c r="D2895" s="14"/>
      <c r="F2895" s="9" cm="1">
        <f t="array" ref="F2895">SUMPRODUCT((Tablo3[Şehirler]=E2895)*(Tablo3[Ürün Kar Tutarı]))</f>
        <v>0</v>
      </c>
      <c r="H2895" s="14"/>
      <c r="J2895" s="9" cm="1">
        <f t="array" ref="J2895">SUMPRODUCT((Tablo3[Urun Ad]=I2895)*(Tablo3[Ürün Kar Tutarı]))</f>
        <v>0</v>
      </c>
      <c r="L2895" s="37"/>
    </row>
    <row r="2896" spans="1:12" x14ac:dyDescent="0.25">
      <c r="A2896" s="13"/>
      <c r="B2896" s="9" cm="1">
        <f t="array" ref="B2896">SUMPRODUCT((Tablo3[Personel Ad]=A2896)*(Tablo3[Ürün Kar Tutarı]))</f>
        <v>0</v>
      </c>
      <c r="D2896" s="14"/>
      <c r="F2896" s="9" cm="1">
        <f t="array" ref="F2896">SUMPRODUCT((Tablo3[Şehirler]=E2896)*(Tablo3[Ürün Kar Tutarı]))</f>
        <v>0</v>
      </c>
      <c r="H2896" s="14"/>
      <c r="J2896" s="9" cm="1">
        <f t="array" ref="J2896">SUMPRODUCT((Tablo3[Urun Ad]=I2896)*(Tablo3[Ürün Kar Tutarı]))</f>
        <v>0</v>
      </c>
      <c r="L2896" s="37"/>
    </row>
    <row r="2897" spans="1:12" x14ac:dyDescent="0.25">
      <c r="A2897" s="13"/>
      <c r="B2897" s="9" cm="1">
        <f t="array" ref="B2897">SUMPRODUCT((Tablo3[Personel Ad]=A2897)*(Tablo3[Ürün Kar Tutarı]))</f>
        <v>0</v>
      </c>
      <c r="D2897" s="14"/>
      <c r="F2897" s="9" cm="1">
        <f t="array" ref="F2897">SUMPRODUCT((Tablo3[Şehirler]=E2897)*(Tablo3[Ürün Kar Tutarı]))</f>
        <v>0</v>
      </c>
      <c r="H2897" s="14"/>
      <c r="J2897" s="9" cm="1">
        <f t="array" ref="J2897">SUMPRODUCT((Tablo3[Urun Ad]=I2897)*(Tablo3[Ürün Kar Tutarı]))</f>
        <v>0</v>
      </c>
      <c r="L2897" s="37"/>
    </row>
    <row r="2898" spans="1:12" x14ac:dyDescent="0.25">
      <c r="A2898" s="13"/>
      <c r="B2898" s="9" cm="1">
        <f t="array" ref="B2898">SUMPRODUCT((Tablo3[Personel Ad]=A2898)*(Tablo3[Ürün Kar Tutarı]))</f>
        <v>0</v>
      </c>
      <c r="D2898" s="14"/>
      <c r="F2898" s="9" cm="1">
        <f t="array" ref="F2898">SUMPRODUCT((Tablo3[Şehirler]=E2898)*(Tablo3[Ürün Kar Tutarı]))</f>
        <v>0</v>
      </c>
      <c r="H2898" s="14"/>
      <c r="J2898" s="9" cm="1">
        <f t="array" ref="J2898">SUMPRODUCT((Tablo3[Urun Ad]=I2898)*(Tablo3[Ürün Kar Tutarı]))</f>
        <v>0</v>
      </c>
      <c r="L2898" s="37"/>
    </row>
    <row r="2899" spans="1:12" x14ac:dyDescent="0.25">
      <c r="A2899" s="13"/>
      <c r="B2899" s="9" cm="1">
        <f t="array" ref="B2899">SUMPRODUCT((Tablo3[Personel Ad]=A2899)*(Tablo3[Ürün Kar Tutarı]))</f>
        <v>0</v>
      </c>
      <c r="D2899" s="14"/>
      <c r="F2899" s="9" cm="1">
        <f t="array" ref="F2899">SUMPRODUCT((Tablo3[Şehirler]=E2899)*(Tablo3[Ürün Kar Tutarı]))</f>
        <v>0</v>
      </c>
      <c r="H2899" s="14"/>
      <c r="J2899" s="9" cm="1">
        <f t="array" ref="J2899">SUMPRODUCT((Tablo3[Urun Ad]=I2899)*(Tablo3[Ürün Kar Tutarı]))</f>
        <v>0</v>
      </c>
      <c r="L2899" s="37"/>
    </row>
    <row r="2900" spans="1:12" x14ac:dyDescent="0.25">
      <c r="A2900" s="13"/>
      <c r="B2900" s="9" cm="1">
        <f t="array" ref="B2900">SUMPRODUCT((Tablo3[Personel Ad]=A2900)*(Tablo3[Ürün Kar Tutarı]))</f>
        <v>0</v>
      </c>
      <c r="D2900" s="14"/>
      <c r="F2900" s="9" cm="1">
        <f t="array" ref="F2900">SUMPRODUCT((Tablo3[Şehirler]=E2900)*(Tablo3[Ürün Kar Tutarı]))</f>
        <v>0</v>
      </c>
      <c r="H2900" s="14"/>
      <c r="J2900" s="9" cm="1">
        <f t="array" ref="J2900">SUMPRODUCT((Tablo3[Urun Ad]=I2900)*(Tablo3[Ürün Kar Tutarı]))</f>
        <v>0</v>
      </c>
      <c r="L2900" s="37"/>
    </row>
    <row r="2901" spans="1:12" x14ac:dyDescent="0.25">
      <c r="A2901" s="13"/>
      <c r="B2901" s="9" cm="1">
        <f t="array" ref="B2901">SUMPRODUCT((Tablo3[Personel Ad]=A2901)*(Tablo3[Ürün Kar Tutarı]))</f>
        <v>0</v>
      </c>
      <c r="D2901" s="14"/>
      <c r="F2901" s="9" cm="1">
        <f t="array" ref="F2901">SUMPRODUCT((Tablo3[Şehirler]=E2901)*(Tablo3[Ürün Kar Tutarı]))</f>
        <v>0</v>
      </c>
      <c r="H2901" s="14"/>
      <c r="J2901" s="9" cm="1">
        <f t="array" ref="J2901">SUMPRODUCT((Tablo3[Urun Ad]=I2901)*(Tablo3[Ürün Kar Tutarı]))</f>
        <v>0</v>
      </c>
      <c r="L2901" s="37"/>
    </row>
    <row r="2902" spans="1:12" x14ac:dyDescent="0.25">
      <c r="A2902" s="13"/>
      <c r="B2902" s="9" cm="1">
        <f t="array" ref="B2902">SUMPRODUCT((Tablo3[Personel Ad]=A2902)*(Tablo3[Ürün Kar Tutarı]))</f>
        <v>0</v>
      </c>
      <c r="D2902" s="14"/>
      <c r="F2902" s="9" cm="1">
        <f t="array" ref="F2902">SUMPRODUCT((Tablo3[Şehirler]=E2902)*(Tablo3[Ürün Kar Tutarı]))</f>
        <v>0</v>
      </c>
      <c r="H2902" s="14"/>
      <c r="J2902" s="9" cm="1">
        <f t="array" ref="J2902">SUMPRODUCT((Tablo3[Urun Ad]=I2902)*(Tablo3[Ürün Kar Tutarı]))</f>
        <v>0</v>
      </c>
      <c r="L2902" s="37"/>
    </row>
    <row r="2903" spans="1:12" x14ac:dyDescent="0.25">
      <c r="A2903" s="13"/>
      <c r="B2903" s="9" cm="1">
        <f t="array" ref="B2903">SUMPRODUCT((Tablo3[Personel Ad]=A2903)*(Tablo3[Ürün Kar Tutarı]))</f>
        <v>0</v>
      </c>
      <c r="D2903" s="14"/>
      <c r="F2903" s="9" cm="1">
        <f t="array" ref="F2903">SUMPRODUCT((Tablo3[Şehirler]=E2903)*(Tablo3[Ürün Kar Tutarı]))</f>
        <v>0</v>
      </c>
      <c r="H2903" s="14"/>
      <c r="J2903" s="9" cm="1">
        <f t="array" ref="J2903">SUMPRODUCT((Tablo3[Urun Ad]=I2903)*(Tablo3[Ürün Kar Tutarı]))</f>
        <v>0</v>
      </c>
      <c r="L2903" s="37"/>
    </row>
    <row r="2904" spans="1:12" x14ac:dyDescent="0.25">
      <c r="A2904" s="13"/>
      <c r="B2904" s="9" cm="1">
        <f t="array" ref="B2904">SUMPRODUCT((Tablo3[Personel Ad]=A2904)*(Tablo3[Ürün Kar Tutarı]))</f>
        <v>0</v>
      </c>
      <c r="D2904" s="14"/>
      <c r="F2904" s="9" cm="1">
        <f t="array" ref="F2904">SUMPRODUCT((Tablo3[Şehirler]=E2904)*(Tablo3[Ürün Kar Tutarı]))</f>
        <v>0</v>
      </c>
      <c r="H2904" s="14"/>
      <c r="J2904" s="9" cm="1">
        <f t="array" ref="J2904">SUMPRODUCT((Tablo3[Urun Ad]=I2904)*(Tablo3[Ürün Kar Tutarı]))</f>
        <v>0</v>
      </c>
      <c r="L2904" s="37"/>
    </row>
    <row r="2905" spans="1:12" x14ac:dyDescent="0.25">
      <c r="A2905" s="13"/>
      <c r="B2905" s="9" cm="1">
        <f t="array" ref="B2905">SUMPRODUCT((Tablo3[Personel Ad]=A2905)*(Tablo3[Ürün Kar Tutarı]))</f>
        <v>0</v>
      </c>
      <c r="D2905" s="14"/>
      <c r="F2905" s="9" cm="1">
        <f t="array" ref="F2905">SUMPRODUCT((Tablo3[Şehirler]=E2905)*(Tablo3[Ürün Kar Tutarı]))</f>
        <v>0</v>
      </c>
      <c r="H2905" s="14"/>
      <c r="J2905" s="9" cm="1">
        <f t="array" ref="J2905">SUMPRODUCT((Tablo3[Urun Ad]=I2905)*(Tablo3[Ürün Kar Tutarı]))</f>
        <v>0</v>
      </c>
      <c r="L2905" s="37"/>
    </row>
    <row r="2906" spans="1:12" x14ac:dyDescent="0.25">
      <c r="A2906" s="13"/>
      <c r="B2906" s="9" cm="1">
        <f t="array" ref="B2906">SUMPRODUCT((Tablo3[Personel Ad]=A2906)*(Tablo3[Ürün Kar Tutarı]))</f>
        <v>0</v>
      </c>
      <c r="D2906" s="14"/>
      <c r="F2906" s="9" cm="1">
        <f t="array" ref="F2906">SUMPRODUCT((Tablo3[Şehirler]=E2906)*(Tablo3[Ürün Kar Tutarı]))</f>
        <v>0</v>
      </c>
      <c r="H2906" s="14"/>
      <c r="J2906" s="9" cm="1">
        <f t="array" ref="J2906">SUMPRODUCT((Tablo3[Urun Ad]=I2906)*(Tablo3[Ürün Kar Tutarı]))</f>
        <v>0</v>
      </c>
      <c r="L2906" s="37"/>
    </row>
    <row r="2907" spans="1:12" x14ac:dyDescent="0.25">
      <c r="A2907" s="13"/>
      <c r="B2907" s="9" cm="1">
        <f t="array" ref="B2907">SUMPRODUCT((Tablo3[Personel Ad]=A2907)*(Tablo3[Ürün Kar Tutarı]))</f>
        <v>0</v>
      </c>
      <c r="D2907" s="14"/>
      <c r="F2907" s="9" cm="1">
        <f t="array" ref="F2907">SUMPRODUCT((Tablo3[Şehirler]=E2907)*(Tablo3[Ürün Kar Tutarı]))</f>
        <v>0</v>
      </c>
      <c r="H2907" s="14"/>
      <c r="J2907" s="9" cm="1">
        <f t="array" ref="J2907">SUMPRODUCT((Tablo3[Urun Ad]=I2907)*(Tablo3[Ürün Kar Tutarı]))</f>
        <v>0</v>
      </c>
      <c r="L2907" s="37"/>
    </row>
    <row r="2908" spans="1:12" x14ac:dyDescent="0.25">
      <c r="A2908" s="13"/>
      <c r="B2908" s="9" cm="1">
        <f t="array" ref="B2908">SUMPRODUCT((Tablo3[Personel Ad]=A2908)*(Tablo3[Ürün Kar Tutarı]))</f>
        <v>0</v>
      </c>
      <c r="D2908" s="14"/>
      <c r="F2908" s="9" cm="1">
        <f t="array" ref="F2908">SUMPRODUCT((Tablo3[Şehirler]=E2908)*(Tablo3[Ürün Kar Tutarı]))</f>
        <v>0</v>
      </c>
      <c r="H2908" s="14"/>
      <c r="J2908" s="9" cm="1">
        <f t="array" ref="J2908">SUMPRODUCT((Tablo3[Urun Ad]=I2908)*(Tablo3[Ürün Kar Tutarı]))</f>
        <v>0</v>
      </c>
      <c r="L2908" s="37"/>
    </row>
    <row r="2909" spans="1:12" x14ac:dyDescent="0.25">
      <c r="A2909" s="13"/>
      <c r="B2909" s="9" cm="1">
        <f t="array" ref="B2909">SUMPRODUCT((Tablo3[Personel Ad]=A2909)*(Tablo3[Ürün Kar Tutarı]))</f>
        <v>0</v>
      </c>
      <c r="D2909" s="14"/>
      <c r="F2909" s="9" cm="1">
        <f t="array" ref="F2909">SUMPRODUCT((Tablo3[Şehirler]=E2909)*(Tablo3[Ürün Kar Tutarı]))</f>
        <v>0</v>
      </c>
      <c r="H2909" s="14"/>
      <c r="J2909" s="9" cm="1">
        <f t="array" ref="J2909">SUMPRODUCT((Tablo3[Urun Ad]=I2909)*(Tablo3[Ürün Kar Tutarı]))</f>
        <v>0</v>
      </c>
      <c r="L2909" s="37"/>
    </row>
    <row r="2910" spans="1:12" x14ac:dyDescent="0.25">
      <c r="A2910" s="13"/>
      <c r="B2910" s="9" cm="1">
        <f t="array" ref="B2910">SUMPRODUCT((Tablo3[Personel Ad]=A2910)*(Tablo3[Ürün Kar Tutarı]))</f>
        <v>0</v>
      </c>
      <c r="D2910" s="14"/>
      <c r="F2910" s="9" cm="1">
        <f t="array" ref="F2910">SUMPRODUCT((Tablo3[Şehirler]=E2910)*(Tablo3[Ürün Kar Tutarı]))</f>
        <v>0</v>
      </c>
      <c r="H2910" s="14"/>
      <c r="J2910" s="9" cm="1">
        <f t="array" ref="J2910">SUMPRODUCT((Tablo3[Urun Ad]=I2910)*(Tablo3[Ürün Kar Tutarı]))</f>
        <v>0</v>
      </c>
      <c r="L2910" s="37"/>
    </row>
    <row r="2911" spans="1:12" x14ac:dyDescent="0.25">
      <c r="A2911" s="13"/>
      <c r="B2911" s="9" cm="1">
        <f t="array" ref="B2911">SUMPRODUCT((Tablo3[Personel Ad]=A2911)*(Tablo3[Ürün Kar Tutarı]))</f>
        <v>0</v>
      </c>
      <c r="D2911" s="14"/>
      <c r="F2911" s="9" cm="1">
        <f t="array" ref="F2911">SUMPRODUCT((Tablo3[Şehirler]=E2911)*(Tablo3[Ürün Kar Tutarı]))</f>
        <v>0</v>
      </c>
      <c r="H2911" s="14"/>
      <c r="J2911" s="9" cm="1">
        <f t="array" ref="J2911">SUMPRODUCT((Tablo3[Urun Ad]=I2911)*(Tablo3[Ürün Kar Tutarı]))</f>
        <v>0</v>
      </c>
      <c r="L2911" s="37"/>
    </row>
    <row r="2912" spans="1:12" x14ac:dyDescent="0.25">
      <c r="A2912" s="13"/>
      <c r="B2912" s="9" cm="1">
        <f t="array" ref="B2912">SUMPRODUCT((Tablo3[Personel Ad]=A2912)*(Tablo3[Ürün Kar Tutarı]))</f>
        <v>0</v>
      </c>
      <c r="D2912" s="14"/>
      <c r="F2912" s="9" cm="1">
        <f t="array" ref="F2912">SUMPRODUCT((Tablo3[Şehirler]=E2912)*(Tablo3[Ürün Kar Tutarı]))</f>
        <v>0</v>
      </c>
      <c r="H2912" s="14"/>
      <c r="J2912" s="9" cm="1">
        <f t="array" ref="J2912">SUMPRODUCT((Tablo3[Urun Ad]=I2912)*(Tablo3[Ürün Kar Tutarı]))</f>
        <v>0</v>
      </c>
      <c r="L2912" s="37"/>
    </row>
    <row r="2913" spans="1:12" x14ac:dyDescent="0.25">
      <c r="A2913" s="13"/>
      <c r="B2913" s="9" cm="1">
        <f t="array" ref="B2913">SUMPRODUCT((Tablo3[Personel Ad]=A2913)*(Tablo3[Ürün Kar Tutarı]))</f>
        <v>0</v>
      </c>
      <c r="D2913" s="14"/>
      <c r="F2913" s="9" cm="1">
        <f t="array" ref="F2913">SUMPRODUCT((Tablo3[Şehirler]=E2913)*(Tablo3[Ürün Kar Tutarı]))</f>
        <v>0</v>
      </c>
      <c r="H2913" s="14"/>
      <c r="J2913" s="9" cm="1">
        <f t="array" ref="J2913">SUMPRODUCT((Tablo3[Urun Ad]=I2913)*(Tablo3[Ürün Kar Tutarı]))</f>
        <v>0</v>
      </c>
      <c r="L2913" s="37"/>
    </row>
    <row r="2914" spans="1:12" x14ac:dyDescent="0.25">
      <c r="A2914" s="13"/>
      <c r="B2914" s="9" cm="1">
        <f t="array" ref="B2914">SUMPRODUCT((Tablo3[Personel Ad]=A2914)*(Tablo3[Ürün Kar Tutarı]))</f>
        <v>0</v>
      </c>
      <c r="D2914" s="14"/>
      <c r="F2914" s="9" cm="1">
        <f t="array" ref="F2914">SUMPRODUCT((Tablo3[Şehirler]=E2914)*(Tablo3[Ürün Kar Tutarı]))</f>
        <v>0</v>
      </c>
      <c r="H2914" s="14"/>
      <c r="J2914" s="9" cm="1">
        <f t="array" ref="J2914">SUMPRODUCT((Tablo3[Urun Ad]=I2914)*(Tablo3[Ürün Kar Tutarı]))</f>
        <v>0</v>
      </c>
      <c r="L2914" s="37"/>
    </row>
    <row r="2915" spans="1:12" x14ac:dyDescent="0.25">
      <c r="A2915" s="13"/>
      <c r="B2915" s="9" cm="1">
        <f t="array" ref="B2915">SUMPRODUCT((Tablo3[Personel Ad]=A2915)*(Tablo3[Ürün Kar Tutarı]))</f>
        <v>0</v>
      </c>
      <c r="D2915" s="14"/>
      <c r="F2915" s="9" cm="1">
        <f t="array" ref="F2915">SUMPRODUCT((Tablo3[Şehirler]=E2915)*(Tablo3[Ürün Kar Tutarı]))</f>
        <v>0</v>
      </c>
      <c r="H2915" s="14"/>
      <c r="J2915" s="9" cm="1">
        <f t="array" ref="J2915">SUMPRODUCT((Tablo3[Urun Ad]=I2915)*(Tablo3[Ürün Kar Tutarı]))</f>
        <v>0</v>
      </c>
      <c r="L2915" s="37"/>
    </row>
    <row r="2916" spans="1:12" x14ac:dyDescent="0.25">
      <c r="A2916" s="13"/>
      <c r="B2916" s="9" cm="1">
        <f t="array" ref="B2916">SUMPRODUCT((Tablo3[Personel Ad]=A2916)*(Tablo3[Ürün Kar Tutarı]))</f>
        <v>0</v>
      </c>
      <c r="D2916" s="14"/>
      <c r="F2916" s="9" cm="1">
        <f t="array" ref="F2916">SUMPRODUCT((Tablo3[Şehirler]=E2916)*(Tablo3[Ürün Kar Tutarı]))</f>
        <v>0</v>
      </c>
      <c r="H2916" s="14"/>
      <c r="J2916" s="9" cm="1">
        <f t="array" ref="J2916">SUMPRODUCT((Tablo3[Urun Ad]=I2916)*(Tablo3[Ürün Kar Tutarı]))</f>
        <v>0</v>
      </c>
      <c r="L2916" s="37"/>
    </row>
    <row r="2917" spans="1:12" x14ac:dyDescent="0.25">
      <c r="A2917" s="13"/>
      <c r="B2917" s="9" cm="1">
        <f t="array" ref="B2917">SUMPRODUCT((Tablo3[Personel Ad]=A2917)*(Tablo3[Ürün Kar Tutarı]))</f>
        <v>0</v>
      </c>
      <c r="D2917" s="14"/>
      <c r="F2917" s="9" cm="1">
        <f t="array" ref="F2917">SUMPRODUCT((Tablo3[Şehirler]=E2917)*(Tablo3[Ürün Kar Tutarı]))</f>
        <v>0</v>
      </c>
      <c r="H2917" s="14"/>
      <c r="J2917" s="9" cm="1">
        <f t="array" ref="J2917">SUMPRODUCT((Tablo3[Urun Ad]=I2917)*(Tablo3[Ürün Kar Tutarı]))</f>
        <v>0</v>
      </c>
      <c r="L2917" s="37"/>
    </row>
    <row r="2918" spans="1:12" x14ac:dyDescent="0.25">
      <c r="A2918" s="13"/>
      <c r="B2918" s="9" cm="1">
        <f t="array" ref="B2918">SUMPRODUCT((Tablo3[Personel Ad]=A2918)*(Tablo3[Ürün Kar Tutarı]))</f>
        <v>0</v>
      </c>
      <c r="D2918" s="14"/>
      <c r="F2918" s="9" cm="1">
        <f t="array" ref="F2918">SUMPRODUCT((Tablo3[Şehirler]=E2918)*(Tablo3[Ürün Kar Tutarı]))</f>
        <v>0</v>
      </c>
      <c r="H2918" s="14"/>
      <c r="J2918" s="9" cm="1">
        <f t="array" ref="J2918">SUMPRODUCT((Tablo3[Urun Ad]=I2918)*(Tablo3[Ürün Kar Tutarı]))</f>
        <v>0</v>
      </c>
      <c r="L2918" s="37"/>
    </row>
    <row r="2919" spans="1:12" x14ac:dyDescent="0.25">
      <c r="A2919" s="13"/>
      <c r="B2919" s="9" cm="1">
        <f t="array" ref="B2919">SUMPRODUCT((Tablo3[Personel Ad]=A2919)*(Tablo3[Ürün Kar Tutarı]))</f>
        <v>0</v>
      </c>
      <c r="D2919" s="14"/>
      <c r="F2919" s="9" cm="1">
        <f t="array" ref="F2919">SUMPRODUCT((Tablo3[Şehirler]=E2919)*(Tablo3[Ürün Kar Tutarı]))</f>
        <v>0</v>
      </c>
      <c r="H2919" s="14"/>
      <c r="J2919" s="9" cm="1">
        <f t="array" ref="J2919">SUMPRODUCT((Tablo3[Urun Ad]=I2919)*(Tablo3[Ürün Kar Tutarı]))</f>
        <v>0</v>
      </c>
      <c r="L2919" s="37"/>
    </row>
    <row r="2920" spans="1:12" x14ac:dyDescent="0.25">
      <c r="A2920" s="13"/>
      <c r="B2920" s="9" cm="1">
        <f t="array" ref="B2920">SUMPRODUCT((Tablo3[Personel Ad]=A2920)*(Tablo3[Ürün Kar Tutarı]))</f>
        <v>0</v>
      </c>
      <c r="D2920" s="14"/>
      <c r="F2920" s="9" cm="1">
        <f t="array" ref="F2920">SUMPRODUCT((Tablo3[Şehirler]=E2920)*(Tablo3[Ürün Kar Tutarı]))</f>
        <v>0</v>
      </c>
      <c r="H2920" s="14"/>
      <c r="J2920" s="9" cm="1">
        <f t="array" ref="J2920">SUMPRODUCT((Tablo3[Urun Ad]=I2920)*(Tablo3[Ürün Kar Tutarı]))</f>
        <v>0</v>
      </c>
      <c r="L2920" s="37"/>
    </row>
    <row r="2921" spans="1:12" x14ac:dyDescent="0.25">
      <c r="A2921" s="13"/>
      <c r="B2921" s="9" cm="1">
        <f t="array" ref="B2921">SUMPRODUCT((Tablo3[Personel Ad]=A2921)*(Tablo3[Ürün Kar Tutarı]))</f>
        <v>0</v>
      </c>
      <c r="D2921" s="14"/>
      <c r="F2921" s="9" cm="1">
        <f t="array" ref="F2921">SUMPRODUCT((Tablo3[Şehirler]=E2921)*(Tablo3[Ürün Kar Tutarı]))</f>
        <v>0</v>
      </c>
      <c r="H2921" s="14"/>
      <c r="J2921" s="9" cm="1">
        <f t="array" ref="J2921">SUMPRODUCT((Tablo3[Urun Ad]=I2921)*(Tablo3[Ürün Kar Tutarı]))</f>
        <v>0</v>
      </c>
      <c r="L2921" s="37"/>
    </row>
    <row r="2922" spans="1:12" x14ac:dyDescent="0.25">
      <c r="A2922" s="13"/>
      <c r="B2922" s="9" cm="1">
        <f t="array" ref="B2922">SUMPRODUCT((Tablo3[Personel Ad]=A2922)*(Tablo3[Ürün Kar Tutarı]))</f>
        <v>0</v>
      </c>
      <c r="D2922" s="14"/>
      <c r="F2922" s="9" cm="1">
        <f t="array" ref="F2922">SUMPRODUCT((Tablo3[Şehirler]=E2922)*(Tablo3[Ürün Kar Tutarı]))</f>
        <v>0</v>
      </c>
      <c r="H2922" s="14"/>
      <c r="J2922" s="9" cm="1">
        <f t="array" ref="J2922">SUMPRODUCT((Tablo3[Urun Ad]=I2922)*(Tablo3[Ürün Kar Tutarı]))</f>
        <v>0</v>
      </c>
      <c r="L2922" s="37"/>
    </row>
    <row r="2923" spans="1:12" x14ac:dyDescent="0.25">
      <c r="A2923" s="13"/>
      <c r="B2923" s="9" cm="1">
        <f t="array" ref="B2923">SUMPRODUCT((Tablo3[Personel Ad]=A2923)*(Tablo3[Ürün Kar Tutarı]))</f>
        <v>0</v>
      </c>
      <c r="D2923" s="14"/>
      <c r="F2923" s="9" cm="1">
        <f t="array" ref="F2923">SUMPRODUCT((Tablo3[Şehirler]=E2923)*(Tablo3[Ürün Kar Tutarı]))</f>
        <v>0</v>
      </c>
      <c r="H2923" s="14"/>
      <c r="J2923" s="9" cm="1">
        <f t="array" ref="J2923">SUMPRODUCT((Tablo3[Urun Ad]=I2923)*(Tablo3[Ürün Kar Tutarı]))</f>
        <v>0</v>
      </c>
      <c r="L2923" s="37"/>
    </row>
    <row r="2924" spans="1:12" x14ac:dyDescent="0.25">
      <c r="A2924" s="13"/>
      <c r="B2924" s="9" cm="1">
        <f t="array" ref="B2924">SUMPRODUCT((Tablo3[Personel Ad]=A2924)*(Tablo3[Ürün Kar Tutarı]))</f>
        <v>0</v>
      </c>
      <c r="D2924" s="14"/>
      <c r="F2924" s="9" cm="1">
        <f t="array" ref="F2924">SUMPRODUCT((Tablo3[Şehirler]=E2924)*(Tablo3[Ürün Kar Tutarı]))</f>
        <v>0</v>
      </c>
      <c r="H2924" s="14"/>
      <c r="J2924" s="9" cm="1">
        <f t="array" ref="J2924">SUMPRODUCT((Tablo3[Urun Ad]=I2924)*(Tablo3[Ürün Kar Tutarı]))</f>
        <v>0</v>
      </c>
      <c r="L2924" s="37"/>
    </row>
    <row r="2925" spans="1:12" x14ac:dyDescent="0.25">
      <c r="A2925" s="13"/>
      <c r="B2925" s="9" cm="1">
        <f t="array" ref="B2925">SUMPRODUCT((Tablo3[Personel Ad]=A2925)*(Tablo3[Ürün Kar Tutarı]))</f>
        <v>0</v>
      </c>
      <c r="D2925" s="14"/>
      <c r="F2925" s="9" cm="1">
        <f t="array" ref="F2925">SUMPRODUCT((Tablo3[Şehirler]=E2925)*(Tablo3[Ürün Kar Tutarı]))</f>
        <v>0</v>
      </c>
      <c r="H2925" s="14"/>
      <c r="J2925" s="9" cm="1">
        <f t="array" ref="J2925">SUMPRODUCT((Tablo3[Urun Ad]=I2925)*(Tablo3[Ürün Kar Tutarı]))</f>
        <v>0</v>
      </c>
      <c r="L2925" s="37"/>
    </row>
    <row r="2926" spans="1:12" x14ac:dyDescent="0.25">
      <c r="A2926" s="13"/>
      <c r="B2926" s="9" cm="1">
        <f t="array" ref="B2926">SUMPRODUCT((Tablo3[Personel Ad]=A2926)*(Tablo3[Ürün Kar Tutarı]))</f>
        <v>0</v>
      </c>
      <c r="D2926" s="14"/>
      <c r="F2926" s="9" cm="1">
        <f t="array" ref="F2926">SUMPRODUCT((Tablo3[Şehirler]=E2926)*(Tablo3[Ürün Kar Tutarı]))</f>
        <v>0</v>
      </c>
      <c r="H2926" s="14"/>
      <c r="J2926" s="9" cm="1">
        <f t="array" ref="J2926">SUMPRODUCT((Tablo3[Urun Ad]=I2926)*(Tablo3[Ürün Kar Tutarı]))</f>
        <v>0</v>
      </c>
      <c r="L2926" s="37"/>
    </row>
    <row r="2927" spans="1:12" x14ac:dyDescent="0.25">
      <c r="A2927" s="13"/>
      <c r="B2927" s="9" cm="1">
        <f t="array" ref="B2927">SUMPRODUCT((Tablo3[Personel Ad]=A2927)*(Tablo3[Ürün Kar Tutarı]))</f>
        <v>0</v>
      </c>
      <c r="D2927" s="14"/>
      <c r="F2927" s="9" cm="1">
        <f t="array" ref="F2927">SUMPRODUCT((Tablo3[Şehirler]=E2927)*(Tablo3[Ürün Kar Tutarı]))</f>
        <v>0</v>
      </c>
      <c r="H2927" s="14"/>
      <c r="J2927" s="9" cm="1">
        <f t="array" ref="J2927">SUMPRODUCT((Tablo3[Urun Ad]=I2927)*(Tablo3[Ürün Kar Tutarı]))</f>
        <v>0</v>
      </c>
      <c r="L2927" s="37"/>
    </row>
    <row r="2928" spans="1:12" x14ac:dyDescent="0.25">
      <c r="A2928" s="13"/>
      <c r="B2928" s="9" cm="1">
        <f t="array" ref="B2928">SUMPRODUCT((Tablo3[Personel Ad]=A2928)*(Tablo3[Ürün Kar Tutarı]))</f>
        <v>0</v>
      </c>
      <c r="D2928" s="14"/>
      <c r="F2928" s="9" cm="1">
        <f t="array" ref="F2928">SUMPRODUCT((Tablo3[Şehirler]=E2928)*(Tablo3[Ürün Kar Tutarı]))</f>
        <v>0</v>
      </c>
      <c r="H2928" s="14"/>
      <c r="J2928" s="9" cm="1">
        <f t="array" ref="J2928">SUMPRODUCT((Tablo3[Urun Ad]=I2928)*(Tablo3[Ürün Kar Tutarı]))</f>
        <v>0</v>
      </c>
      <c r="L2928" s="37"/>
    </row>
    <row r="2929" spans="1:12" x14ac:dyDescent="0.25">
      <c r="A2929" s="13"/>
      <c r="B2929" s="9" cm="1">
        <f t="array" ref="B2929">SUMPRODUCT((Tablo3[Personel Ad]=A2929)*(Tablo3[Ürün Kar Tutarı]))</f>
        <v>0</v>
      </c>
      <c r="D2929" s="14"/>
      <c r="F2929" s="9" cm="1">
        <f t="array" ref="F2929">SUMPRODUCT((Tablo3[Şehirler]=E2929)*(Tablo3[Ürün Kar Tutarı]))</f>
        <v>0</v>
      </c>
      <c r="H2929" s="14"/>
      <c r="J2929" s="9" cm="1">
        <f t="array" ref="J2929">SUMPRODUCT((Tablo3[Urun Ad]=I2929)*(Tablo3[Ürün Kar Tutarı]))</f>
        <v>0</v>
      </c>
      <c r="L2929" s="37"/>
    </row>
    <row r="2930" spans="1:12" x14ac:dyDescent="0.25">
      <c r="A2930" s="13"/>
      <c r="B2930" s="9" cm="1">
        <f t="array" ref="B2930">SUMPRODUCT((Tablo3[Personel Ad]=A2930)*(Tablo3[Ürün Kar Tutarı]))</f>
        <v>0</v>
      </c>
      <c r="D2930" s="14"/>
      <c r="F2930" s="9" cm="1">
        <f t="array" ref="F2930">SUMPRODUCT((Tablo3[Şehirler]=E2930)*(Tablo3[Ürün Kar Tutarı]))</f>
        <v>0</v>
      </c>
      <c r="H2930" s="14"/>
      <c r="J2930" s="9" cm="1">
        <f t="array" ref="J2930">SUMPRODUCT((Tablo3[Urun Ad]=I2930)*(Tablo3[Ürün Kar Tutarı]))</f>
        <v>0</v>
      </c>
      <c r="L2930" s="37"/>
    </row>
    <row r="2931" spans="1:12" x14ac:dyDescent="0.25">
      <c r="A2931" s="13"/>
      <c r="B2931" s="9" cm="1">
        <f t="array" ref="B2931">SUMPRODUCT((Tablo3[Personel Ad]=A2931)*(Tablo3[Ürün Kar Tutarı]))</f>
        <v>0</v>
      </c>
      <c r="D2931" s="14"/>
      <c r="F2931" s="9" cm="1">
        <f t="array" ref="F2931">SUMPRODUCT((Tablo3[Şehirler]=E2931)*(Tablo3[Ürün Kar Tutarı]))</f>
        <v>0</v>
      </c>
      <c r="H2931" s="14"/>
      <c r="J2931" s="9" cm="1">
        <f t="array" ref="J2931">SUMPRODUCT((Tablo3[Urun Ad]=I2931)*(Tablo3[Ürün Kar Tutarı]))</f>
        <v>0</v>
      </c>
      <c r="L2931" s="37"/>
    </row>
    <row r="2932" spans="1:12" x14ac:dyDescent="0.25">
      <c r="A2932" s="13"/>
      <c r="B2932" s="9" cm="1">
        <f t="array" ref="B2932">SUMPRODUCT((Tablo3[Personel Ad]=A2932)*(Tablo3[Ürün Kar Tutarı]))</f>
        <v>0</v>
      </c>
      <c r="D2932" s="14"/>
      <c r="F2932" s="9" cm="1">
        <f t="array" ref="F2932">SUMPRODUCT((Tablo3[Şehirler]=E2932)*(Tablo3[Ürün Kar Tutarı]))</f>
        <v>0</v>
      </c>
      <c r="H2932" s="14"/>
      <c r="J2932" s="9" cm="1">
        <f t="array" ref="J2932">SUMPRODUCT((Tablo3[Urun Ad]=I2932)*(Tablo3[Ürün Kar Tutarı]))</f>
        <v>0</v>
      </c>
      <c r="L2932" s="37"/>
    </row>
    <row r="2933" spans="1:12" x14ac:dyDescent="0.25">
      <c r="A2933" s="13"/>
      <c r="B2933" s="9" cm="1">
        <f t="array" ref="B2933">SUMPRODUCT((Tablo3[Personel Ad]=A2933)*(Tablo3[Ürün Kar Tutarı]))</f>
        <v>0</v>
      </c>
      <c r="D2933" s="14"/>
      <c r="F2933" s="9" cm="1">
        <f t="array" ref="F2933">SUMPRODUCT((Tablo3[Şehirler]=E2933)*(Tablo3[Ürün Kar Tutarı]))</f>
        <v>0</v>
      </c>
      <c r="H2933" s="14"/>
      <c r="J2933" s="9" cm="1">
        <f t="array" ref="J2933">SUMPRODUCT((Tablo3[Urun Ad]=I2933)*(Tablo3[Ürün Kar Tutarı]))</f>
        <v>0</v>
      </c>
      <c r="L2933" s="37"/>
    </row>
    <row r="2934" spans="1:12" x14ac:dyDescent="0.25">
      <c r="A2934" s="13"/>
      <c r="B2934" s="9" cm="1">
        <f t="array" ref="B2934">SUMPRODUCT((Tablo3[Personel Ad]=A2934)*(Tablo3[Ürün Kar Tutarı]))</f>
        <v>0</v>
      </c>
      <c r="D2934" s="14"/>
      <c r="F2934" s="9" cm="1">
        <f t="array" ref="F2934">SUMPRODUCT((Tablo3[Şehirler]=E2934)*(Tablo3[Ürün Kar Tutarı]))</f>
        <v>0</v>
      </c>
      <c r="H2934" s="14"/>
      <c r="J2934" s="9" cm="1">
        <f t="array" ref="J2934">SUMPRODUCT((Tablo3[Urun Ad]=I2934)*(Tablo3[Ürün Kar Tutarı]))</f>
        <v>0</v>
      </c>
      <c r="L2934" s="37"/>
    </row>
    <row r="2935" spans="1:12" x14ac:dyDescent="0.25">
      <c r="A2935" s="13"/>
      <c r="B2935" s="9" cm="1">
        <f t="array" ref="B2935">SUMPRODUCT((Tablo3[Personel Ad]=A2935)*(Tablo3[Ürün Kar Tutarı]))</f>
        <v>0</v>
      </c>
      <c r="D2935" s="14"/>
      <c r="F2935" s="9" cm="1">
        <f t="array" ref="F2935">SUMPRODUCT((Tablo3[Şehirler]=E2935)*(Tablo3[Ürün Kar Tutarı]))</f>
        <v>0</v>
      </c>
      <c r="H2935" s="14"/>
      <c r="J2935" s="9" cm="1">
        <f t="array" ref="J2935">SUMPRODUCT((Tablo3[Urun Ad]=I2935)*(Tablo3[Ürün Kar Tutarı]))</f>
        <v>0</v>
      </c>
      <c r="L2935" s="37"/>
    </row>
    <row r="2936" spans="1:12" x14ac:dyDescent="0.25">
      <c r="A2936" s="13"/>
      <c r="B2936" s="9" cm="1">
        <f t="array" ref="B2936">SUMPRODUCT((Tablo3[Personel Ad]=A2936)*(Tablo3[Ürün Kar Tutarı]))</f>
        <v>0</v>
      </c>
      <c r="D2936" s="14"/>
      <c r="F2936" s="9" cm="1">
        <f t="array" ref="F2936">SUMPRODUCT((Tablo3[Şehirler]=E2936)*(Tablo3[Ürün Kar Tutarı]))</f>
        <v>0</v>
      </c>
      <c r="H2936" s="14"/>
      <c r="J2936" s="9" cm="1">
        <f t="array" ref="J2936">SUMPRODUCT((Tablo3[Urun Ad]=I2936)*(Tablo3[Ürün Kar Tutarı]))</f>
        <v>0</v>
      </c>
      <c r="L2936" s="37"/>
    </row>
    <row r="2937" spans="1:12" x14ac:dyDescent="0.25">
      <c r="A2937" s="13"/>
      <c r="B2937" s="9" cm="1">
        <f t="array" ref="B2937">SUMPRODUCT((Tablo3[Personel Ad]=A2937)*(Tablo3[Ürün Kar Tutarı]))</f>
        <v>0</v>
      </c>
      <c r="D2937" s="14"/>
      <c r="F2937" s="9" cm="1">
        <f t="array" ref="F2937">SUMPRODUCT((Tablo3[Şehirler]=E2937)*(Tablo3[Ürün Kar Tutarı]))</f>
        <v>0</v>
      </c>
      <c r="H2937" s="14"/>
      <c r="J2937" s="9" cm="1">
        <f t="array" ref="J2937">SUMPRODUCT((Tablo3[Urun Ad]=I2937)*(Tablo3[Ürün Kar Tutarı]))</f>
        <v>0</v>
      </c>
      <c r="L2937" s="37"/>
    </row>
    <row r="2938" spans="1:12" x14ac:dyDescent="0.25">
      <c r="A2938" s="13"/>
      <c r="B2938" s="9" cm="1">
        <f t="array" ref="B2938">SUMPRODUCT((Tablo3[Personel Ad]=A2938)*(Tablo3[Ürün Kar Tutarı]))</f>
        <v>0</v>
      </c>
      <c r="D2938" s="14"/>
      <c r="F2938" s="9" cm="1">
        <f t="array" ref="F2938">SUMPRODUCT((Tablo3[Şehirler]=E2938)*(Tablo3[Ürün Kar Tutarı]))</f>
        <v>0</v>
      </c>
      <c r="H2938" s="14"/>
      <c r="J2938" s="9" cm="1">
        <f t="array" ref="J2938">SUMPRODUCT((Tablo3[Urun Ad]=I2938)*(Tablo3[Ürün Kar Tutarı]))</f>
        <v>0</v>
      </c>
      <c r="L2938" s="37"/>
    </row>
    <row r="2939" spans="1:12" x14ac:dyDescent="0.25">
      <c r="A2939" s="13"/>
      <c r="B2939" s="9" cm="1">
        <f t="array" ref="B2939">SUMPRODUCT((Tablo3[Personel Ad]=A2939)*(Tablo3[Ürün Kar Tutarı]))</f>
        <v>0</v>
      </c>
      <c r="D2939" s="14"/>
      <c r="F2939" s="9" cm="1">
        <f t="array" ref="F2939">SUMPRODUCT((Tablo3[Şehirler]=E2939)*(Tablo3[Ürün Kar Tutarı]))</f>
        <v>0</v>
      </c>
      <c r="H2939" s="14"/>
      <c r="J2939" s="9" cm="1">
        <f t="array" ref="J2939">SUMPRODUCT((Tablo3[Urun Ad]=I2939)*(Tablo3[Ürün Kar Tutarı]))</f>
        <v>0</v>
      </c>
      <c r="L2939" s="37"/>
    </row>
    <row r="2940" spans="1:12" x14ac:dyDescent="0.25">
      <c r="A2940" s="13"/>
      <c r="B2940" s="9" cm="1">
        <f t="array" ref="B2940">SUMPRODUCT((Tablo3[Personel Ad]=A2940)*(Tablo3[Ürün Kar Tutarı]))</f>
        <v>0</v>
      </c>
      <c r="D2940" s="14"/>
      <c r="F2940" s="9" cm="1">
        <f t="array" ref="F2940">SUMPRODUCT((Tablo3[Şehirler]=E2940)*(Tablo3[Ürün Kar Tutarı]))</f>
        <v>0</v>
      </c>
      <c r="H2940" s="14"/>
      <c r="J2940" s="9" cm="1">
        <f t="array" ref="J2940">SUMPRODUCT((Tablo3[Urun Ad]=I2940)*(Tablo3[Ürün Kar Tutarı]))</f>
        <v>0</v>
      </c>
      <c r="L2940" s="37"/>
    </row>
    <row r="2941" spans="1:12" x14ac:dyDescent="0.25">
      <c r="A2941" s="13"/>
      <c r="B2941" s="9" cm="1">
        <f t="array" ref="B2941">SUMPRODUCT((Tablo3[Personel Ad]=A2941)*(Tablo3[Ürün Kar Tutarı]))</f>
        <v>0</v>
      </c>
      <c r="D2941" s="14"/>
      <c r="F2941" s="9" cm="1">
        <f t="array" ref="F2941">SUMPRODUCT((Tablo3[Şehirler]=E2941)*(Tablo3[Ürün Kar Tutarı]))</f>
        <v>0</v>
      </c>
      <c r="H2941" s="14"/>
      <c r="J2941" s="9" cm="1">
        <f t="array" ref="J2941">SUMPRODUCT((Tablo3[Urun Ad]=I2941)*(Tablo3[Ürün Kar Tutarı]))</f>
        <v>0</v>
      </c>
      <c r="L2941" s="37"/>
    </row>
    <row r="2942" spans="1:12" x14ac:dyDescent="0.25">
      <c r="A2942" s="13"/>
      <c r="B2942" s="9" cm="1">
        <f t="array" ref="B2942">SUMPRODUCT((Tablo3[Personel Ad]=A2942)*(Tablo3[Ürün Kar Tutarı]))</f>
        <v>0</v>
      </c>
      <c r="D2942" s="14"/>
      <c r="F2942" s="9" cm="1">
        <f t="array" ref="F2942">SUMPRODUCT((Tablo3[Şehirler]=E2942)*(Tablo3[Ürün Kar Tutarı]))</f>
        <v>0</v>
      </c>
      <c r="H2942" s="14"/>
      <c r="J2942" s="9" cm="1">
        <f t="array" ref="J2942">SUMPRODUCT((Tablo3[Urun Ad]=I2942)*(Tablo3[Ürün Kar Tutarı]))</f>
        <v>0</v>
      </c>
      <c r="L2942" s="37"/>
    </row>
    <row r="2943" spans="1:12" x14ac:dyDescent="0.25">
      <c r="A2943" s="13"/>
      <c r="B2943" s="9" cm="1">
        <f t="array" ref="B2943">SUMPRODUCT((Tablo3[Personel Ad]=A2943)*(Tablo3[Ürün Kar Tutarı]))</f>
        <v>0</v>
      </c>
      <c r="D2943" s="14"/>
      <c r="F2943" s="9" cm="1">
        <f t="array" ref="F2943">SUMPRODUCT((Tablo3[Şehirler]=E2943)*(Tablo3[Ürün Kar Tutarı]))</f>
        <v>0</v>
      </c>
      <c r="H2943" s="14"/>
      <c r="J2943" s="9" cm="1">
        <f t="array" ref="J2943">SUMPRODUCT((Tablo3[Urun Ad]=I2943)*(Tablo3[Ürün Kar Tutarı]))</f>
        <v>0</v>
      </c>
      <c r="L2943" s="37"/>
    </row>
    <row r="2944" spans="1:12" x14ac:dyDescent="0.25">
      <c r="A2944" s="13"/>
      <c r="B2944" s="9" cm="1">
        <f t="array" ref="B2944">SUMPRODUCT((Tablo3[Personel Ad]=A2944)*(Tablo3[Ürün Kar Tutarı]))</f>
        <v>0</v>
      </c>
      <c r="D2944" s="14"/>
      <c r="F2944" s="9" cm="1">
        <f t="array" ref="F2944">SUMPRODUCT((Tablo3[Şehirler]=E2944)*(Tablo3[Ürün Kar Tutarı]))</f>
        <v>0</v>
      </c>
      <c r="H2944" s="14"/>
      <c r="J2944" s="9" cm="1">
        <f t="array" ref="J2944">SUMPRODUCT((Tablo3[Urun Ad]=I2944)*(Tablo3[Ürün Kar Tutarı]))</f>
        <v>0</v>
      </c>
      <c r="L2944" s="37"/>
    </row>
    <row r="2945" spans="1:12" x14ac:dyDescent="0.25">
      <c r="A2945" s="13"/>
      <c r="B2945" s="9" cm="1">
        <f t="array" ref="B2945">SUMPRODUCT((Tablo3[Personel Ad]=A2945)*(Tablo3[Ürün Kar Tutarı]))</f>
        <v>0</v>
      </c>
      <c r="D2945" s="14"/>
      <c r="F2945" s="9" cm="1">
        <f t="array" ref="F2945">SUMPRODUCT((Tablo3[Şehirler]=E2945)*(Tablo3[Ürün Kar Tutarı]))</f>
        <v>0</v>
      </c>
      <c r="H2945" s="14"/>
      <c r="J2945" s="9" cm="1">
        <f t="array" ref="J2945">SUMPRODUCT((Tablo3[Urun Ad]=I2945)*(Tablo3[Ürün Kar Tutarı]))</f>
        <v>0</v>
      </c>
      <c r="L2945" s="37"/>
    </row>
    <row r="2946" spans="1:12" x14ac:dyDescent="0.25">
      <c r="A2946" s="13"/>
      <c r="B2946" s="9" cm="1">
        <f t="array" ref="B2946">SUMPRODUCT((Tablo3[Personel Ad]=A2946)*(Tablo3[Ürün Kar Tutarı]))</f>
        <v>0</v>
      </c>
      <c r="D2946" s="14"/>
      <c r="F2946" s="9" cm="1">
        <f t="array" ref="F2946">SUMPRODUCT((Tablo3[Şehirler]=E2946)*(Tablo3[Ürün Kar Tutarı]))</f>
        <v>0</v>
      </c>
      <c r="H2946" s="14"/>
      <c r="J2946" s="9" cm="1">
        <f t="array" ref="J2946">SUMPRODUCT((Tablo3[Urun Ad]=I2946)*(Tablo3[Ürün Kar Tutarı]))</f>
        <v>0</v>
      </c>
      <c r="L2946" s="37"/>
    </row>
    <row r="2947" spans="1:12" x14ac:dyDescent="0.25">
      <c r="A2947" s="13"/>
      <c r="B2947" s="9" cm="1">
        <f t="array" ref="B2947">SUMPRODUCT((Tablo3[Personel Ad]=A2947)*(Tablo3[Ürün Kar Tutarı]))</f>
        <v>0</v>
      </c>
      <c r="D2947" s="14"/>
      <c r="F2947" s="9" cm="1">
        <f t="array" ref="F2947">SUMPRODUCT((Tablo3[Şehirler]=E2947)*(Tablo3[Ürün Kar Tutarı]))</f>
        <v>0</v>
      </c>
      <c r="H2947" s="14"/>
      <c r="J2947" s="9" cm="1">
        <f t="array" ref="J2947">SUMPRODUCT((Tablo3[Urun Ad]=I2947)*(Tablo3[Ürün Kar Tutarı]))</f>
        <v>0</v>
      </c>
      <c r="L2947" s="37"/>
    </row>
    <row r="2948" spans="1:12" x14ac:dyDescent="0.25">
      <c r="A2948" s="13"/>
      <c r="B2948" s="9" cm="1">
        <f t="array" ref="B2948">SUMPRODUCT((Tablo3[Personel Ad]=A2948)*(Tablo3[Ürün Kar Tutarı]))</f>
        <v>0</v>
      </c>
      <c r="D2948" s="14"/>
      <c r="F2948" s="9" cm="1">
        <f t="array" ref="F2948">SUMPRODUCT((Tablo3[Şehirler]=E2948)*(Tablo3[Ürün Kar Tutarı]))</f>
        <v>0</v>
      </c>
      <c r="H2948" s="14"/>
      <c r="J2948" s="9" cm="1">
        <f t="array" ref="J2948">SUMPRODUCT((Tablo3[Urun Ad]=I2948)*(Tablo3[Ürün Kar Tutarı]))</f>
        <v>0</v>
      </c>
      <c r="L2948" s="37"/>
    </row>
    <row r="2949" spans="1:12" x14ac:dyDescent="0.25">
      <c r="A2949" s="13"/>
      <c r="B2949" s="9" cm="1">
        <f t="array" ref="B2949">SUMPRODUCT((Tablo3[Personel Ad]=A2949)*(Tablo3[Ürün Kar Tutarı]))</f>
        <v>0</v>
      </c>
      <c r="D2949" s="14"/>
      <c r="F2949" s="9" cm="1">
        <f t="array" ref="F2949">SUMPRODUCT((Tablo3[Şehirler]=E2949)*(Tablo3[Ürün Kar Tutarı]))</f>
        <v>0</v>
      </c>
      <c r="H2949" s="14"/>
      <c r="J2949" s="9" cm="1">
        <f t="array" ref="J2949">SUMPRODUCT((Tablo3[Urun Ad]=I2949)*(Tablo3[Ürün Kar Tutarı]))</f>
        <v>0</v>
      </c>
      <c r="L2949" s="37"/>
    </row>
    <row r="2950" spans="1:12" x14ac:dyDescent="0.25">
      <c r="A2950" s="13"/>
      <c r="B2950" s="9" cm="1">
        <f t="array" ref="B2950">SUMPRODUCT((Tablo3[Personel Ad]=A2950)*(Tablo3[Ürün Kar Tutarı]))</f>
        <v>0</v>
      </c>
      <c r="D2950" s="14"/>
      <c r="F2950" s="9" cm="1">
        <f t="array" ref="F2950">SUMPRODUCT((Tablo3[Şehirler]=E2950)*(Tablo3[Ürün Kar Tutarı]))</f>
        <v>0</v>
      </c>
      <c r="H2950" s="14"/>
      <c r="J2950" s="9" cm="1">
        <f t="array" ref="J2950">SUMPRODUCT((Tablo3[Urun Ad]=I2950)*(Tablo3[Ürün Kar Tutarı]))</f>
        <v>0</v>
      </c>
      <c r="L2950" s="37"/>
    </row>
    <row r="2951" spans="1:12" x14ac:dyDescent="0.25">
      <c r="A2951" s="13"/>
      <c r="B2951" s="9" cm="1">
        <f t="array" ref="B2951">SUMPRODUCT((Tablo3[Personel Ad]=A2951)*(Tablo3[Ürün Kar Tutarı]))</f>
        <v>0</v>
      </c>
      <c r="D2951" s="14"/>
      <c r="F2951" s="9" cm="1">
        <f t="array" ref="F2951">SUMPRODUCT((Tablo3[Şehirler]=E2951)*(Tablo3[Ürün Kar Tutarı]))</f>
        <v>0</v>
      </c>
      <c r="H2951" s="14"/>
      <c r="J2951" s="9" cm="1">
        <f t="array" ref="J2951">SUMPRODUCT((Tablo3[Urun Ad]=I2951)*(Tablo3[Ürün Kar Tutarı]))</f>
        <v>0</v>
      </c>
      <c r="L2951" s="37"/>
    </row>
    <row r="2952" spans="1:12" x14ac:dyDescent="0.25">
      <c r="A2952" s="13"/>
      <c r="B2952" s="9" cm="1">
        <f t="array" ref="B2952">SUMPRODUCT((Tablo3[Personel Ad]=A2952)*(Tablo3[Ürün Kar Tutarı]))</f>
        <v>0</v>
      </c>
      <c r="D2952" s="14"/>
      <c r="F2952" s="9" cm="1">
        <f t="array" ref="F2952">SUMPRODUCT((Tablo3[Şehirler]=E2952)*(Tablo3[Ürün Kar Tutarı]))</f>
        <v>0</v>
      </c>
      <c r="H2952" s="14"/>
      <c r="J2952" s="9" cm="1">
        <f t="array" ref="J2952">SUMPRODUCT((Tablo3[Urun Ad]=I2952)*(Tablo3[Ürün Kar Tutarı]))</f>
        <v>0</v>
      </c>
      <c r="L2952" s="37"/>
    </row>
    <row r="2953" spans="1:12" x14ac:dyDescent="0.25">
      <c r="A2953" s="13"/>
      <c r="B2953" s="9" cm="1">
        <f t="array" ref="B2953">SUMPRODUCT((Tablo3[Personel Ad]=A2953)*(Tablo3[Ürün Kar Tutarı]))</f>
        <v>0</v>
      </c>
      <c r="D2953" s="14"/>
      <c r="F2953" s="9" cm="1">
        <f t="array" ref="F2953">SUMPRODUCT((Tablo3[Şehirler]=E2953)*(Tablo3[Ürün Kar Tutarı]))</f>
        <v>0</v>
      </c>
      <c r="H2953" s="14"/>
      <c r="J2953" s="9" cm="1">
        <f t="array" ref="J2953">SUMPRODUCT((Tablo3[Urun Ad]=I2953)*(Tablo3[Ürün Kar Tutarı]))</f>
        <v>0</v>
      </c>
      <c r="L2953" s="37"/>
    </row>
    <row r="2954" spans="1:12" x14ac:dyDescent="0.25">
      <c r="A2954" s="13"/>
      <c r="B2954" s="9" cm="1">
        <f t="array" ref="B2954">SUMPRODUCT((Tablo3[Personel Ad]=A2954)*(Tablo3[Ürün Kar Tutarı]))</f>
        <v>0</v>
      </c>
      <c r="D2954" s="14"/>
      <c r="F2954" s="9" cm="1">
        <f t="array" ref="F2954">SUMPRODUCT((Tablo3[Şehirler]=E2954)*(Tablo3[Ürün Kar Tutarı]))</f>
        <v>0</v>
      </c>
      <c r="H2954" s="14"/>
      <c r="J2954" s="9" cm="1">
        <f t="array" ref="J2954">SUMPRODUCT((Tablo3[Urun Ad]=I2954)*(Tablo3[Ürün Kar Tutarı]))</f>
        <v>0</v>
      </c>
      <c r="L2954" s="37"/>
    </row>
    <row r="2955" spans="1:12" x14ac:dyDescent="0.25">
      <c r="A2955" s="13"/>
      <c r="B2955" s="9" cm="1">
        <f t="array" ref="B2955">SUMPRODUCT((Tablo3[Personel Ad]=A2955)*(Tablo3[Ürün Kar Tutarı]))</f>
        <v>0</v>
      </c>
      <c r="D2955" s="14"/>
      <c r="F2955" s="9" cm="1">
        <f t="array" ref="F2955">SUMPRODUCT((Tablo3[Şehirler]=E2955)*(Tablo3[Ürün Kar Tutarı]))</f>
        <v>0</v>
      </c>
      <c r="H2955" s="14"/>
      <c r="J2955" s="9" cm="1">
        <f t="array" ref="J2955">SUMPRODUCT((Tablo3[Urun Ad]=I2955)*(Tablo3[Ürün Kar Tutarı]))</f>
        <v>0</v>
      </c>
      <c r="L2955" s="37"/>
    </row>
    <row r="2956" spans="1:12" x14ac:dyDescent="0.25">
      <c r="A2956" s="13"/>
      <c r="B2956" s="9" cm="1">
        <f t="array" ref="B2956">SUMPRODUCT((Tablo3[Personel Ad]=A2956)*(Tablo3[Ürün Kar Tutarı]))</f>
        <v>0</v>
      </c>
      <c r="D2956" s="14"/>
      <c r="F2956" s="9" cm="1">
        <f t="array" ref="F2956">SUMPRODUCT((Tablo3[Şehirler]=E2956)*(Tablo3[Ürün Kar Tutarı]))</f>
        <v>0</v>
      </c>
      <c r="H2956" s="14"/>
      <c r="J2956" s="9" cm="1">
        <f t="array" ref="J2956">SUMPRODUCT((Tablo3[Urun Ad]=I2956)*(Tablo3[Ürün Kar Tutarı]))</f>
        <v>0</v>
      </c>
      <c r="L2956" s="37"/>
    </row>
    <row r="2957" spans="1:12" x14ac:dyDescent="0.25">
      <c r="A2957" s="13"/>
      <c r="B2957" s="9" cm="1">
        <f t="array" ref="B2957">SUMPRODUCT((Tablo3[Personel Ad]=A2957)*(Tablo3[Ürün Kar Tutarı]))</f>
        <v>0</v>
      </c>
      <c r="D2957" s="14"/>
      <c r="F2957" s="9" cm="1">
        <f t="array" ref="F2957">SUMPRODUCT((Tablo3[Şehirler]=E2957)*(Tablo3[Ürün Kar Tutarı]))</f>
        <v>0</v>
      </c>
      <c r="H2957" s="14"/>
      <c r="J2957" s="9" cm="1">
        <f t="array" ref="J2957">SUMPRODUCT((Tablo3[Urun Ad]=I2957)*(Tablo3[Ürün Kar Tutarı]))</f>
        <v>0</v>
      </c>
      <c r="L2957" s="37"/>
    </row>
    <row r="2958" spans="1:12" x14ac:dyDescent="0.25">
      <c r="A2958" s="13"/>
      <c r="B2958" s="9" cm="1">
        <f t="array" ref="B2958">SUMPRODUCT((Tablo3[Personel Ad]=A2958)*(Tablo3[Ürün Kar Tutarı]))</f>
        <v>0</v>
      </c>
      <c r="D2958" s="14"/>
      <c r="F2958" s="9" cm="1">
        <f t="array" ref="F2958">SUMPRODUCT((Tablo3[Şehirler]=E2958)*(Tablo3[Ürün Kar Tutarı]))</f>
        <v>0</v>
      </c>
      <c r="H2958" s="14"/>
      <c r="J2958" s="9" cm="1">
        <f t="array" ref="J2958">SUMPRODUCT((Tablo3[Urun Ad]=I2958)*(Tablo3[Ürün Kar Tutarı]))</f>
        <v>0</v>
      </c>
      <c r="L2958" s="37"/>
    </row>
    <row r="2959" spans="1:12" x14ac:dyDescent="0.25">
      <c r="A2959" s="13"/>
      <c r="B2959" s="9" cm="1">
        <f t="array" ref="B2959">SUMPRODUCT((Tablo3[Personel Ad]=A2959)*(Tablo3[Ürün Kar Tutarı]))</f>
        <v>0</v>
      </c>
      <c r="D2959" s="14"/>
      <c r="F2959" s="9" cm="1">
        <f t="array" ref="F2959">SUMPRODUCT((Tablo3[Şehirler]=E2959)*(Tablo3[Ürün Kar Tutarı]))</f>
        <v>0</v>
      </c>
      <c r="H2959" s="14"/>
      <c r="J2959" s="9" cm="1">
        <f t="array" ref="J2959">SUMPRODUCT((Tablo3[Urun Ad]=I2959)*(Tablo3[Ürün Kar Tutarı]))</f>
        <v>0</v>
      </c>
      <c r="L2959" s="37"/>
    </row>
    <row r="2960" spans="1:12" x14ac:dyDescent="0.25">
      <c r="A2960" s="13"/>
      <c r="B2960" s="9" cm="1">
        <f t="array" ref="B2960">SUMPRODUCT((Tablo3[Personel Ad]=A2960)*(Tablo3[Ürün Kar Tutarı]))</f>
        <v>0</v>
      </c>
      <c r="D2960" s="14"/>
      <c r="F2960" s="9" cm="1">
        <f t="array" ref="F2960">SUMPRODUCT((Tablo3[Şehirler]=E2960)*(Tablo3[Ürün Kar Tutarı]))</f>
        <v>0</v>
      </c>
      <c r="H2960" s="14"/>
      <c r="J2960" s="9" cm="1">
        <f t="array" ref="J2960">SUMPRODUCT((Tablo3[Urun Ad]=I2960)*(Tablo3[Ürün Kar Tutarı]))</f>
        <v>0</v>
      </c>
      <c r="L2960" s="37"/>
    </row>
    <row r="2961" spans="1:12" x14ac:dyDescent="0.25">
      <c r="A2961" s="13"/>
      <c r="B2961" s="9" cm="1">
        <f t="array" ref="B2961">SUMPRODUCT((Tablo3[Personel Ad]=A2961)*(Tablo3[Ürün Kar Tutarı]))</f>
        <v>0</v>
      </c>
      <c r="D2961" s="14"/>
      <c r="F2961" s="9" cm="1">
        <f t="array" ref="F2961">SUMPRODUCT((Tablo3[Şehirler]=E2961)*(Tablo3[Ürün Kar Tutarı]))</f>
        <v>0</v>
      </c>
      <c r="H2961" s="14"/>
      <c r="J2961" s="9" cm="1">
        <f t="array" ref="J2961">SUMPRODUCT((Tablo3[Urun Ad]=I2961)*(Tablo3[Ürün Kar Tutarı]))</f>
        <v>0</v>
      </c>
      <c r="L2961" s="37"/>
    </row>
    <row r="2962" spans="1:12" x14ac:dyDescent="0.25">
      <c r="A2962" s="13"/>
      <c r="B2962" s="9" cm="1">
        <f t="array" ref="B2962">SUMPRODUCT((Tablo3[Personel Ad]=A2962)*(Tablo3[Ürün Kar Tutarı]))</f>
        <v>0</v>
      </c>
      <c r="D2962" s="14"/>
      <c r="F2962" s="9" cm="1">
        <f t="array" ref="F2962">SUMPRODUCT((Tablo3[Şehirler]=E2962)*(Tablo3[Ürün Kar Tutarı]))</f>
        <v>0</v>
      </c>
      <c r="H2962" s="14"/>
      <c r="J2962" s="9" cm="1">
        <f t="array" ref="J2962">SUMPRODUCT((Tablo3[Urun Ad]=I2962)*(Tablo3[Ürün Kar Tutarı]))</f>
        <v>0</v>
      </c>
      <c r="L2962" s="37"/>
    </row>
    <row r="2963" spans="1:12" x14ac:dyDescent="0.25">
      <c r="A2963" s="13"/>
      <c r="B2963" s="9" cm="1">
        <f t="array" ref="B2963">SUMPRODUCT((Tablo3[Personel Ad]=A2963)*(Tablo3[Ürün Kar Tutarı]))</f>
        <v>0</v>
      </c>
      <c r="D2963" s="14"/>
      <c r="F2963" s="9" cm="1">
        <f t="array" ref="F2963">SUMPRODUCT((Tablo3[Şehirler]=E2963)*(Tablo3[Ürün Kar Tutarı]))</f>
        <v>0</v>
      </c>
      <c r="H2963" s="14"/>
      <c r="J2963" s="9" cm="1">
        <f t="array" ref="J2963">SUMPRODUCT((Tablo3[Urun Ad]=I2963)*(Tablo3[Ürün Kar Tutarı]))</f>
        <v>0</v>
      </c>
      <c r="L2963" s="37"/>
    </row>
    <row r="2964" spans="1:12" x14ac:dyDescent="0.25">
      <c r="A2964" s="13"/>
      <c r="B2964" s="9" cm="1">
        <f t="array" ref="B2964">SUMPRODUCT((Tablo3[Personel Ad]=A2964)*(Tablo3[Ürün Kar Tutarı]))</f>
        <v>0</v>
      </c>
      <c r="D2964" s="14"/>
      <c r="F2964" s="9" cm="1">
        <f t="array" ref="F2964">SUMPRODUCT((Tablo3[Şehirler]=E2964)*(Tablo3[Ürün Kar Tutarı]))</f>
        <v>0</v>
      </c>
      <c r="H2964" s="14"/>
      <c r="J2964" s="9" cm="1">
        <f t="array" ref="J2964">SUMPRODUCT((Tablo3[Urun Ad]=I2964)*(Tablo3[Ürün Kar Tutarı]))</f>
        <v>0</v>
      </c>
      <c r="L2964" s="37"/>
    </row>
    <row r="2965" spans="1:12" x14ac:dyDescent="0.25">
      <c r="A2965" s="13"/>
      <c r="B2965" s="9" cm="1">
        <f t="array" ref="B2965">SUMPRODUCT((Tablo3[Personel Ad]=A2965)*(Tablo3[Ürün Kar Tutarı]))</f>
        <v>0</v>
      </c>
      <c r="D2965" s="14"/>
      <c r="F2965" s="9" cm="1">
        <f t="array" ref="F2965">SUMPRODUCT((Tablo3[Şehirler]=E2965)*(Tablo3[Ürün Kar Tutarı]))</f>
        <v>0</v>
      </c>
      <c r="H2965" s="14"/>
      <c r="J2965" s="9" cm="1">
        <f t="array" ref="J2965">SUMPRODUCT((Tablo3[Urun Ad]=I2965)*(Tablo3[Ürün Kar Tutarı]))</f>
        <v>0</v>
      </c>
      <c r="L2965" s="37"/>
    </row>
    <row r="2966" spans="1:12" x14ac:dyDescent="0.25">
      <c r="A2966" s="13"/>
      <c r="B2966" s="9" cm="1">
        <f t="array" ref="B2966">SUMPRODUCT((Tablo3[Personel Ad]=A2966)*(Tablo3[Ürün Kar Tutarı]))</f>
        <v>0</v>
      </c>
      <c r="D2966" s="14"/>
      <c r="F2966" s="9" cm="1">
        <f t="array" ref="F2966">SUMPRODUCT((Tablo3[Şehirler]=E2966)*(Tablo3[Ürün Kar Tutarı]))</f>
        <v>0</v>
      </c>
      <c r="H2966" s="14"/>
      <c r="J2966" s="9" cm="1">
        <f t="array" ref="J2966">SUMPRODUCT((Tablo3[Urun Ad]=I2966)*(Tablo3[Ürün Kar Tutarı]))</f>
        <v>0</v>
      </c>
      <c r="L2966" s="37"/>
    </row>
    <row r="2967" spans="1:12" x14ac:dyDescent="0.25">
      <c r="A2967" s="13"/>
      <c r="B2967" s="9" cm="1">
        <f t="array" ref="B2967">SUMPRODUCT((Tablo3[Personel Ad]=A2967)*(Tablo3[Ürün Kar Tutarı]))</f>
        <v>0</v>
      </c>
      <c r="D2967" s="14"/>
      <c r="F2967" s="9" cm="1">
        <f t="array" ref="F2967">SUMPRODUCT((Tablo3[Şehirler]=E2967)*(Tablo3[Ürün Kar Tutarı]))</f>
        <v>0</v>
      </c>
      <c r="H2967" s="14"/>
      <c r="J2967" s="9" cm="1">
        <f t="array" ref="J2967">SUMPRODUCT((Tablo3[Urun Ad]=I2967)*(Tablo3[Ürün Kar Tutarı]))</f>
        <v>0</v>
      </c>
      <c r="L2967" s="37"/>
    </row>
    <row r="2968" spans="1:12" x14ac:dyDescent="0.25">
      <c r="A2968" s="13"/>
      <c r="B2968" s="9" cm="1">
        <f t="array" ref="B2968">SUMPRODUCT((Tablo3[Personel Ad]=A2968)*(Tablo3[Ürün Kar Tutarı]))</f>
        <v>0</v>
      </c>
      <c r="D2968" s="14"/>
      <c r="F2968" s="9" cm="1">
        <f t="array" ref="F2968">SUMPRODUCT((Tablo3[Şehirler]=E2968)*(Tablo3[Ürün Kar Tutarı]))</f>
        <v>0</v>
      </c>
      <c r="H2968" s="14"/>
      <c r="J2968" s="9" cm="1">
        <f t="array" ref="J2968">SUMPRODUCT((Tablo3[Urun Ad]=I2968)*(Tablo3[Ürün Kar Tutarı]))</f>
        <v>0</v>
      </c>
      <c r="L2968" s="37"/>
    </row>
    <row r="2969" spans="1:12" x14ac:dyDescent="0.25">
      <c r="A2969" s="13"/>
      <c r="B2969" s="9" cm="1">
        <f t="array" ref="B2969">SUMPRODUCT((Tablo3[Personel Ad]=A2969)*(Tablo3[Ürün Kar Tutarı]))</f>
        <v>0</v>
      </c>
      <c r="D2969" s="14"/>
      <c r="F2969" s="9" cm="1">
        <f t="array" ref="F2969">SUMPRODUCT((Tablo3[Şehirler]=E2969)*(Tablo3[Ürün Kar Tutarı]))</f>
        <v>0</v>
      </c>
      <c r="H2969" s="14"/>
      <c r="J2969" s="9" cm="1">
        <f t="array" ref="J2969">SUMPRODUCT((Tablo3[Urun Ad]=I2969)*(Tablo3[Ürün Kar Tutarı]))</f>
        <v>0</v>
      </c>
      <c r="L2969" s="37"/>
    </row>
    <row r="2970" spans="1:12" x14ac:dyDescent="0.25">
      <c r="A2970" s="13"/>
      <c r="B2970" s="9" cm="1">
        <f t="array" ref="B2970">SUMPRODUCT((Tablo3[Personel Ad]=A2970)*(Tablo3[Ürün Kar Tutarı]))</f>
        <v>0</v>
      </c>
      <c r="D2970" s="14"/>
      <c r="F2970" s="9" cm="1">
        <f t="array" ref="F2970">SUMPRODUCT((Tablo3[Şehirler]=E2970)*(Tablo3[Ürün Kar Tutarı]))</f>
        <v>0</v>
      </c>
      <c r="H2970" s="14"/>
      <c r="J2970" s="9" cm="1">
        <f t="array" ref="J2970">SUMPRODUCT((Tablo3[Urun Ad]=I2970)*(Tablo3[Ürün Kar Tutarı]))</f>
        <v>0</v>
      </c>
      <c r="L2970" s="37"/>
    </row>
    <row r="2971" spans="1:12" x14ac:dyDescent="0.25">
      <c r="A2971" s="13"/>
      <c r="B2971" s="9" cm="1">
        <f t="array" ref="B2971">SUMPRODUCT((Tablo3[Personel Ad]=A2971)*(Tablo3[Ürün Kar Tutarı]))</f>
        <v>0</v>
      </c>
      <c r="D2971" s="14"/>
      <c r="F2971" s="9" cm="1">
        <f t="array" ref="F2971">SUMPRODUCT((Tablo3[Şehirler]=E2971)*(Tablo3[Ürün Kar Tutarı]))</f>
        <v>0</v>
      </c>
      <c r="H2971" s="14"/>
      <c r="J2971" s="9" cm="1">
        <f t="array" ref="J2971">SUMPRODUCT((Tablo3[Urun Ad]=I2971)*(Tablo3[Ürün Kar Tutarı]))</f>
        <v>0</v>
      </c>
      <c r="L2971" s="37"/>
    </row>
    <row r="2972" spans="1:12" x14ac:dyDescent="0.25">
      <c r="A2972" s="13"/>
      <c r="B2972" s="9" cm="1">
        <f t="array" ref="B2972">SUMPRODUCT((Tablo3[Personel Ad]=A2972)*(Tablo3[Ürün Kar Tutarı]))</f>
        <v>0</v>
      </c>
      <c r="D2972" s="14"/>
      <c r="F2972" s="9" cm="1">
        <f t="array" ref="F2972">SUMPRODUCT((Tablo3[Şehirler]=E2972)*(Tablo3[Ürün Kar Tutarı]))</f>
        <v>0</v>
      </c>
      <c r="H2972" s="14"/>
      <c r="J2972" s="9" cm="1">
        <f t="array" ref="J2972">SUMPRODUCT((Tablo3[Urun Ad]=I2972)*(Tablo3[Ürün Kar Tutarı]))</f>
        <v>0</v>
      </c>
      <c r="L2972" s="37"/>
    </row>
    <row r="2973" spans="1:12" x14ac:dyDescent="0.25">
      <c r="A2973" s="13"/>
      <c r="B2973" s="9" cm="1">
        <f t="array" ref="B2973">SUMPRODUCT((Tablo3[Personel Ad]=A2973)*(Tablo3[Ürün Kar Tutarı]))</f>
        <v>0</v>
      </c>
      <c r="D2973" s="14"/>
      <c r="F2973" s="9" cm="1">
        <f t="array" ref="F2973">SUMPRODUCT((Tablo3[Şehirler]=E2973)*(Tablo3[Ürün Kar Tutarı]))</f>
        <v>0</v>
      </c>
      <c r="H2973" s="14"/>
      <c r="J2973" s="9" cm="1">
        <f t="array" ref="J2973">SUMPRODUCT((Tablo3[Urun Ad]=I2973)*(Tablo3[Ürün Kar Tutarı]))</f>
        <v>0</v>
      </c>
      <c r="L2973" s="37"/>
    </row>
    <row r="2974" spans="1:12" x14ac:dyDescent="0.25">
      <c r="A2974" s="13"/>
      <c r="B2974" s="9" cm="1">
        <f t="array" ref="B2974">SUMPRODUCT((Tablo3[Personel Ad]=A2974)*(Tablo3[Ürün Kar Tutarı]))</f>
        <v>0</v>
      </c>
      <c r="D2974" s="14"/>
      <c r="F2974" s="9" cm="1">
        <f t="array" ref="F2974">SUMPRODUCT((Tablo3[Şehirler]=E2974)*(Tablo3[Ürün Kar Tutarı]))</f>
        <v>0</v>
      </c>
      <c r="H2974" s="14"/>
      <c r="J2974" s="9" cm="1">
        <f t="array" ref="J2974">SUMPRODUCT((Tablo3[Urun Ad]=I2974)*(Tablo3[Ürün Kar Tutarı]))</f>
        <v>0</v>
      </c>
      <c r="L2974" s="37"/>
    </row>
    <row r="2975" spans="1:12" x14ac:dyDescent="0.25">
      <c r="A2975" s="13"/>
      <c r="B2975" s="9" cm="1">
        <f t="array" ref="B2975">SUMPRODUCT((Tablo3[Personel Ad]=A2975)*(Tablo3[Ürün Kar Tutarı]))</f>
        <v>0</v>
      </c>
      <c r="D2975" s="14"/>
      <c r="F2975" s="9" cm="1">
        <f t="array" ref="F2975">SUMPRODUCT((Tablo3[Şehirler]=E2975)*(Tablo3[Ürün Kar Tutarı]))</f>
        <v>0</v>
      </c>
      <c r="H2975" s="14"/>
      <c r="J2975" s="9" cm="1">
        <f t="array" ref="J2975">SUMPRODUCT((Tablo3[Urun Ad]=I2975)*(Tablo3[Ürün Kar Tutarı]))</f>
        <v>0</v>
      </c>
      <c r="L2975" s="37"/>
    </row>
    <row r="2976" spans="1:12" x14ac:dyDescent="0.25">
      <c r="A2976" s="13"/>
      <c r="B2976" s="9" cm="1">
        <f t="array" ref="B2976">SUMPRODUCT((Tablo3[Personel Ad]=A2976)*(Tablo3[Ürün Kar Tutarı]))</f>
        <v>0</v>
      </c>
      <c r="D2976" s="14"/>
      <c r="F2976" s="9" cm="1">
        <f t="array" ref="F2976">SUMPRODUCT((Tablo3[Şehirler]=E2976)*(Tablo3[Ürün Kar Tutarı]))</f>
        <v>0</v>
      </c>
      <c r="H2976" s="14"/>
      <c r="J2976" s="9" cm="1">
        <f t="array" ref="J2976">SUMPRODUCT((Tablo3[Urun Ad]=I2976)*(Tablo3[Ürün Kar Tutarı]))</f>
        <v>0</v>
      </c>
      <c r="L2976" s="37"/>
    </row>
    <row r="2977" spans="1:12" x14ac:dyDescent="0.25">
      <c r="A2977" s="13"/>
      <c r="B2977" s="9" cm="1">
        <f t="array" ref="B2977">SUMPRODUCT((Tablo3[Personel Ad]=A2977)*(Tablo3[Ürün Kar Tutarı]))</f>
        <v>0</v>
      </c>
      <c r="D2977" s="14"/>
      <c r="F2977" s="9" cm="1">
        <f t="array" ref="F2977">SUMPRODUCT((Tablo3[Şehirler]=E2977)*(Tablo3[Ürün Kar Tutarı]))</f>
        <v>0</v>
      </c>
      <c r="H2977" s="14"/>
      <c r="J2977" s="9" cm="1">
        <f t="array" ref="J2977">SUMPRODUCT((Tablo3[Urun Ad]=I2977)*(Tablo3[Ürün Kar Tutarı]))</f>
        <v>0</v>
      </c>
      <c r="L2977" s="37"/>
    </row>
    <row r="2978" spans="1:12" x14ac:dyDescent="0.25">
      <c r="A2978" s="13"/>
      <c r="B2978" s="9" cm="1">
        <f t="array" ref="B2978">SUMPRODUCT((Tablo3[Personel Ad]=A2978)*(Tablo3[Ürün Kar Tutarı]))</f>
        <v>0</v>
      </c>
      <c r="D2978" s="14"/>
      <c r="F2978" s="9" cm="1">
        <f t="array" ref="F2978">SUMPRODUCT((Tablo3[Şehirler]=E2978)*(Tablo3[Ürün Kar Tutarı]))</f>
        <v>0</v>
      </c>
      <c r="H2978" s="14"/>
      <c r="J2978" s="9" cm="1">
        <f t="array" ref="J2978">SUMPRODUCT((Tablo3[Urun Ad]=I2978)*(Tablo3[Ürün Kar Tutarı]))</f>
        <v>0</v>
      </c>
      <c r="L2978" s="37"/>
    </row>
    <row r="2979" spans="1:12" x14ac:dyDescent="0.25">
      <c r="A2979" s="13"/>
      <c r="B2979" s="9" cm="1">
        <f t="array" ref="B2979">SUMPRODUCT((Tablo3[Personel Ad]=A2979)*(Tablo3[Ürün Kar Tutarı]))</f>
        <v>0</v>
      </c>
      <c r="D2979" s="14"/>
      <c r="F2979" s="9" cm="1">
        <f t="array" ref="F2979">SUMPRODUCT((Tablo3[Şehirler]=E2979)*(Tablo3[Ürün Kar Tutarı]))</f>
        <v>0</v>
      </c>
      <c r="H2979" s="14"/>
      <c r="J2979" s="9" cm="1">
        <f t="array" ref="J2979">SUMPRODUCT((Tablo3[Urun Ad]=I2979)*(Tablo3[Ürün Kar Tutarı]))</f>
        <v>0</v>
      </c>
      <c r="L2979" s="37"/>
    </row>
    <row r="2980" spans="1:12" x14ac:dyDescent="0.25">
      <c r="A2980" s="13"/>
      <c r="B2980" s="9" cm="1">
        <f t="array" ref="B2980">SUMPRODUCT((Tablo3[Personel Ad]=A2980)*(Tablo3[Ürün Kar Tutarı]))</f>
        <v>0</v>
      </c>
      <c r="D2980" s="14"/>
      <c r="F2980" s="9" cm="1">
        <f t="array" ref="F2980">SUMPRODUCT((Tablo3[Şehirler]=E2980)*(Tablo3[Ürün Kar Tutarı]))</f>
        <v>0</v>
      </c>
      <c r="H2980" s="14"/>
      <c r="J2980" s="9" cm="1">
        <f t="array" ref="J2980">SUMPRODUCT((Tablo3[Urun Ad]=I2980)*(Tablo3[Ürün Kar Tutarı]))</f>
        <v>0</v>
      </c>
      <c r="L2980" s="37"/>
    </row>
    <row r="2981" spans="1:12" x14ac:dyDescent="0.25">
      <c r="A2981" s="13"/>
      <c r="B2981" s="9" cm="1">
        <f t="array" ref="B2981">SUMPRODUCT((Tablo3[Personel Ad]=A2981)*(Tablo3[Ürün Kar Tutarı]))</f>
        <v>0</v>
      </c>
      <c r="D2981" s="14"/>
      <c r="F2981" s="9" cm="1">
        <f t="array" ref="F2981">SUMPRODUCT((Tablo3[Şehirler]=E2981)*(Tablo3[Ürün Kar Tutarı]))</f>
        <v>0</v>
      </c>
      <c r="H2981" s="14"/>
      <c r="J2981" s="9" cm="1">
        <f t="array" ref="J2981">SUMPRODUCT((Tablo3[Urun Ad]=I2981)*(Tablo3[Ürün Kar Tutarı]))</f>
        <v>0</v>
      </c>
      <c r="L2981" s="37"/>
    </row>
    <row r="2982" spans="1:12" x14ac:dyDescent="0.25">
      <c r="A2982" s="13"/>
      <c r="B2982" s="9" cm="1">
        <f t="array" ref="B2982">SUMPRODUCT((Tablo3[Personel Ad]=A2982)*(Tablo3[Ürün Kar Tutarı]))</f>
        <v>0</v>
      </c>
      <c r="D2982" s="14"/>
      <c r="F2982" s="9" cm="1">
        <f t="array" ref="F2982">SUMPRODUCT((Tablo3[Şehirler]=E2982)*(Tablo3[Ürün Kar Tutarı]))</f>
        <v>0</v>
      </c>
      <c r="H2982" s="14"/>
      <c r="J2982" s="9" cm="1">
        <f t="array" ref="J2982">SUMPRODUCT((Tablo3[Urun Ad]=I2982)*(Tablo3[Ürün Kar Tutarı]))</f>
        <v>0</v>
      </c>
      <c r="L2982" s="37"/>
    </row>
    <row r="2983" spans="1:12" x14ac:dyDescent="0.25">
      <c r="A2983" s="13"/>
      <c r="B2983" s="9" cm="1">
        <f t="array" ref="B2983">SUMPRODUCT((Tablo3[Personel Ad]=A2983)*(Tablo3[Ürün Kar Tutarı]))</f>
        <v>0</v>
      </c>
      <c r="D2983" s="14"/>
      <c r="F2983" s="9" cm="1">
        <f t="array" ref="F2983">SUMPRODUCT((Tablo3[Şehirler]=E2983)*(Tablo3[Ürün Kar Tutarı]))</f>
        <v>0</v>
      </c>
      <c r="H2983" s="14"/>
      <c r="J2983" s="9" cm="1">
        <f t="array" ref="J2983">SUMPRODUCT((Tablo3[Urun Ad]=I2983)*(Tablo3[Ürün Kar Tutarı]))</f>
        <v>0</v>
      </c>
      <c r="L2983" s="37"/>
    </row>
    <row r="2984" spans="1:12" x14ac:dyDescent="0.25">
      <c r="A2984" s="13"/>
      <c r="B2984" s="9" cm="1">
        <f t="array" ref="B2984">SUMPRODUCT((Tablo3[Personel Ad]=A2984)*(Tablo3[Ürün Kar Tutarı]))</f>
        <v>0</v>
      </c>
      <c r="D2984" s="14"/>
      <c r="F2984" s="9" cm="1">
        <f t="array" ref="F2984">SUMPRODUCT((Tablo3[Şehirler]=E2984)*(Tablo3[Ürün Kar Tutarı]))</f>
        <v>0</v>
      </c>
      <c r="H2984" s="14"/>
      <c r="J2984" s="9" cm="1">
        <f t="array" ref="J2984">SUMPRODUCT((Tablo3[Urun Ad]=I2984)*(Tablo3[Ürün Kar Tutarı]))</f>
        <v>0</v>
      </c>
      <c r="L2984" s="37"/>
    </row>
    <row r="2985" spans="1:12" x14ac:dyDescent="0.25">
      <c r="A2985" s="13"/>
      <c r="B2985" s="9" cm="1">
        <f t="array" ref="B2985">SUMPRODUCT((Tablo3[Personel Ad]=A2985)*(Tablo3[Ürün Kar Tutarı]))</f>
        <v>0</v>
      </c>
      <c r="D2985" s="14"/>
      <c r="F2985" s="9" cm="1">
        <f t="array" ref="F2985">SUMPRODUCT((Tablo3[Şehirler]=E2985)*(Tablo3[Ürün Kar Tutarı]))</f>
        <v>0</v>
      </c>
      <c r="H2985" s="14"/>
      <c r="J2985" s="9" cm="1">
        <f t="array" ref="J2985">SUMPRODUCT((Tablo3[Urun Ad]=I2985)*(Tablo3[Ürün Kar Tutarı]))</f>
        <v>0</v>
      </c>
      <c r="L2985" s="37"/>
    </row>
    <row r="2986" spans="1:12" x14ac:dyDescent="0.25">
      <c r="A2986" s="13"/>
      <c r="B2986" s="9" cm="1">
        <f t="array" ref="B2986">SUMPRODUCT((Tablo3[Personel Ad]=A2986)*(Tablo3[Ürün Kar Tutarı]))</f>
        <v>0</v>
      </c>
      <c r="D2986" s="14"/>
      <c r="F2986" s="9" cm="1">
        <f t="array" ref="F2986">SUMPRODUCT((Tablo3[Şehirler]=E2986)*(Tablo3[Ürün Kar Tutarı]))</f>
        <v>0</v>
      </c>
      <c r="H2986" s="14"/>
      <c r="J2986" s="9" cm="1">
        <f t="array" ref="J2986">SUMPRODUCT((Tablo3[Urun Ad]=I2986)*(Tablo3[Ürün Kar Tutarı]))</f>
        <v>0</v>
      </c>
      <c r="L2986" s="37"/>
    </row>
    <row r="2987" spans="1:12" x14ac:dyDescent="0.25">
      <c r="A2987" s="13"/>
      <c r="B2987" s="9" cm="1">
        <f t="array" ref="B2987">SUMPRODUCT((Tablo3[Personel Ad]=A2987)*(Tablo3[Ürün Kar Tutarı]))</f>
        <v>0</v>
      </c>
      <c r="D2987" s="14"/>
      <c r="F2987" s="9" cm="1">
        <f t="array" ref="F2987">SUMPRODUCT((Tablo3[Şehirler]=E2987)*(Tablo3[Ürün Kar Tutarı]))</f>
        <v>0</v>
      </c>
      <c r="H2987" s="14"/>
      <c r="J2987" s="9" cm="1">
        <f t="array" ref="J2987">SUMPRODUCT((Tablo3[Urun Ad]=I2987)*(Tablo3[Ürün Kar Tutarı]))</f>
        <v>0</v>
      </c>
      <c r="L2987" s="37"/>
    </row>
    <row r="2988" spans="1:12" x14ac:dyDescent="0.25">
      <c r="A2988" s="13"/>
      <c r="B2988" s="9" cm="1">
        <f t="array" ref="B2988">SUMPRODUCT((Tablo3[Personel Ad]=A2988)*(Tablo3[Ürün Kar Tutarı]))</f>
        <v>0</v>
      </c>
      <c r="D2988" s="14"/>
      <c r="F2988" s="9" cm="1">
        <f t="array" ref="F2988">SUMPRODUCT((Tablo3[Şehirler]=E2988)*(Tablo3[Ürün Kar Tutarı]))</f>
        <v>0</v>
      </c>
      <c r="H2988" s="14"/>
      <c r="J2988" s="9" cm="1">
        <f t="array" ref="J2988">SUMPRODUCT((Tablo3[Urun Ad]=I2988)*(Tablo3[Ürün Kar Tutarı]))</f>
        <v>0</v>
      </c>
      <c r="L2988" s="37"/>
    </row>
    <row r="2989" spans="1:12" x14ac:dyDescent="0.25">
      <c r="A2989" s="13"/>
      <c r="B2989" s="9" cm="1">
        <f t="array" ref="B2989">SUMPRODUCT((Tablo3[Personel Ad]=A2989)*(Tablo3[Ürün Kar Tutarı]))</f>
        <v>0</v>
      </c>
      <c r="D2989" s="14"/>
      <c r="F2989" s="9" cm="1">
        <f t="array" ref="F2989">SUMPRODUCT((Tablo3[Şehirler]=E2989)*(Tablo3[Ürün Kar Tutarı]))</f>
        <v>0</v>
      </c>
      <c r="H2989" s="14"/>
      <c r="J2989" s="9" cm="1">
        <f t="array" ref="J2989">SUMPRODUCT((Tablo3[Urun Ad]=I2989)*(Tablo3[Ürün Kar Tutarı]))</f>
        <v>0</v>
      </c>
      <c r="L2989" s="37"/>
    </row>
    <row r="2990" spans="1:12" x14ac:dyDescent="0.25">
      <c r="A2990" s="13"/>
      <c r="B2990" s="9" cm="1">
        <f t="array" ref="B2990">SUMPRODUCT((Tablo3[Personel Ad]=A2990)*(Tablo3[Ürün Kar Tutarı]))</f>
        <v>0</v>
      </c>
      <c r="D2990" s="14"/>
      <c r="F2990" s="9" cm="1">
        <f t="array" ref="F2990">SUMPRODUCT((Tablo3[Şehirler]=E2990)*(Tablo3[Ürün Kar Tutarı]))</f>
        <v>0</v>
      </c>
      <c r="H2990" s="14"/>
      <c r="J2990" s="9" cm="1">
        <f t="array" ref="J2990">SUMPRODUCT((Tablo3[Urun Ad]=I2990)*(Tablo3[Ürün Kar Tutarı]))</f>
        <v>0</v>
      </c>
      <c r="L2990" s="37"/>
    </row>
    <row r="2991" spans="1:12" x14ac:dyDescent="0.25">
      <c r="A2991" s="13"/>
      <c r="B2991" s="9" cm="1">
        <f t="array" ref="B2991">SUMPRODUCT((Tablo3[Personel Ad]=A2991)*(Tablo3[Ürün Kar Tutarı]))</f>
        <v>0</v>
      </c>
      <c r="D2991" s="14"/>
      <c r="F2991" s="9" cm="1">
        <f t="array" ref="F2991">SUMPRODUCT((Tablo3[Şehirler]=E2991)*(Tablo3[Ürün Kar Tutarı]))</f>
        <v>0</v>
      </c>
      <c r="H2991" s="14"/>
      <c r="J2991" s="9" cm="1">
        <f t="array" ref="J2991">SUMPRODUCT((Tablo3[Urun Ad]=I2991)*(Tablo3[Ürün Kar Tutarı]))</f>
        <v>0</v>
      </c>
      <c r="L2991" s="37"/>
    </row>
    <row r="2992" spans="1:12" x14ac:dyDescent="0.25">
      <c r="A2992" s="13"/>
      <c r="B2992" s="9" cm="1">
        <f t="array" ref="B2992">SUMPRODUCT((Tablo3[Personel Ad]=A2992)*(Tablo3[Ürün Kar Tutarı]))</f>
        <v>0</v>
      </c>
      <c r="D2992" s="14"/>
      <c r="F2992" s="9" cm="1">
        <f t="array" ref="F2992">SUMPRODUCT((Tablo3[Şehirler]=E2992)*(Tablo3[Ürün Kar Tutarı]))</f>
        <v>0</v>
      </c>
      <c r="H2992" s="14"/>
      <c r="J2992" s="9" cm="1">
        <f t="array" ref="J2992">SUMPRODUCT((Tablo3[Urun Ad]=I2992)*(Tablo3[Ürün Kar Tutarı]))</f>
        <v>0</v>
      </c>
      <c r="L2992" s="37"/>
    </row>
    <row r="2993" spans="1:12" x14ac:dyDescent="0.25">
      <c r="A2993" s="13"/>
      <c r="B2993" s="9" cm="1">
        <f t="array" ref="B2993">SUMPRODUCT((Tablo3[Personel Ad]=A2993)*(Tablo3[Ürün Kar Tutarı]))</f>
        <v>0</v>
      </c>
      <c r="D2993" s="14"/>
      <c r="F2993" s="9" cm="1">
        <f t="array" ref="F2993">SUMPRODUCT((Tablo3[Şehirler]=E2993)*(Tablo3[Ürün Kar Tutarı]))</f>
        <v>0</v>
      </c>
      <c r="H2993" s="14"/>
      <c r="J2993" s="9" cm="1">
        <f t="array" ref="J2993">SUMPRODUCT((Tablo3[Urun Ad]=I2993)*(Tablo3[Ürün Kar Tutarı]))</f>
        <v>0</v>
      </c>
      <c r="L2993" s="37"/>
    </row>
    <row r="2994" spans="1:12" x14ac:dyDescent="0.25">
      <c r="A2994" s="13"/>
      <c r="B2994" s="9" cm="1">
        <f t="array" ref="B2994">SUMPRODUCT((Tablo3[Personel Ad]=A2994)*(Tablo3[Ürün Kar Tutarı]))</f>
        <v>0</v>
      </c>
      <c r="D2994" s="14"/>
      <c r="F2994" s="9" cm="1">
        <f t="array" ref="F2994">SUMPRODUCT((Tablo3[Şehirler]=E2994)*(Tablo3[Ürün Kar Tutarı]))</f>
        <v>0</v>
      </c>
      <c r="H2994" s="14"/>
      <c r="J2994" s="9" cm="1">
        <f t="array" ref="J2994">SUMPRODUCT((Tablo3[Urun Ad]=I2994)*(Tablo3[Ürün Kar Tutarı]))</f>
        <v>0</v>
      </c>
      <c r="L2994" s="37"/>
    </row>
    <row r="2995" spans="1:12" x14ac:dyDescent="0.25">
      <c r="A2995" s="13"/>
      <c r="B2995" s="9" cm="1">
        <f t="array" ref="B2995">SUMPRODUCT((Tablo3[Personel Ad]=A2995)*(Tablo3[Ürün Kar Tutarı]))</f>
        <v>0</v>
      </c>
      <c r="D2995" s="14"/>
      <c r="F2995" s="9" cm="1">
        <f t="array" ref="F2995">SUMPRODUCT((Tablo3[Şehirler]=E2995)*(Tablo3[Ürün Kar Tutarı]))</f>
        <v>0</v>
      </c>
      <c r="H2995" s="14"/>
      <c r="J2995" s="9" cm="1">
        <f t="array" ref="J2995">SUMPRODUCT((Tablo3[Urun Ad]=I2995)*(Tablo3[Ürün Kar Tutarı]))</f>
        <v>0</v>
      </c>
      <c r="L2995" s="37"/>
    </row>
    <row r="2996" spans="1:12" x14ac:dyDescent="0.25">
      <c r="A2996" s="13"/>
      <c r="B2996" s="9" cm="1">
        <f t="array" ref="B2996">SUMPRODUCT((Tablo3[Personel Ad]=A2996)*(Tablo3[Ürün Kar Tutarı]))</f>
        <v>0</v>
      </c>
      <c r="D2996" s="14"/>
      <c r="F2996" s="9" cm="1">
        <f t="array" ref="F2996">SUMPRODUCT((Tablo3[Şehirler]=E2996)*(Tablo3[Ürün Kar Tutarı]))</f>
        <v>0</v>
      </c>
      <c r="H2996" s="14"/>
      <c r="J2996" s="9" cm="1">
        <f t="array" ref="J2996">SUMPRODUCT((Tablo3[Urun Ad]=I2996)*(Tablo3[Ürün Kar Tutarı]))</f>
        <v>0</v>
      </c>
      <c r="L2996" s="37"/>
    </row>
    <row r="2997" spans="1:12" x14ac:dyDescent="0.25">
      <c r="A2997" s="13"/>
      <c r="B2997" s="9" cm="1">
        <f t="array" ref="B2997">SUMPRODUCT((Tablo3[Personel Ad]=A2997)*(Tablo3[Ürün Kar Tutarı]))</f>
        <v>0</v>
      </c>
      <c r="D2997" s="14"/>
      <c r="F2997" s="9" cm="1">
        <f t="array" ref="F2997">SUMPRODUCT((Tablo3[Şehirler]=E2997)*(Tablo3[Ürün Kar Tutarı]))</f>
        <v>0</v>
      </c>
      <c r="H2997" s="14"/>
      <c r="J2997" s="9" cm="1">
        <f t="array" ref="J2997">SUMPRODUCT((Tablo3[Urun Ad]=I2997)*(Tablo3[Ürün Kar Tutarı]))</f>
        <v>0</v>
      </c>
      <c r="L2997" s="37"/>
    </row>
    <row r="2998" spans="1:12" x14ac:dyDescent="0.25">
      <c r="A2998" s="13"/>
      <c r="B2998" s="9" cm="1">
        <f t="array" ref="B2998">SUMPRODUCT((Tablo3[Personel Ad]=A2998)*(Tablo3[Ürün Kar Tutarı]))</f>
        <v>0</v>
      </c>
      <c r="D2998" s="14"/>
      <c r="F2998" s="9" cm="1">
        <f t="array" ref="F2998">SUMPRODUCT((Tablo3[Şehirler]=E2998)*(Tablo3[Ürün Kar Tutarı]))</f>
        <v>0</v>
      </c>
      <c r="H2998" s="14"/>
      <c r="J2998" s="9" cm="1">
        <f t="array" ref="J2998">SUMPRODUCT((Tablo3[Urun Ad]=I2998)*(Tablo3[Ürün Kar Tutarı]))</f>
        <v>0</v>
      </c>
      <c r="L2998" s="37"/>
    </row>
    <row r="2999" spans="1:12" x14ac:dyDescent="0.25">
      <c r="A2999" s="13"/>
      <c r="B2999" s="9" cm="1">
        <f t="array" ref="B2999">SUMPRODUCT((Tablo3[Personel Ad]=A2999)*(Tablo3[Ürün Kar Tutarı]))</f>
        <v>0</v>
      </c>
      <c r="D2999" s="14"/>
      <c r="F2999" s="9" cm="1">
        <f t="array" ref="F2999">SUMPRODUCT((Tablo3[Şehirler]=E2999)*(Tablo3[Ürün Kar Tutarı]))</f>
        <v>0</v>
      </c>
      <c r="H2999" s="14"/>
      <c r="J2999" s="9" cm="1">
        <f t="array" ref="J2999">SUMPRODUCT((Tablo3[Urun Ad]=I2999)*(Tablo3[Ürün Kar Tutarı]))</f>
        <v>0</v>
      </c>
      <c r="L2999" s="37"/>
    </row>
    <row r="3000" spans="1:12" x14ac:dyDescent="0.25">
      <c r="A3000" s="13"/>
      <c r="B3000" s="9" cm="1">
        <f t="array" ref="B3000">SUMPRODUCT((Tablo3[Personel Ad]=A3000)*(Tablo3[Ürün Kar Tutarı]))</f>
        <v>0</v>
      </c>
      <c r="D3000" s="14"/>
      <c r="F3000" s="9" cm="1">
        <f t="array" ref="F3000">SUMPRODUCT((Tablo3[Şehirler]=E3000)*(Tablo3[Ürün Kar Tutarı]))</f>
        <v>0</v>
      </c>
      <c r="H3000" s="14"/>
      <c r="J3000" s="9" cm="1">
        <f t="array" ref="J3000">SUMPRODUCT((Tablo3[Urun Ad]=I3000)*(Tablo3[Ürün Kar Tutarı]))</f>
        <v>0</v>
      </c>
      <c r="L3000" s="37"/>
    </row>
    <row r="3001" spans="1:12" x14ac:dyDescent="0.25">
      <c r="A3001" s="13"/>
      <c r="B3001" s="9" cm="1">
        <f t="array" ref="B3001">SUMPRODUCT((Tablo3[Personel Ad]=A3001)*(Tablo3[Ürün Kar Tutarı]))</f>
        <v>0</v>
      </c>
      <c r="D3001" s="14"/>
      <c r="F3001" s="9" cm="1">
        <f t="array" ref="F3001">SUMPRODUCT((Tablo3[Şehirler]=E3001)*(Tablo3[Ürün Kar Tutarı]))</f>
        <v>0</v>
      </c>
      <c r="H3001" s="14"/>
      <c r="J3001" s="9" cm="1">
        <f t="array" ref="J3001">SUMPRODUCT((Tablo3[Urun Ad]=I3001)*(Tablo3[Ürün Kar Tutarı]))</f>
        <v>0</v>
      </c>
      <c r="L3001" s="37"/>
    </row>
    <row r="3002" spans="1:12" x14ac:dyDescent="0.25">
      <c r="A3002" s="13"/>
      <c r="B3002" s="9" cm="1">
        <f t="array" ref="B3002">SUMPRODUCT((Tablo3[Personel Ad]=A3002)*(Tablo3[Ürün Kar Tutarı]))</f>
        <v>0</v>
      </c>
      <c r="D3002" s="14"/>
      <c r="F3002" s="9" cm="1">
        <f t="array" ref="F3002">SUMPRODUCT((Tablo3[Şehirler]=E3002)*(Tablo3[Ürün Kar Tutarı]))</f>
        <v>0</v>
      </c>
      <c r="H3002" s="14"/>
      <c r="J3002" s="9" cm="1">
        <f t="array" ref="J3002">SUMPRODUCT((Tablo3[Urun Ad]=I3002)*(Tablo3[Ürün Kar Tutarı]))</f>
        <v>0</v>
      </c>
      <c r="L3002" s="37"/>
    </row>
    <row r="3003" spans="1:12" x14ac:dyDescent="0.25">
      <c r="A3003" s="13"/>
      <c r="B3003" s="9" cm="1">
        <f t="array" ref="B3003">SUMPRODUCT((Tablo3[Personel Ad]=A3003)*(Tablo3[Ürün Kar Tutarı]))</f>
        <v>0</v>
      </c>
      <c r="D3003" s="14"/>
      <c r="F3003" s="9" cm="1">
        <f t="array" ref="F3003">SUMPRODUCT((Tablo3[Şehirler]=E3003)*(Tablo3[Ürün Kar Tutarı]))</f>
        <v>0</v>
      </c>
      <c r="H3003" s="14"/>
      <c r="J3003" s="9" cm="1">
        <f t="array" ref="J3003">SUMPRODUCT((Tablo3[Urun Ad]=I3003)*(Tablo3[Ürün Kar Tutarı]))</f>
        <v>0</v>
      </c>
      <c r="L3003" s="37"/>
    </row>
    <row r="3004" spans="1:12" x14ac:dyDescent="0.25">
      <c r="A3004" s="13"/>
      <c r="B3004" s="9" cm="1">
        <f t="array" ref="B3004">SUMPRODUCT((Tablo3[Personel Ad]=A3004)*(Tablo3[Ürün Kar Tutarı]))</f>
        <v>0</v>
      </c>
      <c r="D3004" s="14"/>
      <c r="F3004" s="9" cm="1">
        <f t="array" ref="F3004">SUMPRODUCT((Tablo3[Şehirler]=E3004)*(Tablo3[Ürün Kar Tutarı]))</f>
        <v>0</v>
      </c>
      <c r="H3004" s="14"/>
      <c r="J3004" s="9" cm="1">
        <f t="array" ref="J3004">SUMPRODUCT((Tablo3[Urun Ad]=I3004)*(Tablo3[Ürün Kar Tutarı]))</f>
        <v>0</v>
      </c>
      <c r="L3004" s="37"/>
    </row>
    <row r="3005" spans="1:12" x14ac:dyDescent="0.25">
      <c r="A3005" s="13"/>
      <c r="B3005" s="9" cm="1">
        <f t="array" ref="B3005">SUMPRODUCT((Tablo3[Personel Ad]=A3005)*(Tablo3[Ürün Kar Tutarı]))</f>
        <v>0</v>
      </c>
      <c r="D3005" s="14"/>
      <c r="F3005" s="9" cm="1">
        <f t="array" ref="F3005">SUMPRODUCT((Tablo3[Şehirler]=E3005)*(Tablo3[Ürün Kar Tutarı]))</f>
        <v>0</v>
      </c>
      <c r="H3005" s="14"/>
      <c r="J3005" s="9" cm="1">
        <f t="array" ref="J3005">SUMPRODUCT((Tablo3[Urun Ad]=I3005)*(Tablo3[Ürün Kar Tutarı]))</f>
        <v>0</v>
      </c>
      <c r="L3005" s="37"/>
    </row>
    <row r="3006" spans="1:12" x14ac:dyDescent="0.25">
      <c r="A3006" s="13"/>
      <c r="B3006" s="9" cm="1">
        <f t="array" ref="B3006">SUMPRODUCT((Tablo3[Personel Ad]=A3006)*(Tablo3[Ürün Kar Tutarı]))</f>
        <v>0</v>
      </c>
      <c r="D3006" s="14"/>
      <c r="F3006" s="9" cm="1">
        <f t="array" ref="F3006">SUMPRODUCT((Tablo3[Şehirler]=E3006)*(Tablo3[Ürün Kar Tutarı]))</f>
        <v>0</v>
      </c>
      <c r="H3006" s="14"/>
      <c r="J3006" s="9" cm="1">
        <f t="array" ref="J3006">SUMPRODUCT((Tablo3[Urun Ad]=I3006)*(Tablo3[Ürün Kar Tutarı]))</f>
        <v>0</v>
      </c>
      <c r="L3006" s="37"/>
    </row>
    <row r="3007" spans="1:12" x14ac:dyDescent="0.25">
      <c r="A3007" s="13"/>
      <c r="B3007" s="9" cm="1">
        <f t="array" ref="B3007">SUMPRODUCT((Tablo3[Personel Ad]=A3007)*(Tablo3[Ürün Kar Tutarı]))</f>
        <v>0</v>
      </c>
      <c r="D3007" s="14"/>
      <c r="F3007" s="9" cm="1">
        <f t="array" ref="F3007">SUMPRODUCT((Tablo3[Şehirler]=E3007)*(Tablo3[Ürün Kar Tutarı]))</f>
        <v>0</v>
      </c>
      <c r="H3007" s="14"/>
      <c r="J3007" s="9" cm="1">
        <f t="array" ref="J3007">SUMPRODUCT((Tablo3[Urun Ad]=I3007)*(Tablo3[Ürün Kar Tutarı]))</f>
        <v>0</v>
      </c>
      <c r="L3007" s="37"/>
    </row>
    <row r="3008" spans="1:12" x14ac:dyDescent="0.25">
      <c r="A3008" s="13"/>
      <c r="B3008" s="9" cm="1">
        <f t="array" ref="B3008">SUMPRODUCT((Tablo3[Personel Ad]=A3008)*(Tablo3[Ürün Kar Tutarı]))</f>
        <v>0</v>
      </c>
      <c r="D3008" s="14"/>
      <c r="F3008" s="9" cm="1">
        <f t="array" ref="F3008">SUMPRODUCT((Tablo3[Şehirler]=E3008)*(Tablo3[Ürün Kar Tutarı]))</f>
        <v>0</v>
      </c>
      <c r="H3008" s="14"/>
      <c r="J3008" s="9" cm="1">
        <f t="array" ref="J3008">SUMPRODUCT((Tablo3[Urun Ad]=I3008)*(Tablo3[Ürün Kar Tutarı]))</f>
        <v>0</v>
      </c>
      <c r="L3008" s="37"/>
    </row>
    <row r="3009" spans="1:12" x14ac:dyDescent="0.25">
      <c r="A3009" s="13"/>
      <c r="B3009" s="9" cm="1">
        <f t="array" ref="B3009">SUMPRODUCT((Tablo3[Personel Ad]=A3009)*(Tablo3[Ürün Kar Tutarı]))</f>
        <v>0</v>
      </c>
      <c r="D3009" s="14"/>
      <c r="F3009" s="9" cm="1">
        <f t="array" ref="F3009">SUMPRODUCT((Tablo3[Şehirler]=E3009)*(Tablo3[Ürün Kar Tutarı]))</f>
        <v>0</v>
      </c>
      <c r="H3009" s="14"/>
      <c r="J3009" s="9" cm="1">
        <f t="array" ref="J3009">SUMPRODUCT((Tablo3[Urun Ad]=I3009)*(Tablo3[Ürün Kar Tutarı]))</f>
        <v>0</v>
      </c>
      <c r="L3009" s="37"/>
    </row>
    <row r="3010" spans="1:12" x14ac:dyDescent="0.25">
      <c r="A3010" s="13"/>
      <c r="B3010" s="9" cm="1">
        <f t="array" ref="B3010">SUMPRODUCT((Tablo3[Personel Ad]=A3010)*(Tablo3[Ürün Kar Tutarı]))</f>
        <v>0</v>
      </c>
      <c r="D3010" s="14"/>
      <c r="F3010" s="9" cm="1">
        <f t="array" ref="F3010">SUMPRODUCT((Tablo3[Şehirler]=E3010)*(Tablo3[Ürün Kar Tutarı]))</f>
        <v>0</v>
      </c>
      <c r="H3010" s="14"/>
      <c r="J3010" s="9" cm="1">
        <f t="array" ref="J3010">SUMPRODUCT((Tablo3[Urun Ad]=I3010)*(Tablo3[Ürün Kar Tutarı]))</f>
        <v>0</v>
      </c>
      <c r="L3010" s="37"/>
    </row>
    <row r="3011" spans="1:12" x14ac:dyDescent="0.25">
      <c r="A3011" s="13"/>
      <c r="B3011" s="9" cm="1">
        <f t="array" ref="B3011">SUMPRODUCT((Tablo3[Personel Ad]=A3011)*(Tablo3[Ürün Kar Tutarı]))</f>
        <v>0</v>
      </c>
      <c r="D3011" s="14"/>
      <c r="F3011" s="9" cm="1">
        <f t="array" ref="F3011">SUMPRODUCT((Tablo3[Şehirler]=E3011)*(Tablo3[Ürün Kar Tutarı]))</f>
        <v>0</v>
      </c>
      <c r="H3011" s="14"/>
      <c r="J3011" s="9" cm="1">
        <f t="array" ref="J3011">SUMPRODUCT((Tablo3[Urun Ad]=I3011)*(Tablo3[Ürün Kar Tutarı]))</f>
        <v>0</v>
      </c>
      <c r="L3011" s="37"/>
    </row>
    <row r="3012" spans="1:12" x14ac:dyDescent="0.25">
      <c r="A3012" s="13"/>
      <c r="B3012" s="9" cm="1">
        <f t="array" ref="B3012">SUMPRODUCT((Tablo3[Personel Ad]=A3012)*(Tablo3[Ürün Kar Tutarı]))</f>
        <v>0</v>
      </c>
      <c r="D3012" s="14"/>
      <c r="F3012" s="9" cm="1">
        <f t="array" ref="F3012">SUMPRODUCT((Tablo3[Şehirler]=E3012)*(Tablo3[Ürün Kar Tutarı]))</f>
        <v>0</v>
      </c>
      <c r="H3012" s="14"/>
      <c r="J3012" s="9" cm="1">
        <f t="array" ref="J3012">SUMPRODUCT((Tablo3[Urun Ad]=I3012)*(Tablo3[Ürün Kar Tutarı]))</f>
        <v>0</v>
      </c>
      <c r="L3012" s="37"/>
    </row>
    <row r="3013" spans="1:12" x14ac:dyDescent="0.25">
      <c r="A3013" s="13"/>
      <c r="B3013" s="9" cm="1">
        <f t="array" ref="B3013">SUMPRODUCT((Tablo3[Personel Ad]=A3013)*(Tablo3[Ürün Kar Tutarı]))</f>
        <v>0</v>
      </c>
      <c r="D3013" s="14"/>
      <c r="F3013" s="9" cm="1">
        <f t="array" ref="F3013">SUMPRODUCT((Tablo3[Şehirler]=E3013)*(Tablo3[Ürün Kar Tutarı]))</f>
        <v>0</v>
      </c>
      <c r="H3013" s="14"/>
      <c r="J3013" s="9" cm="1">
        <f t="array" ref="J3013">SUMPRODUCT((Tablo3[Urun Ad]=I3013)*(Tablo3[Ürün Kar Tutarı]))</f>
        <v>0</v>
      </c>
      <c r="L3013" s="37"/>
    </row>
    <row r="3014" spans="1:12" x14ac:dyDescent="0.25">
      <c r="A3014" s="13"/>
      <c r="B3014" s="9" cm="1">
        <f t="array" ref="B3014">SUMPRODUCT((Tablo3[Personel Ad]=A3014)*(Tablo3[Ürün Kar Tutarı]))</f>
        <v>0</v>
      </c>
      <c r="D3014" s="14"/>
      <c r="F3014" s="9" cm="1">
        <f t="array" ref="F3014">SUMPRODUCT((Tablo3[Şehirler]=E3014)*(Tablo3[Ürün Kar Tutarı]))</f>
        <v>0</v>
      </c>
      <c r="H3014" s="14"/>
      <c r="J3014" s="9" cm="1">
        <f t="array" ref="J3014">SUMPRODUCT((Tablo3[Urun Ad]=I3014)*(Tablo3[Ürün Kar Tutarı]))</f>
        <v>0</v>
      </c>
      <c r="L3014" s="37"/>
    </row>
    <row r="3015" spans="1:12" x14ac:dyDescent="0.25">
      <c r="A3015" s="13"/>
      <c r="B3015" s="9" cm="1">
        <f t="array" ref="B3015">SUMPRODUCT((Tablo3[Personel Ad]=A3015)*(Tablo3[Ürün Kar Tutarı]))</f>
        <v>0</v>
      </c>
      <c r="D3015" s="14"/>
      <c r="F3015" s="9" cm="1">
        <f t="array" ref="F3015">SUMPRODUCT((Tablo3[Şehirler]=E3015)*(Tablo3[Ürün Kar Tutarı]))</f>
        <v>0</v>
      </c>
      <c r="H3015" s="14"/>
      <c r="J3015" s="9" cm="1">
        <f t="array" ref="J3015">SUMPRODUCT((Tablo3[Urun Ad]=I3015)*(Tablo3[Ürün Kar Tutarı]))</f>
        <v>0</v>
      </c>
      <c r="L3015" s="37"/>
    </row>
    <row r="3016" spans="1:12" x14ac:dyDescent="0.25">
      <c r="A3016" s="13"/>
      <c r="B3016" s="9" cm="1">
        <f t="array" ref="B3016">SUMPRODUCT((Tablo3[Personel Ad]=A3016)*(Tablo3[Ürün Kar Tutarı]))</f>
        <v>0</v>
      </c>
      <c r="D3016" s="14"/>
      <c r="F3016" s="9" cm="1">
        <f t="array" ref="F3016">SUMPRODUCT((Tablo3[Şehirler]=E3016)*(Tablo3[Ürün Kar Tutarı]))</f>
        <v>0</v>
      </c>
      <c r="H3016" s="14"/>
      <c r="J3016" s="9" cm="1">
        <f t="array" ref="J3016">SUMPRODUCT((Tablo3[Urun Ad]=I3016)*(Tablo3[Ürün Kar Tutarı]))</f>
        <v>0</v>
      </c>
      <c r="L3016" s="37"/>
    </row>
    <row r="3017" spans="1:12" x14ac:dyDescent="0.25">
      <c r="A3017" s="13"/>
      <c r="B3017" s="9" cm="1">
        <f t="array" ref="B3017">SUMPRODUCT((Tablo3[Personel Ad]=A3017)*(Tablo3[Ürün Kar Tutarı]))</f>
        <v>0</v>
      </c>
      <c r="D3017" s="14"/>
      <c r="F3017" s="9" cm="1">
        <f t="array" ref="F3017">SUMPRODUCT((Tablo3[Şehirler]=E3017)*(Tablo3[Ürün Kar Tutarı]))</f>
        <v>0</v>
      </c>
      <c r="H3017" s="14"/>
      <c r="J3017" s="9" cm="1">
        <f t="array" ref="J3017">SUMPRODUCT((Tablo3[Urun Ad]=I3017)*(Tablo3[Ürün Kar Tutarı]))</f>
        <v>0</v>
      </c>
      <c r="L3017" s="37"/>
    </row>
    <row r="3018" spans="1:12" x14ac:dyDescent="0.25">
      <c r="A3018" s="13"/>
      <c r="B3018" s="9" cm="1">
        <f t="array" ref="B3018">SUMPRODUCT((Tablo3[Personel Ad]=A3018)*(Tablo3[Ürün Kar Tutarı]))</f>
        <v>0</v>
      </c>
      <c r="D3018" s="14"/>
      <c r="F3018" s="9" cm="1">
        <f t="array" ref="F3018">SUMPRODUCT((Tablo3[Şehirler]=E3018)*(Tablo3[Ürün Kar Tutarı]))</f>
        <v>0</v>
      </c>
      <c r="H3018" s="14"/>
      <c r="J3018" s="9" cm="1">
        <f t="array" ref="J3018">SUMPRODUCT((Tablo3[Urun Ad]=I3018)*(Tablo3[Ürün Kar Tutarı]))</f>
        <v>0</v>
      </c>
      <c r="L3018" s="37"/>
    </row>
    <row r="3019" spans="1:12" x14ac:dyDescent="0.25">
      <c r="A3019" s="13"/>
      <c r="B3019" s="9" cm="1">
        <f t="array" ref="B3019">SUMPRODUCT((Tablo3[Personel Ad]=A3019)*(Tablo3[Ürün Kar Tutarı]))</f>
        <v>0</v>
      </c>
      <c r="D3019" s="14"/>
      <c r="F3019" s="9" cm="1">
        <f t="array" ref="F3019">SUMPRODUCT((Tablo3[Şehirler]=E3019)*(Tablo3[Ürün Kar Tutarı]))</f>
        <v>0</v>
      </c>
      <c r="H3019" s="14"/>
      <c r="J3019" s="9" cm="1">
        <f t="array" ref="J3019">SUMPRODUCT((Tablo3[Urun Ad]=I3019)*(Tablo3[Ürün Kar Tutarı]))</f>
        <v>0</v>
      </c>
      <c r="L3019" s="37"/>
    </row>
    <row r="3020" spans="1:12" x14ac:dyDescent="0.25">
      <c r="A3020" s="13"/>
      <c r="B3020" s="9" cm="1">
        <f t="array" ref="B3020">SUMPRODUCT((Tablo3[Personel Ad]=A3020)*(Tablo3[Ürün Kar Tutarı]))</f>
        <v>0</v>
      </c>
      <c r="D3020" s="14"/>
      <c r="F3020" s="9" cm="1">
        <f t="array" ref="F3020">SUMPRODUCT((Tablo3[Şehirler]=E3020)*(Tablo3[Ürün Kar Tutarı]))</f>
        <v>0</v>
      </c>
      <c r="H3020" s="14"/>
      <c r="J3020" s="9" cm="1">
        <f t="array" ref="J3020">SUMPRODUCT((Tablo3[Urun Ad]=I3020)*(Tablo3[Ürün Kar Tutarı]))</f>
        <v>0</v>
      </c>
      <c r="L3020" s="37"/>
    </row>
    <row r="3021" spans="1:12" x14ac:dyDescent="0.25">
      <c r="A3021" s="13"/>
      <c r="B3021" s="9" cm="1">
        <f t="array" ref="B3021">SUMPRODUCT((Tablo3[Personel Ad]=A3021)*(Tablo3[Ürün Kar Tutarı]))</f>
        <v>0</v>
      </c>
      <c r="D3021" s="14"/>
      <c r="F3021" s="9" cm="1">
        <f t="array" ref="F3021">SUMPRODUCT((Tablo3[Şehirler]=E3021)*(Tablo3[Ürün Kar Tutarı]))</f>
        <v>0</v>
      </c>
      <c r="H3021" s="14"/>
      <c r="J3021" s="9" cm="1">
        <f t="array" ref="J3021">SUMPRODUCT((Tablo3[Urun Ad]=I3021)*(Tablo3[Ürün Kar Tutarı]))</f>
        <v>0</v>
      </c>
      <c r="L3021" s="37"/>
    </row>
    <row r="3022" spans="1:12" x14ac:dyDescent="0.25">
      <c r="A3022" s="13"/>
      <c r="B3022" s="9" cm="1">
        <f t="array" ref="B3022">SUMPRODUCT((Tablo3[Personel Ad]=A3022)*(Tablo3[Ürün Kar Tutarı]))</f>
        <v>0</v>
      </c>
      <c r="D3022" s="14"/>
      <c r="F3022" s="9" cm="1">
        <f t="array" ref="F3022">SUMPRODUCT((Tablo3[Şehirler]=E3022)*(Tablo3[Ürün Kar Tutarı]))</f>
        <v>0</v>
      </c>
      <c r="H3022" s="14"/>
      <c r="J3022" s="9" cm="1">
        <f t="array" ref="J3022">SUMPRODUCT((Tablo3[Urun Ad]=I3022)*(Tablo3[Ürün Kar Tutarı]))</f>
        <v>0</v>
      </c>
      <c r="L3022" s="37"/>
    </row>
    <row r="3023" spans="1:12" x14ac:dyDescent="0.25">
      <c r="A3023" s="13"/>
      <c r="B3023" s="9" cm="1">
        <f t="array" ref="B3023">SUMPRODUCT((Tablo3[Personel Ad]=A3023)*(Tablo3[Ürün Kar Tutarı]))</f>
        <v>0</v>
      </c>
      <c r="D3023" s="14"/>
      <c r="F3023" s="9" cm="1">
        <f t="array" ref="F3023">SUMPRODUCT((Tablo3[Şehirler]=E3023)*(Tablo3[Ürün Kar Tutarı]))</f>
        <v>0</v>
      </c>
      <c r="H3023" s="14"/>
      <c r="J3023" s="9" cm="1">
        <f t="array" ref="J3023">SUMPRODUCT((Tablo3[Urun Ad]=I3023)*(Tablo3[Ürün Kar Tutarı]))</f>
        <v>0</v>
      </c>
      <c r="L3023" s="37"/>
    </row>
    <row r="3024" spans="1:12" x14ac:dyDescent="0.25">
      <c r="A3024" s="13"/>
      <c r="B3024" s="9" cm="1">
        <f t="array" ref="B3024">SUMPRODUCT((Tablo3[Personel Ad]=A3024)*(Tablo3[Ürün Kar Tutarı]))</f>
        <v>0</v>
      </c>
      <c r="D3024" s="14"/>
      <c r="F3024" s="9" cm="1">
        <f t="array" ref="F3024">SUMPRODUCT((Tablo3[Şehirler]=E3024)*(Tablo3[Ürün Kar Tutarı]))</f>
        <v>0</v>
      </c>
      <c r="H3024" s="14"/>
      <c r="J3024" s="9" cm="1">
        <f t="array" ref="J3024">SUMPRODUCT((Tablo3[Urun Ad]=I3024)*(Tablo3[Ürün Kar Tutarı]))</f>
        <v>0</v>
      </c>
      <c r="L3024" s="37"/>
    </row>
    <row r="3025" spans="1:12" x14ac:dyDescent="0.25">
      <c r="A3025" s="13"/>
      <c r="B3025" s="9" cm="1">
        <f t="array" ref="B3025">SUMPRODUCT((Tablo3[Personel Ad]=A3025)*(Tablo3[Ürün Kar Tutarı]))</f>
        <v>0</v>
      </c>
      <c r="D3025" s="14"/>
      <c r="F3025" s="9" cm="1">
        <f t="array" ref="F3025">SUMPRODUCT((Tablo3[Şehirler]=E3025)*(Tablo3[Ürün Kar Tutarı]))</f>
        <v>0</v>
      </c>
      <c r="H3025" s="14"/>
      <c r="J3025" s="9" cm="1">
        <f t="array" ref="J3025">SUMPRODUCT((Tablo3[Urun Ad]=I3025)*(Tablo3[Ürün Kar Tutarı]))</f>
        <v>0</v>
      </c>
      <c r="L3025" s="37"/>
    </row>
    <row r="3026" spans="1:12" x14ac:dyDescent="0.25">
      <c r="A3026" s="13"/>
      <c r="B3026" s="9" cm="1">
        <f t="array" ref="B3026">SUMPRODUCT((Tablo3[Personel Ad]=A3026)*(Tablo3[Ürün Kar Tutarı]))</f>
        <v>0</v>
      </c>
      <c r="D3026" s="14"/>
      <c r="F3026" s="9" cm="1">
        <f t="array" ref="F3026">SUMPRODUCT((Tablo3[Şehirler]=E3026)*(Tablo3[Ürün Kar Tutarı]))</f>
        <v>0</v>
      </c>
      <c r="H3026" s="14"/>
      <c r="J3026" s="9" cm="1">
        <f t="array" ref="J3026">SUMPRODUCT((Tablo3[Urun Ad]=I3026)*(Tablo3[Ürün Kar Tutarı]))</f>
        <v>0</v>
      </c>
      <c r="L3026" s="37"/>
    </row>
    <row r="3027" spans="1:12" x14ac:dyDescent="0.25">
      <c r="A3027" s="13"/>
      <c r="B3027" s="9" cm="1">
        <f t="array" ref="B3027">SUMPRODUCT((Tablo3[Personel Ad]=A3027)*(Tablo3[Ürün Kar Tutarı]))</f>
        <v>0</v>
      </c>
      <c r="D3027" s="14"/>
      <c r="F3027" s="9" cm="1">
        <f t="array" ref="F3027">SUMPRODUCT((Tablo3[Şehirler]=E3027)*(Tablo3[Ürün Kar Tutarı]))</f>
        <v>0</v>
      </c>
      <c r="H3027" s="14"/>
      <c r="J3027" s="9" cm="1">
        <f t="array" ref="J3027">SUMPRODUCT((Tablo3[Urun Ad]=I3027)*(Tablo3[Ürün Kar Tutarı]))</f>
        <v>0</v>
      </c>
      <c r="L3027" s="37"/>
    </row>
    <row r="3028" spans="1:12" x14ac:dyDescent="0.25">
      <c r="A3028" s="13"/>
      <c r="B3028" s="9" cm="1">
        <f t="array" ref="B3028">SUMPRODUCT((Tablo3[Personel Ad]=A3028)*(Tablo3[Ürün Kar Tutarı]))</f>
        <v>0</v>
      </c>
      <c r="D3028" s="14"/>
      <c r="F3028" s="9" cm="1">
        <f t="array" ref="F3028">SUMPRODUCT((Tablo3[Şehirler]=E3028)*(Tablo3[Ürün Kar Tutarı]))</f>
        <v>0</v>
      </c>
      <c r="H3028" s="14"/>
      <c r="J3028" s="9" cm="1">
        <f t="array" ref="J3028">SUMPRODUCT((Tablo3[Urun Ad]=I3028)*(Tablo3[Ürün Kar Tutarı]))</f>
        <v>0</v>
      </c>
      <c r="L3028" s="37"/>
    </row>
    <row r="3029" spans="1:12" x14ac:dyDescent="0.25">
      <c r="A3029" s="13"/>
      <c r="B3029" s="9" cm="1">
        <f t="array" ref="B3029">SUMPRODUCT((Tablo3[Personel Ad]=A3029)*(Tablo3[Ürün Kar Tutarı]))</f>
        <v>0</v>
      </c>
      <c r="D3029" s="14"/>
      <c r="F3029" s="9" cm="1">
        <f t="array" ref="F3029">SUMPRODUCT((Tablo3[Şehirler]=E3029)*(Tablo3[Ürün Kar Tutarı]))</f>
        <v>0</v>
      </c>
      <c r="H3029" s="14"/>
      <c r="J3029" s="9" cm="1">
        <f t="array" ref="J3029">SUMPRODUCT((Tablo3[Urun Ad]=I3029)*(Tablo3[Ürün Kar Tutarı]))</f>
        <v>0</v>
      </c>
      <c r="L3029" s="37"/>
    </row>
    <row r="3030" spans="1:12" x14ac:dyDescent="0.25">
      <c r="A3030" s="13"/>
      <c r="B3030" s="9" cm="1">
        <f t="array" ref="B3030">SUMPRODUCT((Tablo3[Personel Ad]=A3030)*(Tablo3[Ürün Kar Tutarı]))</f>
        <v>0</v>
      </c>
      <c r="D3030" s="14"/>
      <c r="F3030" s="9" cm="1">
        <f t="array" ref="F3030">SUMPRODUCT((Tablo3[Şehirler]=E3030)*(Tablo3[Ürün Kar Tutarı]))</f>
        <v>0</v>
      </c>
      <c r="H3030" s="14"/>
      <c r="J3030" s="9" cm="1">
        <f t="array" ref="J3030">SUMPRODUCT((Tablo3[Urun Ad]=I3030)*(Tablo3[Ürün Kar Tutarı]))</f>
        <v>0</v>
      </c>
      <c r="L3030" s="37"/>
    </row>
    <row r="3031" spans="1:12" x14ac:dyDescent="0.25">
      <c r="A3031" s="13"/>
      <c r="B3031" s="9" cm="1">
        <f t="array" ref="B3031">SUMPRODUCT((Tablo3[Personel Ad]=A3031)*(Tablo3[Ürün Kar Tutarı]))</f>
        <v>0</v>
      </c>
      <c r="D3031" s="14"/>
      <c r="F3031" s="9" cm="1">
        <f t="array" ref="F3031">SUMPRODUCT((Tablo3[Şehirler]=E3031)*(Tablo3[Ürün Kar Tutarı]))</f>
        <v>0</v>
      </c>
      <c r="H3031" s="14"/>
      <c r="J3031" s="9" cm="1">
        <f t="array" ref="J3031">SUMPRODUCT((Tablo3[Urun Ad]=I3031)*(Tablo3[Ürün Kar Tutarı]))</f>
        <v>0</v>
      </c>
      <c r="L3031" s="37"/>
    </row>
    <row r="3032" spans="1:12" x14ac:dyDescent="0.25">
      <c r="A3032" s="13"/>
      <c r="B3032" s="9" cm="1">
        <f t="array" ref="B3032">SUMPRODUCT((Tablo3[Personel Ad]=A3032)*(Tablo3[Ürün Kar Tutarı]))</f>
        <v>0</v>
      </c>
      <c r="D3032" s="14"/>
      <c r="F3032" s="9" cm="1">
        <f t="array" ref="F3032">SUMPRODUCT((Tablo3[Şehirler]=E3032)*(Tablo3[Ürün Kar Tutarı]))</f>
        <v>0</v>
      </c>
      <c r="H3032" s="14"/>
      <c r="J3032" s="9" cm="1">
        <f t="array" ref="J3032">SUMPRODUCT((Tablo3[Urun Ad]=I3032)*(Tablo3[Ürün Kar Tutarı]))</f>
        <v>0</v>
      </c>
      <c r="L3032" s="37"/>
    </row>
    <row r="3033" spans="1:12" x14ac:dyDescent="0.25">
      <c r="A3033" s="13"/>
      <c r="B3033" s="9" cm="1">
        <f t="array" ref="B3033">SUMPRODUCT((Tablo3[Personel Ad]=A3033)*(Tablo3[Ürün Kar Tutarı]))</f>
        <v>0</v>
      </c>
      <c r="D3033" s="14"/>
      <c r="F3033" s="9" cm="1">
        <f t="array" ref="F3033">SUMPRODUCT((Tablo3[Şehirler]=E3033)*(Tablo3[Ürün Kar Tutarı]))</f>
        <v>0</v>
      </c>
      <c r="H3033" s="14"/>
      <c r="J3033" s="9" cm="1">
        <f t="array" ref="J3033">SUMPRODUCT((Tablo3[Urun Ad]=I3033)*(Tablo3[Ürün Kar Tutarı]))</f>
        <v>0</v>
      </c>
      <c r="L3033" s="37"/>
    </row>
    <row r="3034" spans="1:12" x14ac:dyDescent="0.25">
      <c r="A3034" s="13"/>
      <c r="B3034" s="9" cm="1">
        <f t="array" ref="B3034">SUMPRODUCT((Tablo3[Personel Ad]=A3034)*(Tablo3[Ürün Kar Tutarı]))</f>
        <v>0</v>
      </c>
      <c r="D3034" s="14"/>
      <c r="F3034" s="9" cm="1">
        <f t="array" ref="F3034">SUMPRODUCT((Tablo3[Şehirler]=E3034)*(Tablo3[Ürün Kar Tutarı]))</f>
        <v>0</v>
      </c>
      <c r="H3034" s="14"/>
      <c r="J3034" s="9" cm="1">
        <f t="array" ref="J3034">SUMPRODUCT((Tablo3[Urun Ad]=I3034)*(Tablo3[Ürün Kar Tutarı]))</f>
        <v>0</v>
      </c>
      <c r="L3034" s="37"/>
    </row>
    <row r="3035" spans="1:12" x14ac:dyDescent="0.25">
      <c r="A3035" s="13"/>
      <c r="B3035" s="9" cm="1">
        <f t="array" ref="B3035">SUMPRODUCT((Tablo3[Personel Ad]=A3035)*(Tablo3[Ürün Kar Tutarı]))</f>
        <v>0</v>
      </c>
      <c r="D3035" s="14"/>
      <c r="F3035" s="9" cm="1">
        <f t="array" ref="F3035">SUMPRODUCT((Tablo3[Şehirler]=E3035)*(Tablo3[Ürün Kar Tutarı]))</f>
        <v>0</v>
      </c>
      <c r="H3035" s="14"/>
      <c r="J3035" s="9" cm="1">
        <f t="array" ref="J3035">SUMPRODUCT((Tablo3[Urun Ad]=I3035)*(Tablo3[Ürün Kar Tutarı]))</f>
        <v>0</v>
      </c>
      <c r="L3035" s="37"/>
    </row>
    <row r="3036" spans="1:12" x14ac:dyDescent="0.25">
      <c r="A3036" s="13"/>
      <c r="B3036" s="9" cm="1">
        <f t="array" ref="B3036">SUMPRODUCT((Tablo3[Personel Ad]=A3036)*(Tablo3[Ürün Kar Tutarı]))</f>
        <v>0</v>
      </c>
      <c r="D3036" s="14"/>
      <c r="F3036" s="9" cm="1">
        <f t="array" ref="F3036">SUMPRODUCT((Tablo3[Şehirler]=E3036)*(Tablo3[Ürün Kar Tutarı]))</f>
        <v>0</v>
      </c>
      <c r="H3036" s="14"/>
      <c r="J3036" s="9" cm="1">
        <f t="array" ref="J3036">SUMPRODUCT((Tablo3[Urun Ad]=I3036)*(Tablo3[Ürün Kar Tutarı]))</f>
        <v>0</v>
      </c>
      <c r="L3036" s="37"/>
    </row>
    <row r="3037" spans="1:12" x14ac:dyDescent="0.25">
      <c r="A3037" s="13"/>
      <c r="B3037" s="9" cm="1">
        <f t="array" ref="B3037">SUMPRODUCT((Tablo3[Personel Ad]=A3037)*(Tablo3[Ürün Kar Tutarı]))</f>
        <v>0</v>
      </c>
      <c r="D3037" s="14"/>
      <c r="F3037" s="9" cm="1">
        <f t="array" ref="F3037">SUMPRODUCT((Tablo3[Şehirler]=E3037)*(Tablo3[Ürün Kar Tutarı]))</f>
        <v>0</v>
      </c>
      <c r="H3037" s="14"/>
      <c r="J3037" s="9" cm="1">
        <f t="array" ref="J3037">SUMPRODUCT((Tablo3[Urun Ad]=I3037)*(Tablo3[Ürün Kar Tutarı]))</f>
        <v>0</v>
      </c>
      <c r="L3037" s="37"/>
    </row>
    <row r="3038" spans="1:12" x14ac:dyDescent="0.25">
      <c r="A3038" s="13"/>
      <c r="B3038" s="9" cm="1">
        <f t="array" ref="B3038">SUMPRODUCT((Tablo3[Personel Ad]=A3038)*(Tablo3[Ürün Kar Tutarı]))</f>
        <v>0</v>
      </c>
      <c r="D3038" s="14"/>
      <c r="F3038" s="9" cm="1">
        <f t="array" ref="F3038">SUMPRODUCT((Tablo3[Şehirler]=E3038)*(Tablo3[Ürün Kar Tutarı]))</f>
        <v>0</v>
      </c>
      <c r="H3038" s="14"/>
      <c r="J3038" s="9" cm="1">
        <f t="array" ref="J3038">SUMPRODUCT((Tablo3[Urun Ad]=I3038)*(Tablo3[Ürün Kar Tutarı]))</f>
        <v>0</v>
      </c>
      <c r="L3038" s="37"/>
    </row>
    <row r="3039" spans="1:12" x14ac:dyDescent="0.25">
      <c r="A3039" s="13"/>
      <c r="B3039" s="9" cm="1">
        <f t="array" ref="B3039">SUMPRODUCT((Tablo3[Personel Ad]=A3039)*(Tablo3[Ürün Kar Tutarı]))</f>
        <v>0</v>
      </c>
      <c r="D3039" s="14"/>
      <c r="F3039" s="9" cm="1">
        <f t="array" ref="F3039">SUMPRODUCT((Tablo3[Şehirler]=E3039)*(Tablo3[Ürün Kar Tutarı]))</f>
        <v>0</v>
      </c>
      <c r="H3039" s="14"/>
      <c r="J3039" s="9" cm="1">
        <f t="array" ref="J3039">SUMPRODUCT((Tablo3[Urun Ad]=I3039)*(Tablo3[Ürün Kar Tutarı]))</f>
        <v>0</v>
      </c>
      <c r="L3039" s="37"/>
    </row>
    <row r="3040" spans="1:12" x14ac:dyDescent="0.25">
      <c r="A3040" s="13"/>
      <c r="B3040" s="9" cm="1">
        <f t="array" ref="B3040">SUMPRODUCT((Tablo3[Personel Ad]=A3040)*(Tablo3[Ürün Kar Tutarı]))</f>
        <v>0</v>
      </c>
      <c r="D3040" s="14"/>
      <c r="F3040" s="9" cm="1">
        <f t="array" ref="F3040">SUMPRODUCT((Tablo3[Şehirler]=E3040)*(Tablo3[Ürün Kar Tutarı]))</f>
        <v>0</v>
      </c>
      <c r="H3040" s="14"/>
      <c r="J3040" s="9" cm="1">
        <f t="array" ref="J3040">SUMPRODUCT((Tablo3[Urun Ad]=I3040)*(Tablo3[Ürün Kar Tutarı]))</f>
        <v>0</v>
      </c>
      <c r="L3040" s="37"/>
    </row>
    <row r="3041" spans="1:12" x14ac:dyDescent="0.25">
      <c r="A3041" s="13"/>
      <c r="B3041" s="9" cm="1">
        <f t="array" ref="B3041">SUMPRODUCT((Tablo3[Personel Ad]=A3041)*(Tablo3[Ürün Kar Tutarı]))</f>
        <v>0</v>
      </c>
      <c r="D3041" s="14"/>
      <c r="F3041" s="9" cm="1">
        <f t="array" ref="F3041">SUMPRODUCT((Tablo3[Şehirler]=E3041)*(Tablo3[Ürün Kar Tutarı]))</f>
        <v>0</v>
      </c>
      <c r="H3041" s="14"/>
      <c r="J3041" s="9" cm="1">
        <f t="array" ref="J3041">SUMPRODUCT((Tablo3[Urun Ad]=I3041)*(Tablo3[Ürün Kar Tutarı]))</f>
        <v>0</v>
      </c>
      <c r="L3041" s="37"/>
    </row>
    <row r="3042" spans="1:12" x14ac:dyDescent="0.25">
      <c r="A3042" s="13"/>
      <c r="B3042" s="9" cm="1">
        <f t="array" ref="B3042">SUMPRODUCT((Tablo3[Personel Ad]=A3042)*(Tablo3[Ürün Kar Tutarı]))</f>
        <v>0</v>
      </c>
      <c r="D3042" s="14"/>
      <c r="F3042" s="9" cm="1">
        <f t="array" ref="F3042">SUMPRODUCT((Tablo3[Şehirler]=E3042)*(Tablo3[Ürün Kar Tutarı]))</f>
        <v>0</v>
      </c>
      <c r="H3042" s="14"/>
      <c r="J3042" s="9" cm="1">
        <f t="array" ref="J3042">SUMPRODUCT((Tablo3[Urun Ad]=I3042)*(Tablo3[Ürün Kar Tutarı]))</f>
        <v>0</v>
      </c>
      <c r="L3042" s="37"/>
    </row>
    <row r="3043" spans="1:12" x14ac:dyDescent="0.25">
      <c r="A3043" s="13"/>
      <c r="B3043" s="9" cm="1">
        <f t="array" ref="B3043">SUMPRODUCT((Tablo3[Personel Ad]=A3043)*(Tablo3[Ürün Kar Tutarı]))</f>
        <v>0</v>
      </c>
      <c r="D3043" s="14"/>
      <c r="F3043" s="9" cm="1">
        <f t="array" ref="F3043">SUMPRODUCT((Tablo3[Şehirler]=E3043)*(Tablo3[Ürün Kar Tutarı]))</f>
        <v>0</v>
      </c>
      <c r="H3043" s="14"/>
      <c r="J3043" s="9" cm="1">
        <f t="array" ref="J3043">SUMPRODUCT((Tablo3[Urun Ad]=I3043)*(Tablo3[Ürün Kar Tutarı]))</f>
        <v>0</v>
      </c>
      <c r="L3043" s="37"/>
    </row>
    <row r="3044" spans="1:12" x14ac:dyDescent="0.25">
      <c r="A3044" s="13"/>
      <c r="B3044" s="9" cm="1">
        <f t="array" ref="B3044">SUMPRODUCT((Tablo3[Personel Ad]=A3044)*(Tablo3[Ürün Kar Tutarı]))</f>
        <v>0</v>
      </c>
      <c r="D3044" s="14"/>
      <c r="F3044" s="9" cm="1">
        <f t="array" ref="F3044">SUMPRODUCT((Tablo3[Şehirler]=E3044)*(Tablo3[Ürün Kar Tutarı]))</f>
        <v>0</v>
      </c>
      <c r="H3044" s="14"/>
      <c r="J3044" s="9" cm="1">
        <f t="array" ref="J3044">SUMPRODUCT((Tablo3[Urun Ad]=I3044)*(Tablo3[Ürün Kar Tutarı]))</f>
        <v>0</v>
      </c>
      <c r="L3044" s="37"/>
    </row>
    <row r="3045" spans="1:12" x14ac:dyDescent="0.25">
      <c r="A3045" s="13"/>
      <c r="B3045" s="9" cm="1">
        <f t="array" ref="B3045">SUMPRODUCT((Tablo3[Personel Ad]=A3045)*(Tablo3[Ürün Kar Tutarı]))</f>
        <v>0</v>
      </c>
      <c r="D3045" s="14"/>
      <c r="F3045" s="9" cm="1">
        <f t="array" ref="F3045">SUMPRODUCT((Tablo3[Şehirler]=E3045)*(Tablo3[Ürün Kar Tutarı]))</f>
        <v>0</v>
      </c>
      <c r="H3045" s="14"/>
      <c r="J3045" s="9" cm="1">
        <f t="array" ref="J3045">SUMPRODUCT((Tablo3[Urun Ad]=I3045)*(Tablo3[Ürün Kar Tutarı]))</f>
        <v>0</v>
      </c>
      <c r="L3045" s="37"/>
    </row>
    <row r="3046" spans="1:12" x14ac:dyDescent="0.25">
      <c r="A3046" s="13"/>
      <c r="B3046" s="9" cm="1">
        <f t="array" ref="B3046">SUMPRODUCT((Tablo3[Personel Ad]=A3046)*(Tablo3[Ürün Kar Tutarı]))</f>
        <v>0</v>
      </c>
      <c r="D3046" s="14"/>
      <c r="F3046" s="9" cm="1">
        <f t="array" ref="F3046">SUMPRODUCT((Tablo3[Şehirler]=E3046)*(Tablo3[Ürün Kar Tutarı]))</f>
        <v>0</v>
      </c>
      <c r="H3046" s="14"/>
      <c r="J3046" s="9" cm="1">
        <f t="array" ref="J3046">SUMPRODUCT((Tablo3[Urun Ad]=I3046)*(Tablo3[Ürün Kar Tutarı]))</f>
        <v>0</v>
      </c>
      <c r="L3046" s="37"/>
    </row>
    <row r="3047" spans="1:12" x14ac:dyDescent="0.25">
      <c r="A3047" s="13"/>
      <c r="B3047" s="9" cm="1">
        <f t="array" ref="B3047">SUMPRODUCT((Tablo3[Personel Ad]=A3047)*(Tablo3[Ürün Kar Tutarı]))</f>
        <v>0</v>
      </c>
      <c r="D3047" s="14"/>
      <c r="F3047" s="9" cm="1">
        <f t="array" ref="F3047">SUMPRODUCT((Tablo3[Şehirler]=E3047)*(Tablo3[Ürün Kar Tutarı]))</f>
        <v>0</v>
      </c>
      <c r="H3047" s="14"/>
      <c r="J3047" s="9" cm="1">
        <f t="array" ref="J3047">SUMPRODUCT((Tablo3[Urun Ad]=I3047)*(Tablo3[Ürün Kar Tutarı]))</f>
        <v>0</v>
      </c>
      <c r="L3047" s="37"/>
    </row>
    <row r="3048" spans="1:12" x14ac:dyDescent="0.25">
      <c r="A3048" s="13"/>
      <c r="B3048" s="9" cm="1">
        <f t="array" ref="B3048">SUMPRODUCT((Tablo3[Personel Ad]=A3048)*(Tablo3[Ürün Kar Tutarı]))</f>
        <v>0</v>
      </c>
      <c r="D3048" s="14"/>
      <c r="F3048" s="9" cm="1">
        <f t="array" ref="F3048">SUMPRODUCT((Tablo3[Şehirler]=E3048)*(Tablo3[Ürün Kar Tutarı]))</f>
        <v>0</v>
      </c>
      <c r="H3048" s="14"/>
      <c r="J3048" s="9" cm="1">
        <f t="array" ref="J3048">SUMPRODUCT((Tablo3[Urun Ad]=I3048)*(Tablo3[Ürün Kar Tutarı]))</f>
        <v>0</v>
      </c>
      <c r="L3048" s="37"/>
    </row>
    <row r="3049" spans="1:12" x14ac:dyDescent="0.25">
      <c r="A3049" s="13"/>
      <c r="B3049" s="9" cm="1">
        <f t="array" ref="B3049">SUMPRODUCT((Tablo3[Personel Ad]=A3049)*(Tablo3[Ürün Kar Tutarı]))</f>
        <v>0</v>
      </c>
      <c r="D3049" s="14"/>
      <c r="F3049" s="9" cm="1">
        <f t="array" ref="F3049">SUMPRODUCT((Tablo3[Şehirler]=E3049)*(Tablo3[Ürün Kar Tutarı]))</f>
        <v>0</v>
      </c>
      <c r="H3049" s="14"/>
      <c r="J3049" s="9" cm="1">
        <f t="array" ref="J3049">SUMPRODUCT((Tablo3[Urun Ad]=I3049)*(Tablo3[Ürün Kar Tutarı]))</f>
        <v>0</v>
      </c>
      <c r="L3049" s="37"/>
    </row>
    <row r="3050" spans="1:12" x14ac:dyDescent="0.25">
      <c r="A3050" s="13"/>
      <c r="B3050" s="9" cm="1">
        <f t="array" ref="B3050">SUMPRODUCT((Tablo3[Personel Ad]=A3050)*(Tablo3[Ürün Kar Tutarı]))</f>
        <v>0</v>
      </c>
      <c r="D3050" s="14"/>
      <c r="F3050" s="9" cm="1">
        <f t="array" ref="F3050">SUMPRODUCT((Tablo3[Şehirler]=E3050)*(Tablo3[Ürün Kar Tutarı]))</f>
        <v>0</v>
      </c>
      <c r="H3050" s="14"/>
      <c r="J3050" s="9" cm="1">
        <f t="array" ref="J3050">SUMPRODUCT((Tablo3[Urun Ad]=I3050)*(Tablo3[Ürün Kar Tutarı]))</f>
        <v>0</v>
      </c>
      <c r="L3050" s="37"/>
    </row>
    <row r="3051" spans="1:12" x14ac:dyDescent="0.25">
      <c r="A3051" s="13"/>
      <c r="B3051" s="9" cm="1">
        <f t="array" ref="B3051">SUMPRODUCT((Tablo3[Personel Ad]=A3051)*(Tablo3[Ürün Kar Tutarı]))</f>
        <v>0</v>
      </c>
      <c r="D3051" s="14"/>
      <c r="F3051" s="9" cm="1">
        <f t="array" ref="F3051">SUMPRODUCT((Tablo3[Şehirler]=E3051)*(Tablo3[Ürün Kar Tutarı]))</f>
        <v>0</v>
      </c>
      <c r="H3051" s="14"/>
      <c r="J3051" s="9" cm="1">
        <f t="array" ref="J3051">SUMPRODUCT((Tablo3[Urun Ad]=I3051)*(Tablo3[Ürün Kar Tutarı]))</f>
        <v>0</v>
      </c>
      <c r="L3051" s="37"/>
    </row>
    <row r="3052" spans="1:12" x14ac:dyDescent="0.25">
      <c r="A3052" s="13"/>
      <c r="B3052" s="9" cm="1">
        <f t="array" ref="B3052">SUMPRODUCT((Tablo3[Personel Ad]=A3052)*(Tablo3[Ürün Kar Tutarı]))</f>
        <v>0</v>
      </c>
      <c r="D3052" s="14"/>
      <c r="F3052" s="9" cm="1">
        <f t="array" ref="F3052">SUMPRODUCT((Tablo3[Şehirler]=E3052)*(Tablo3[Ürün Kar Tutarı]))</f>
        <v>0</v>
      </c>
      <c r="H3052" s="14"/>
      <c r="J3052" s="9" cm="1">
        <f t="array" ref="J3052">SUMPRODUCT((Tablo3[Urun Ad]=I3052)*(Tablo3[Ürün Kar Tutarı]))</f>
        <v>0</v>
      </c>
      <c r="L3052" s="37"/>
    </row>
    <row r="3053" spans="1:12" x14ac:dyDescent="0.25">
      <c r="A3053" s="13"/>
      <c r="B3053" s="9" cm="1">
        <f t="array" ref="B3053">SUMPRODUCT((Tablo3[Personel Ad]=A3053)*(Tablo3[Ürün Kar Tutarı]))</f>
        <v>0</v>
      </c>
      <c r="D3053" s="14"/>
      <c r="F3053" s="9" cm="1">
        <f t="array" ref="F3053">SUMPRODUCT((Tablo3[Şehirler]=E3053)*(Tablo3[Ürün Kar Tutarı]))</f>
        <v>0</v>
      </c>
      <c r="H3053" s="14"/>
      <c r="J3053" s="9" cm="1">
        <f t="array" ref="J3053">SUMPRODUCT((Tablo3[Urun Ad]=I3053)*(Tablo3[Ürün Kar Tutarı]))</f>
        <v>0</v>
      </c>
      <c r="L3053" s="37"/>
    </row>
    <row r="3054" spans="1:12" x14ac:dyDescent="0.25">
      <c r="A3054" s="13"/>
      <c r="B3054" s="9" cm="1">
        <f t="array" ref="B3054">SUMPRODUCT((Tablo3[Personel Ad]=A3054)*(Tablo3[Ürün Kar Tutarı]))</f>
        <v>0</v>
      </c>
      <c r="D3054" s="14"/>
      <c r="F3054" s="9" cm="1">
        <f t="array" ref="F3054">SUMPRODUCT((Tablo3[Şehirler]=E3054)*(Tablo3[Ürün Kar Tutarı]))</f>
        <v>0</v>
      </c>
      <c r="H3054" s="14"/>
      <c r="J3054" s="9" cm="1">
        <f t="array" ref="J3054">SUMPRODUCT((Tablo3[Urun Ad]=I3054)*(Tablo3[Ürün Kar Tutarı]))</f>
        <v>0</v>
      </c>
      <c r="L3054" s="37"/>
    </row>
    <row r="3055" spans="1:12" x14ac:dyDescent="0.25">
      <c r="A3055" s="13"/>
      <c r="B3055" s="9" cm="1">
        <f t="array" ref="B3055">SUMPRODUCT((Tablo3[Personel Ad]=A3055)*(Tablo3[Ürün Kar Tutarı]))</f>
        <v>0</v>
      </c>
      <c r="D3055" s="14"/>
      <c r="F3055" s="9" cm="1">
        <f t="array" ref="F3055">SUMPRODUCT((Tablo3[Şehirler]=E3055)*(Tablo3[Ürün Kar Tutarı]))</f>
        <v>0</v>
      </c>
      <c r="H3055" s="14"/>
      <c r="J3055" s="9" cm="1">
        <f t="array" ref="J3055">SUMPRODUCT((Tablo3[Urun Ad]=I3055)*(Tablo3[Ürün Kar Tutarı]))</f>
        <v>0</v>
      </c>
      <c r="L3055" s="37"/>
    </row>
    <row r="3056" spans="1:12" x14ac:dyDescent="0.25">
      <c r="A3056" s="13"/>
      <c r="B3056" s="9" cm="1">
        <f t="array" ref="B3056">SUMPRODUCT((Tablo3[Personel Ad]=A3056)*(Tablo3[Ürün Kar Tutarı]))</f>
        <v>0</v>
      </c>
      <c r="D3056" s="14"/>
      <c r="F3056" s="9" cm="1">
        <f t="array" ref="F3056">SUMPRODUCT((Tablo3[Şehirler]=E3056)*(Tablo3[Ürün Kar Tutarı]))</f>
        <v>0</v>
      </c>
      <c r="H3056" s="14"/>
      <c r="J3056" s="9" cm="1">
        <f t="array" ref="J3056">SUMPRODUCT((Tablo3[Urun Ad]=I3056)*(Tablo3[Ürün Kar Tutarı]))</f>
        <v>0</v>
      </c>
      <c r="L3056" s="37"/>
    </row>
    <row r="3057" spans="1:12" x14ac:dyDescent="0.25">
      <c r="A3057" s="13"/>
      <c r="B3057" s="9" cm="1">
        <f t="array" ref="B3057">SUMPRODUCT((Tablo3[Personel Ad]=A3057)*(Tablo3[Ürün Kar Tutarı]))</f>
        <v>0</v>
      </c>
      <c r="D3057" s="14"/>
      <c r="F3057" s="9" cm="1">
        <f t="array" ref="F3057">SUMPRODUCT((Tablo3[Şehirler]=E3057)*(Tablo3[Ürün Kar Tutarı]))</f>
        <v>0</v>
      </c>
      <c r="H3057" s="14"/>
      <c r="J3057" s="9" cm="1">
        <f t="array" ref="J3057">SUMPRODUCT((Tablo3[Urun Ad]=I3057)*(Tablo3[Ürün Kar Tutarı]))</f>
        <v>0</v>
      </c>
      <c r="L3057" s="37"/>
    </row>
    <row r="3058" spans="1:12" x14ac:dyDescent="0.25">
      <c r="A3058" s="13"/>
      <c r="B3058" s="9" cm="1">
        <f t="array" ref="B3058">SUMPRODUCT((Tablo3[Personel Ad]=A3058)*(Tablo3[Ürün Kar Tutarı]))</f>
        <v>0</v>
      </c>
      <c r="D3058" s="14"/>
      <c r="F3058" s="9" cm="1">
        <f t="array" ref="F3058">SUMPRODUCT((Tablo3[Şehirler]=E3058)*(Tablo3[Ürün Kar Tutarı]))</f>
        <v>0</v>
      </c>
      <c r="H3058" s="14"/>
      <c r="J3058" s="9" cm="1">
        <f t="array" ref="J3058">SUMPRODUCT((Tablo3[Urun Ad]=I3058)*(Tablo3[Ürün Kar Tutarı]))</f>
        <v>0</v>
      </c>
      <c r="L3058" s="37"/>
    </row>
    <row r="3059" spans="1:12" x14ac:dyDescent="0.25">
      <c r="A3059" s="13"/>
      <c r="B3059" s="9" cm="1">
        <f t="array" ref="B3059">SUMPRODUCT((Tablo3[Personel Ad]=A3059)*(Tablo3[Ürün Kar Tutarı]))</f>
        <v>0</v>
      </c>
      <c r="D3059" s="14"/>
      <c r="F3059" s="9" cm="1">
        <f t="array" ref="F3059">SUMPRODUCT((Tablo3[Şehirler]=E3059)*(Tablo3[Ürün Kar Tutarı]))</f>
        <v>0</v>
      </c>
      <c r="H3059" s="14"/>
      <c r="J3059" s="9" cm="1">
        <f t="array" ref="J3059">SUMPRODUCT((Tablo3[Urun Ad]=I3059)*(Tablo3[Ürün Kar Tutarı]))</f>
        <v>0</v>
      </c>
      <c r="L3059" s="37"/>
    </row>
    <row r="3060" spans="1:12" x14ac:dyDescent="0.25">
      <c r="A3060" s="13"/>
      <c r="B3060" s="9" cm="1">
        <f t="array" ref="B3060">SUMPRODUCT((Tablo3[Personel Ad]=A3060)*(Tablo3[Ürün Kar Tutarı]))</f>
        <v>0</v>
      </c>
      <c r="D3060" s="14"/>
      <c r="F3060" s="9" cm="1">
        <f t="array" ref="F3060">SUMPRODUCT((Tablo3[Şehirler]=E3060)*(Tablo3[Ürün Kar Tutarı]))</f>
        <v>0</v>
      </c>
      <c r="H3060" s="14"/>
      <c r="J3060" s="9" cm="1">
        <f t="array" ref="J3060">SUMPRODUCT((Tablo3[Urun Ad]=I3060)*(Tablo3[Ürün Kar Tutarı]))</f>
        <v>0</v>
      </c>
      <c r="L3060" s="37"/>
    </row>
    <row r="3061" spans="1:12" x14ac:dyDescent="0.25">
      <c r="A3061" s="13"/>
      <c r="B3061" s="9" cm="1">
        <f t="array" ref="B3061">SUMPRODUCT((Tablo3[Personel Ad]=A3061)*(Tablo3[Ürün Kar Tutarı]))</f>
        <v>0</v>
      </c>
      <c r="D3061" s="14"/>
      <c r="F3061" s="9" cm="1">
        <f t="array" ref="F3061">SUMPRODUCT((Tablo3[Şehirler]=E3061)*(Tablo3[Ürün Kar Tutarı]))</f>
        <v>0</v>
      </c>
      <c r="H3061" s="14"/>
      <c r="J3061" s="9" cm="1">
        <f t="array" ref="J3061">SUMPRODUCT((Tablo3[Urun Ad]=I3061)*(Tablo3[Ürün Kar Tutarı]))</f>
        <v>0</v>
      </c>
      <c r="L3061" s="37"/>
    </row>
    <row r="3062" spans="1:12" x14ac:dyDescent="0.25">
      <c r="A3062" s="13"/>
      <c r="B3062" s="9" cm="1">
        <f t="array" ref="B3062">SUMPRODUCT((Tablo3[Personel Ad]=A3062)*(Tablo3[Ürün Kar Tutarı]))</f>
        <v>0</v>
      </c>
      <c r="D3062" s="14"/>
      <c r="F3062" s="9" cm="1">
        <f t="array" ref="F3062">SUMPRODUCT((Tablo3[Şehirler]=E3062)*(Tablo3[Ürün Kar Tutarı]))</f>
        <v>0</v>
      </c>
      <c r="H3062" s="14"/>
      <c r="J3062" s="9" cm="1">
        <f t="array" ref="J3062">SUMPRODUCT((Tablo3[Urun Ad]=I3062)*(Tablo3[Ürün Kar Tutarı]))</f>
        <v>0</v>
      </c>
      <c r="L3062" s="37"/>
    </row>
    <row r="3063" spans="1:12" x14ac:dyDescent="0.25">
      <c r="A3063" s="13"/>
      <c r="B3063" s="9" cm="1">
        <f t="array" ref="B3063">SUMPRODUCT((Tablo3[Personel Ad]=A3063)*(Tablo3[Ürün Kar Tutarı]))</f>
        <v>0</v>
      </c>
      <c r="D3063" s="14"/>
      <c r="F3063" s="9" cm="1">
        <f t="array" ref="F3063">SUMPRODUCT((Tablo3[Şehirler]=E3063)*(Tablo3[Ürün Kar Tutarı]))</f>
        <v>0</v>
      </c>
      <c r="H3063" s="14"/>
      <c r="J3063" s="9" cm="1">
        <f t="array" ref="J3063">SUMPRODUCT((Tablo3[Urun Ad]=I3063)*(Tablo3[Ürün Kar Tutarı]))</f>
        <v>0</v>
      </c>
      <c r="L3063" s="37"/>
    </row>
    <row r="3064" spans="1:12" x14ac:dyDescent="0.25">
      <c r="A3064" s="13"/>
      <c r="B3064" s="9" cm="1">
        <f t="array" ref="B3064">SUMPRODUCT((Tablo3[Personel Ad]=A3064)*(Tablo3[Ürün Kar Tutarı]))</f>
        <v>0</v>
      </c>
      <c r="D3064" s="14"/>
      <c r="F3064" s="9" cm="1">
        <f t="array" ref="F3064">SUMPRODUCT((Tablo3[Şehirler]=E3064)*(Tablo3[Ürün Kar Tutarı]))</f>
        <v>0</v>
      </c>
      <c r="H3064" s="14"/>
      <c r="J3064" s="9" cm="1">
        <f t="array" ref="J3064">SUMPRODUCT((Tablo3[Urun Ad]=I3064)*(Tablo3[Ürün Kar Tutarı]))</f>
        <v>0</v>
      </c>
      <c r="L3064" s="37"/>
    </row>
    <row r="3065" spans="1:12" x14ac:dyDescent="0.25">
      <c r="A3065" s="13"/>
      <c r="B3065" s="9" cm="1">
        <f t="array" ref="B3065">SUMPRODUCT((Tablo3[Personel Ad]=A3065)*(Tablo3[Ürün Kar Tutarı]))</f>
        <v>0</v>
      </c>
      <c r="D3065" s="14"/>
      <c r="F3065" s="9" cm="1">
        <f t="array" ref="F3065">SUMPRODUCT((Tablo3[Şehirler]=E3065)*(Tablo3[Ürün Kar Tutarı]))</f>
        <v>0</v>
      </c>
      <c r="H3065" s="14"/>
      <c r="J3065" s="9" cm="1">
        <f t="array" ref="J3065">SUMPRODUCT((Tablo3[Urun Ad]=I3065)*(Tablo3[Ürün Kar Tutarı]))</f>
        <v>0</v>
      </c>
      <c r="L3065" s="37"/>
    </row>
    <row r="3066" spans="1:12" x14ac:dyDescent="0.25">
      <c r="A3066" s="13"/>
      <c r="B3066" s="9" cm="1">
        <f t="array" ref="B3066">SUMPRODUCT((Tablo3[Personel Ad]=A3066)*(Tablo3[Ürün Kar Tutarı]))</f>
        <v>0</v>
      </c>
      <c r="D3066" s="14"/>
      <c r="F3066" s="9" cm="1">
        <f t="array" ref="F3066">SUMPRODUCT((Tablo3[Şehirler]=E3066)*(Tablo3[Ürün Kar Tutarı]))</f>
        <v>0</v>
      </c>
      <c r="H3066" s="14"/>
      <c r="J3066" s="9" cm="1">
        <f t="array" ref="J3066">SUMPRODUCT((Tablo3[Urun Ad]=I3066)*(Tablo3[Ürün Kar Tutarı]))</f>
        <v>0</v>
      </c>
      <c r="L3066" s="37"/>
    </row>
    <row r="3067" spans="1:12" x14ac:dyDescent="0.25">
      <c r="A3067" s="13"/>
      <c r="B3067" s="9" cm="1">
        <f t="array" ref="B3067">SUMPRODUCT((Tablo3[Personel Ad]=A3067)*(Tablo3[Ürün Kar Tutarı]))</f>
        <v>0</v>
      </c>
      <c r="D3067" s="14"/>
      <c r="F3067" s="9" cm="1">
        <f t="array" ref="F3067">SUMPRODUCT((Tablo3[Şehirler]=E3067)*(Tablo3[Ürün Kar Tutarı]))</f>
        <v>0</v>
      </c>
      <c r="H3067" s="14"/>
      <c r="J3067" s="9" cm="1">
        <f t="array" ref="J3067">SUMPRODUCT((Tablo3[Urun Ad]=I3067)*(Tablo3[Ürün Kar Tutarı]))</f>
        <v>0</v>
      </c>
      <c r="L3067" s="37"/>
    </row>
    <row r="3068" spans="1:12" x14ac:dyDescent="0.25">
      <c r="A3068" s="13"/>
      <c r="B3068" s="9" cm="1">
        <f t="array" ref="B3068">SUMPRODUCT((Tablo3[Personel Ad]=A3068)*(Tablo3[Ürün Kar Tutarı]))</f>
        <v>0</v>
      </c>
      <c r="D3068" s="14"/>
      <c r="F3068" s="9" cm="1">
        <f t="array" ref="F3068">SUMPRODUCT((Tablo3[Şehirler]=E3068)*(Tablo3[Ürün Kar Tutarı]))</f>
        <v>0</v>
      </c>
      <c r="H3068" s="14"/>
      <c r="J3068" s="9" cm="1">
        <f t="array" ref="J3068">SUMPRODUCT((Tablo3[Urun Ad]=I3068)*(Tablo3[Ürün Kar Tutarı]))</f>
        <v>0</v>
      </c>
      <c r="L3068" s="37"/>
    </row>
    <row r="3069" spans="1:12" x14ac:dyDescent="0.25">
      <c r="A3069" s="13"/>
      <c r="B3069" s="9" cm="1">
        <f t="array" ref="B3069">SUMPRODUCT((Tablo3[Personel Ad]=A3069)*(Tablo3[Ürün Kar Tutarı]))</f>
        <v>0</v>
      </c>
      <c r="D3069" s="14"/>
      <c r="F3069" s="9" cm="1">
        <f t="array" ref="F3069">SUMPRODUCT((Tablo3[Şehirler]=E3069)*(Tablo3[Ürün Kar Tutarı]))</f>
        <v>0</v>
      </c>
      <c r="H3069" s="14"/>
      <c r="J3069" s="9" cm="1">
        <f t="array" ref="J3069">SUMPRODUCT((Tablo3[Urun Ad]=I3069)*(Tablo3[Ürün Kar Tutarı]))</f>
        <v>0</v>
      </c>
      <c r="L3069" s="37"/>
    </row>
    <row r="3070" spans="1:12" x14ac:dyDescent="0.25">
      <c r="A3070" s="13"/>
      <c r="B3070" s="9" cm="1">
        <f t="array" ref="B3070">SUMPRODUCT((Tablo3[Personel Ad]=A3070)*(Tablo3[Ürün Kar Tutarı]))</f>
        <v>0</v>
      </c>
      <c r="D3070" s="14"/>
      <c r="F3070" s="9" cm="1">
        <f t="array" ref="F3070">SUMPRODUCT((Tablo3[Şehirler]=E3070)*(Tablo3[Ürün Kar Tutarı]))</f>
        <v>0</v>
      </c>
      <c r="H3070" s="14"/>
      <c r="J3070" s="9" cm="1">
        <f t="array" ref="J3070">SUMPRODUCT((Tablo3[Urun Ad]=I3070)*(Tablo3[Ürün Kar Tutarı]))</f>
        <v>0</v>
      </c>
      <c r="L3070" s="37"/>
    </row>
    <row r="3071" spans="1:12" x14ac:dyDescent="0.25">
      <c r="A3071" s="13"/>
      <c r="B3071" s="9" cm="1">
        <f t="array" ref="B3071">SUMPRODUCT((Tablo3[Personel Ad]=A3071)*(Tablo3[Ürün Kar Tutarı]))</f>
        <v>0</v>
      </c>
      <c r="D3071" s="14"/>
      <c r="F3071" s="9" cm="1">
        <f t="array" ref="F3071">SUMPRODUCT((Tablo3[Şehirler]=E3071)*(Tablo3[Ürün Kar Tutarı]))</f>
        <v>0</v>
      </c>
      <c r="H3071" s="14"/>
      <c r="J3071" s="9" cm="1">
        <f t="array" ref="J3071">SUMPRODUCT((Tablo3[Urun Ad]=I3071)*(Tablo3[Ürün Kar Tutarı]))</f>
        <v>0</v>
      </c>
      <c r="L3071" s="37"/>
    </row>
    <row r="3072" spans="1:12" x14ac:dyDescent="0.25">
      <c r="A3072" s="13"/>
      <c r="B3072" s="9" cm="1">
        <f t="array" ref="B3072">SUMPRODUCT((Tablo3[Personel Ad]=A3072)*(Tablo3[Ürün Kar Tutarı]))</f>
        <v>0</v>
      </c>
      <c r="D3072" s="14"/>
      <c r="F3072" s="9" cm="1">
        <f t="array" ref="F3072">SUMPRODUCT((Tablo3[Şehirler]=E3072)*(Tablo3[Ürün Kar Tutarı]))</f>
        <v>0</v>
      </c>
      <c r="H3072" s="14"/>
      <c r="J3072" s="9" cm="1">
        <f t="array" ref="J3072">SUMPRODUCT((Tablo3[Urun Ad]=I3072)*(Tablo3[Ürün Kar Tutarı]))</f>
        <v>0</v>
      </c>
      <c r="L3072" s="37"/>
    </row>
    <row r="3073" spans="1:12" x14ac:dyDescent="0.25">
      <c r="A3073" s="13"/>
      <c r="B3073" s="9" cm="1">
        <f t="array" ref="B3073">SUMPRODUCT((Tablo3[Personel Ad]=A3073)*(Tablo3[Ürün Kar Tutarı]))</f>
        <v>0</v>
      </c>
      <c r="D3073" s="14"/>
      <c r="F3073" s="9" cm="1">
        <f t="array" ref="F3073">SUMPRODUCT((Tablo3[Şehirler]=E3073)*(Tablo3[Ürün Kar Tutarı]))</f>
        <v>0</v>
      </c>
      <c r="H3073" s="14"/>
      <c r="J3073" s="9" cm="1">
        <f t="array" ref="J3073">SUMPRODUCT((Tablo3[Urun Ad]=I3073)*(Tablo3[Ürün Kar Tutarı]))</f>
        <v>0</v>
      </c>
      <c r="L3073" s="37"/>
    </row>
    <row r="3074" spans="1:12" x14ac:dyDescent="0.25">
      <c r="A3074" s="13"/>
      <c r="B3074" s="9" cm="1">
        <f t="array" ref="B3074">SUMPRODUCT((Tablo3[Personel Ad]=A3074)*(Tablo3[Ürün Kar Tutarı]))</f>
        <v>0</v>
      </c>
      <c r="D3074" s="14"/>
      <c r="F3074" s="9" cm="1">
        <f t="array" ref="F3074">SUMPRODUCT((Tablo3[Şehirler]=E3074)*(Tablo3[Ürün Kar Tutarı]))</f>
        <v>0</v>
      </c>
      <c r="H3074" s="14"/>
      <c r="J3074" s="9" cm="1">
        <f t="array" ref="J3074">SUMPRODUCT((Tablo3[Urun Ad]=I3074)*(Tablo3[Ürün Kar Tutarı]))</f>
        <v>0</v>
      </c>
      <c r="L3074" s="37"/>
    </row>
    <row r="3075" spans="1:12" x14ac:dyDescent="0.25">
      <c r="A3075" s="13"/>
      <c r="B3075" s="9" cm="1">
        <f t="array" ref="B3075">SUMPRODUCT((Tablo3[Personel Ad]=A3075)*(Tablo3[Ürün Kar Tutarı]))</f>
        <v>0</v>
      </c>
      <c r="D3075" s="14"/>
      <c r="F3075" s="9" cm="1">
        <f t="array" ref="F3075">SUMPRODUCT((Tablo3[Şehirler]=E3075)*(Tablo3[Ürün Kar Tutarı]))</f>
        <v>0</v>
      </c>
      <c r="H3075" s="14"/>
      <c r="J3075" s="9" cm="1">
        <f t="array" ref="J3075">SUMPRODUCT((Tablo3[Urun Ad]=I3075)*(Tablo3[Ürün Kar Tutarı]))</f>
        <v>0</v>
      </c>
      <c r="L3075" s="37"/>
    </row>
    <row r="3076" spans="1:12" x14ac:dyDescent="0.25">
      <c r="A3076" s="13"/>
      <c r="B3076" s="9" cm="1">
        <f t="array" ref="B3076">SUMPRODUCT((Tablo3[Personel Ad]=A3076)*(Tablo3[Ürün Kar Tutarı]))</f>
        <v>0</v>
      </c>
      <c r="D3076" s="14"/>
      <c r="F3076" s="9" cm="1">
        <f t="array" ref="F3076">SUMPRODUCT((Tablo3[Şehirler]=E3076)*(Tablo3[Ürün Kar Tutarı]))</f>
        <v>0</v>
      </c>
      <c r="H3076" s="14"/>
      <c r="J3076" s="9" cm="1">
        <f t="array" ref="J3076">SUMPRODUCT((Tablo3[Urun Ad]=I3076)*(Tablo3[Ürün Kar Tutarı]))</f>
        <v>0</v>
      </c>
      <c r="L3076" s="37"/>
    </row>
    <row r="3077" spans="1:12" x14ac:dyDescent="0.25">
      <c r="A3077" s="13"/>
      <c r="B3077" s="9" cm="1">
        <f t="array" ref="B3077">SUMPRODUCT((Tablo3[Personel Ad]=A3077)*(Tablo3[Ürün Kar Tutarı]))</f>
        <v>0</v>
      </c>
      <c r="D3077" s="14"/>
      <c r="F3077" s="9" cm="1">
        <f t="array" ref="F3077">SUMPRODUCT((Tablo3[Şehirler]=E3077)*(Tablo3[Ürün Kar Tutarı]))</f>
        <v>0</v>
      </c>
      <c r="H3077" s="14"/>
      <c r="J3077" s="9" cm="1">
        <f t="array" ref="J3077">SUMPRODUCT((Tablo3[Urun Ad]=I3077)*(Tablo3[Ürün Kar Tutarı]))</f>
        <v>0</v>
      </c>
      <c r="L3077" s="37"/>
    </row>
    <row r="3078" spans="1:12" x14ac:dyDescent="0.25">
      <c r="A3078" s="13"/>
      <c r="B3078" s="9" cm="1">
        <f t="array" ref="B3078">SUMPRODUCT((Tablo3[Personel Ad]=A3078)*(Tablo3[Ürün Kar Tutarı]))</f>
        <v>0</v>
      </c>
      <c r="D3078" s="14"/>
      <c r="F3078" s="9" cm="1">
        <f t="array" ref="F3078">SUMPRODUCT((Tablo3[Şehirler]=E3078)*(Tablo3[Ürün Kar Tutarı]))</f>
        <v>0</v>
      </c>
      <c r="H3078" s="14"/>
      <c r="J3078" s="9" cm="1">
        <f t="array" ref="J3078">SUMPRODUCT((Tablo3[Urun Ad]=I3078)*(Tablo3[Ürün Kar Tutarı]))</f>
        <v>0</v>
      </c>
      <c r="L3078" s="37"/>
    </row>
    <row r="3079" spans="1:12" x14ac:dyDescent="0.25">
      <c r="A3079" s="13"/>
      <c r="B3079" s="9" cm="1">
        <f t="array" ref="B3079">SUMPRODUCT((Tablo3[Personel Ad]=A3079)*(Tablo3[Ürün Kar Tutarı]))</f>
        <v>0</v>
      </c>
      <c r="D3079" s="14"/>
      <c r="F3079" s="9" cm="1">
        <f t="array" ref="F3079">SUMPRODUCT((Tablo3[Şehirler]=E3079)*(Tablo3[Ürün Kar Tutarı]))</f>
        <v>0</v>
      </c>
      <c r="H3079" s="14"/>
      <c r="J3079" s="9" cm="1">
        <f t="array" ref="J3079">SUMPRODUCT((Tablo3[Urun Ad]=I3079)*(Tablo3[Ürün Kar Tutarı]))</f>
        <v>0</v>
      </c>
      <c r="L3079" s="37"/>
    </row>
    <row r="3080" spans="1:12" x14ac:dyDescent="0.25">
      <c r="A3080" s="13"/>
      <c r="B3080" s="9" cm="1">
        <f t="array" ref="B3080">SUMPRODUCT((Tablo3[Personel Ad]=A3080)*(Tablo3[Ürün Kar Tutarı]))</f>
        <v>0</v>
      </c>
      <c r="D3080" s="14"/>
      <c r="F3080" s="9" cm="1">
        <f t="array" ref="F3080">SUMPRODUCT((Tablo3[Şehirler]=E3080)*(Tablo3[Ürün Kar Tutarı]))</f>
        <v>0</v>
      </c>
      <c r="H3080" s="14"/>
      <c r="J3080" s="9" cm="1">
        <f t="array" ref="J3080">SUMPRODUCT((Tablo3[Urun Ad]=I3080)*(Tablo3[Ürün Kar Tutarı]))</f>
        <v>0</v>
      </c>
      <c r="L3080" s="37"/>
    </row>
    <row r="3081" spans="1:12" x14ac:dyDescent="0.25">
      <c r="A3081" s="13"/>
      <c r="B3081" s="9" cm="1">
        <f t="array" ref="B3081">SUMPRODUCT((Tablo3[Personel Ad]=A3081)*(Tablo3[Ürün Kar Tutarı]))</f>
        <v>0</v>
      </c>
      <c r="D3081" s="14"/>
      <c r="F3081" s="9" cm="1">
        <f t="array" ref="F3081">SUMPRODUCT((Tablo3[Şehirler]=E3081)*(Tablo3[Ürün Kar Tutarı]))</f>
        <v>0</v>
      </c>
      <c r="H3081" s="14"/>
      <c r="J3081" s="9" cm="1">
        <f t="array" ref="J3081">SUMPRODUCT((Tablo3[Urun Ad]=I3081)*(Tablo3[Ürün Kar Tutarı]))</f>
        <v>0</v>
      </c>
      <c r="L3081" s="37"/>
    </row>
    <row r="3082" spans="1:12" x14ac:dyDescent="0.25">
      <c r="A3082" s="13"/>
      <c r="B3082" s="9" cm="1">
        <f t="array" ref="B3082">SUMPRODUCT((Tablo3[Personel Ad]=A3082)*(Tablo3[Ürün Kar Tutarı]))</f>
        <v>0</v>
      </c>
      <c r="D3082" s="14"/>
      <c r="F3082" s="9" cm="1">
        <f t="array" ref="F3082">SUMPRODUCT((Tablo3[Şehirler]=E3082)*(Tablo3[Ürün Kar Tutarı]))</f>
        <v>0</v>
      </c>
      <c r="H3082" s="14"/>
      <c r="J3082" s="9" cm="1">
        <f t="array" ref="J3082">SUMPRODUCT((Tablo3[Urun Ad]=I3082)*(Tablo3[Ürün Kar Tutarı]))</f>
        <v>0</v>
      </c>
      <c r="L3082" s="37"/>
    </row>
    <row r="3083" spans="1:12" x14ac:dyDescent="0.25">
      <c r="A3083" s="13"/>
      <c r="B3083" s="9" cm="1">
        <f t="array" ref="B3083">SUMPRODUCT((Tablo3[Personel Ad]=A3083)*(Tablo3[Ürün Kar Tutarı]))</f>
        <v>0</v>
      </c>
      <c r="D3083" s="14"/>
      <c r="F3083" s="9" cm="1">
        <f t="array" ref="F3083">SUMPRODUCT((Tablo3[Şehirler]=E3083)*(Tablo3[Ürün Kar Tutarı]))</f>
        <v>0</v>
      </c>
      <c r="H3083" s="14"/>
      <c r="J3083" s="9" cm="1">
        <f t="array" ref="J3083">SUMPRODUCT((Tablo3[Urun Ad]=I3083)*(Tablo3[Ürün Kar Tutarı]))</f>
        <v>0</v>
      </c>
      <c r="L3083" s="37"/>
    </row>
    <row r="3084" spans="1:12" x14ac:dyDescent="0.25">
      <c r="A3084" s="13"/>
      <c r="B3084" s="9" cm="1">
        <f t="array" ref="B3084">SUMPRODUCT((Tablo3[Personel Ad]=A3084)*(Tablo3[Ürün Kar Tutarı]))</f>
        <v>0</v>
      </c>
      <c r="D3084" s="14"/>
      <c r="F3084" s="9" cm="1">
        <f t="array" ref="F3084">SUMPRODUCT((Tablo3[Şehirler]=E3084)*(Tablo3[Ürün Kar Tutarı]))</f>
        <v>0</v>
      </c>
      <c r="H3084" s="14"/>
      <c r="J3084" s="9" cm="1">
        <f t="array" ref="J3084">SUMPRODUCT((Tablo3[Urun Ad]=I3084)*(Tablo3[Ürün Kar Tutarı]))</f>
        <v>0</v>
      </c>
      <c r="L3084" s="37"/>
    </row>
    <row r="3085" spans="1:12" x14ac:dyDescent="0.25">
      <c r="A3085" s="13"/>
      <c r="B3085" s="9" cm="1">
        <f t="array" ref="B3085">SUMPRODUCT((Tablo3[Personel Ad]=A3085)*(Tablo3[Ürün Kar Tutarı]))</f>
        <v>0</v>
      </c>
      <c r="D3085" s="14"/>
      <c r="F3085" s="9" cm="1">
        <f t="array" ref="F3085">SUMPRODUCT((Tablo3[Şehirler]=E3085)*(Tablo3[Ürün Kar Tutarı]))</f>
        <v>0</v>
      </c>
      <c r="H3085" s="14"/>
      <c r="J3085" s="9" cm="1">
        <f t="array" ref="J3085">SUMPRODUCT((Tablo3[Urun Ad]=I3085)*(Tablo3[Ürün Kar Tutarı]))</f>
        <v>0</v>
      </c>
      <c r="L3085" s="37"/>
    </row>
    <row r="3086" spans="1:12" x14ac:dyDescent="0.25">
      <c r="A3086" s="13"/>
      <c r="B3086" s="9" cm="1">
        <f t="array" ref="B3086">SUMPRODUCT((Tablo3[Personel Ad]=A3086)*(Tablo3[Ürün Kar Tutarı]))</f>
        <v>0</v>
      </c>
      <c r="D3086" s="14"/>
      <c r="F3086" s="9" cm="1">
        <f t="array" ref="F3086">SUMPRODUCT((Tablo3[Şehirler]=E3086)*(Tablo3[Ürün Kar Tutarı]))</f>
        <v>0</v>
      </c>
      <c r="H3086" s="14"/>
      <c r="J3086" s="9" cm="1">
        <f t="array" ref="J3086">SUMPRODUCT((Tablo3[Urun Ad]=I3086)*(Tablo3[Ürün Kar Tutarı]))</f>
        <v>0</v>
      </c>
      <c r="L3086" s="37"/>
    </row>
    <row r="3087" spans="1:12" x14ac:dyDescent="0.25">
      <c r="A3087" s="13"/>
      <c r="B3087" s="9" cm="1">
        <f t="array" ref="B3087">SUMPRODUCT((Tablo3[Personel Ad]=A3087)*(Tablo3[Ürün Kar Tutarı]))</f>
        <v>0</v>
      </c>
      <c r="D3087" s="14"/>
      <c r="F3087" s="9" cm="1">
        <f t="array" ref="F3087">SUMPRODUCT((Tablo3[Şehirler]=E3087)*(Tablo3[Ürün Kar Tutarı]))</f>
        <v>0</v>
      </c>
      <c r="H3087" s="14"/>
      <c r="J3087" s="9" cm="1">
        <f t="array" ref="J3087">SUMPRODUCT((Tablo3[Urun Ad]=I3087)*(Tablo3[Ürün Kar Tutarı]))</f>
        <v>0</v>
      </c>
      <c r="L3087" s="37"/>
    </row>
    <row r="3088" spans="1:12" x14ac:dyDescent="0.25">
      <c r="A3088" s="13"/>
      <c r="B3088" s="9" cm="1">
        <f t="array" ref="B3088">SUMPRODUCT((Tablo3[Personel Ad]=A3088)*(Tablo3[Ürün Kar Tutarı]))</f>
        <v>0</v>
      </c>
      <c r="D3088" s="14"/>
      <c r="F3088" s="9" cm="1">
        <f t="array" ref="F3088">SUMPRODUCT((Tablo3[Şehirler]=E3088)*(Tablo3[Ürün Kar Tutarı]))</f>
        <v>0</v>
      </c>
      <c r="H3088" s="14"/>
      <c r="J3088" s="9" cm="1">
        <f t="array" ref="J3088">SUMPRODUCT((Tablo3[Urun Ad]=I3088)*(Tablo3[Ürün Kar Tutarı]))</f>
        <v>0</v>
      </c>
      <c r="L3088" s="37"/>
    </row>
    <row r="3089" spans="1:12" x14ac:dyDescent="0.25">
      <c r="A3089" s="13"/>
      <c r="B3089" s="9" cm="1">
        <f t="array" ref="B3089">SUMPRODUCT((Tablo3[Personel Ad]=A3089)*(Tablo3[Ürün Kar Tutarı]))</f>
        <v>0</v>
      </c>
      <c r="D3089" s="14"/>
      <c r="F3089" s="9" cm="1">
        <f t="array" ref="F3089">SUMPRODUCT((Tablo3[Şehirler]=E3089)*(Tablo3[Ürün Kar Tutarı]))</f>
        <v>0</v>
      </c>
      <c r="H3089" s="14"/>
      <c r="J3089" s="9" cm="1">
        <f t="array" ref="J3089">SUMPRODUCT((Tablo3[Urun Ad]=I3089)*(Tablo3[Ürün Kar Tutarı]))</f>
        <v>0</v>
      </c>
      <c r="L3089" s="37"/>
    </row>
    <row r="3090" spans="1:12" x14ac:dyDescent="0.25">
      <c r="A3090" s="13"/>
      <c r="B3090" s="9" cm="1">
        <f t="array" ref="B3090">SUMPRODUCT((Tablo3[Personel Ad]=A3090)*(Tablo3[Ürün Kar Tutarı]))</f>
        <v>0</v>
      </c>
      <c r="D3090" s="14"/>
      <c r="F3090" s="9" cm="1">
        <f t="array" ref="F3090">SUMPRODUCT((Tablo3[Şehirler]=E3090)*(Tablo3[Ürün Kar Tutarı]))</f>
        <v>0</v>
      </c>
      <c r="H3090" s="14"/>
      <c r="J3090" s="9" cm="1">
        <f t="array" ref="J3090">SUMPRODUCT((Tablo3[Urun Ad]=I3090)*(Tablo3[Ürün Kar Tutarı]))</f>
        <v>0</v>
      </c>
      <c r="L3090" s="37"/>
    </row>
    <row r="3091" spans="1:12" x14ac:dyDescent="0.25">
      <c r="A3091" s="13"/>
      <c r="B3091" s="9" cm="1">
        <f t="array" ref="B3091">SUMPRODUCT((Tablo3[Personel Ad]=A3091)*(Tablo3[Ürün Kar Tutarı]))</f>
        <v>0</v>
      </c>
      <c r="D3091" s="14"/>
      <c r="F3091" s="9" cm="1">
        <f t="array" ref="F3091">SUMPRODUCT((Tablo3[Şehirler]=E3091)*(Tablo3[Ürün Kar Tutarı]))</f>
        <v>0</v>
      </c>
      <c r="H3091" s="14"/>
      <c r="J3091" s="9" cm="1">
        <f t="array" ref="J3091">SUMPRODUCT((Tablo3[Urun Ad]=I3091)*(Tablo3[Ürün Kar Tutarı]))</f>
        <v>0</v>
      </c>
      <c r="L3091" s="37"/>
    </row>
    <row r="3092" spans="1:12" x14ac:dyDescent="0.25">
      <c r="A3092" s="13"/>
      <c r="B3092" s="9" cm="1">
        <f t="array" ref="B3092">SUMPRODUCT((Tablo3[Personel Ad]=A3092)*(Tablo3[Ürün Kar Tutarı]))</f>
        <v>0</v>
      </c>
      <c r="D3092" s="14"/>
      <c r="F3092" s="9" cm="1">
        <f t="array" ref="F3092">SUMPRODUCT((Tablo3[Şehirler]=E3092)*(Tablo3[Ürün Kar Tutarı]))</f>
        <v>0</v>
      </c>
      <c r="H3092" s="14"/>
      <c r="J3092" s="9" cm="1">
        <f t="array" ref="J3092">SUMPRODUCT((Tablo3[Urun Ad]=I3092)*(Tablo3[Ürün Kar Tutarı]))</f>
        <v>0</v>
      </c>
      <c r="L3092" s="37"/>
    </row>
    <row r="3093" spans="1:12" x14ac:dyDescent="0.25">
      <c r="A3093" s="13"/>
      <c r="B3093" s="9" cm="1">
        <f t="array" ref="B3093">SUMPRODUCT((Tablo3[Personel Ad]=A3093)*(Tablo3[Ürün Kar Tutarı]))</f>
        <v>0</v>
      </c>
      <c r="D3093" s="14"/>
      <c r="F3093" s="9" cm="1">
        <f t="array" ref="F3093">SUMPRODUCT((Tablo3[Şehirler]=E3093)*(Tablo3[Ürün Kar Tutarı]))</f>
        <v>0</v>
      </c>
      <c r="H3093" s="14"/>
      <c r="J3093" s="9" cm="1">
        <f t="array" ref="J3093">SUMPRODUCT((Tablo3[Urun Ad]=I3093)*(Tablo3[Ürün Kar Tutarı]))</f>
        <v>0</v>
      </c>
      <c r="L3093" s="37"/>
    </row>
    <row r="3094" spans="1:12" x14ac:dyDescent="0.25">
      <c r="A3094" s="13"/>
      <c r="B3094" s="9" cm="1">
        <f t="array" ref="B3094">SUMPRODUCT((Tablo3[Personel Ad]=A3094)*(Tablo3[Ürün Kar Tutarı]))</f>
        <v>0</v>
      </c>
      <c r="D3094" s="14"/>
      <c r="F3094" s="9" cm="1">
        <f t="array" ref="F3094">SUMPRODUCT((Tablo3[Şehirler]=E3094)*(Tablo3[Ürün Kar Tutarı]))</f>
        <v>0</v>
      </c>
      <c r="H3094" s="14"/>
      <c r="J3094" s="9" cm="1">
        <f t="array" ref="J3094">SUMPRODUCT((Tablo3[Urun Ad]=I3094)*(Tablo3[Ürün Kar Tutarı]))</f>
        <v>0</v>
      </c>
      <c r="L3094" s="37"/>
    </row>
    <row r="3095" spans="1:12" x14ac:dyDescent="0.25">
      <c r="A3095" s="13"/>
      <c r="B3095" s="9" cm="1">
        <f t="array" ref="B3095">SUMPRODUCT((Tablo3[Personel Ad]=A3095)*(Tablo3[Ürün Kar Tutarı]))</f>
        <v>0</v>
      </c>
      <c r="D3095" s="14"/>
      <c r="F3095" s="9" cm="1">
        <f t="array" ref="F3095">SUMPRODUCT((Tablo3[Şehirler]=E3095)*(Tablo3[Ürün Kar Tutarı]))</f>
        <v>0</v>
      </c>
      <c r="H3095" s="14"/>
      <c r="J3095" s="9" cm="1">
        <f t="array" ref="J3095">SUMPRODUCT((Tablo3[Urun Ad]=I3095)*(Tablo3[Ürün Kar Tutarı]))</f>
        <v>0</v>
      </c>
      <c r="L3095" s="37"/>
    </row>
    <row r="3096" spans="1:12" x14ac:dyDescent="0.25">
      <c r="A3096" s="13"/>
      <c r="B3096" s="9" cm="1">
        <f t="array" ref="B3096">SUMPRODUCT((Tablo3[Personel Ad]=A3096)*(Tablo3[Ürün Kar Tutarı]))</f>
        <v>0</v>
      </c>
      <c r="D3096" s="14"/>
      <c r="F3096" s="9" cm="1">
        <f t="array" ref="F3096">SUMPRODUCT((Tablo3[Şehirler]=E3096)*(Tablo3[Ürün Kar Tutarı]))</f>
        <v>0</v>
      </c>
      <c r="H3096" s="14"/>
      <c r="J3096" s="9" cm="1">
        <f t="array" ref="J3096">SUMPRODUCT((Tablo3[Urun Ad]=I3096)*(Tablo3[Ürün Kar Tutarı]))</f>
        <v>0</v>
      </c>
      <c r="L3096" s="37"/>
    </row>
    <row r="3097" spans="1:12" x14ac:dyDescent="0.25">
      <c r="A3097" s="13"/>
      <c r="B3097" s="9" cm="1">
        <f t="array" ref="B3097">SUMPRODUCT((Tablo3[Personel Ad]=A3097)*(Tablo3[Ürün Kar Tutarı]))</f>
        <v>0</v>
      </c>
      <c r="D3097" s="14"/>
      <c r="F3097" s="9" cm="1">
        <f t="array" ref="F3097">SUMPRODUCT((Tablo3[Şehirler]=E3097)*(Tablo3[Ürün Kar Tutarı]))</f>
        <v>0</v>
      </c>
      <c r="H3097" s="14"/>
      <c r="J3097" s="9" cm="1">
        <f t="array" ref="J3097">SUMPRODUCT((Tablo3[Urun Ad]=I3097)*(Tablo3[Ürün Kar Tutarı]))</f>
        <v>0</v>
      </c>
      <c r="L3097" s="37"/>
    </row>
    <row r="3098" spans="1:12" x14ac:dyDescent="0.25">
      <c r="A3098" s="13"/>
      <c r="B3098" s="9" cm="1">
        <f t="array" ref="B3098">SUMPRODUCT((Tablo3[Personel Ad]=A3098)*(Tablo3[Ürün Kar Tutarı]))</f>
        <v>0</v>
      </c>
      <c r="D3098" s="14"/>
      <c r="F3098" s="9" cm="1">
        <f t="array" ref="F3098">SUMPRODUCT((Tablo3[Şehirler]=E3098)*(Tablo3[Ürün Kar Tutarı]))</f>
        <v>0</v>
      </c>
      <c r="H3098" s="14"/>
      <c r="J3098" s="9" cm="1">
        <f t="array" ref="J3098">SUMPRODUCT((Tablo3[Urun Ad]=I3098)*(Tablo3[Ürün Kar Tutarı]))</f>
        <v>0</v>
      </c>
      <c r="L3098" s="37"/>
    </row>
    <row r="3099" spans="1:12" x14ac:dyDescent="0.25">
      <c r="A3099" s="13"/>
      <c r="B3099" s="9" cm="1">
        <f t="array" ref="B3099">SUMPRODUCT((Tablo3[Personel Ad]=A3099)*(Tablo3[Ürün Kar Tutarı]))</f>
        <v>0</v>
      </c>
      <c r="D3099" s="14"/>
      <c r="F3099" s="9" cm="1">
        <f t="array" ref="F3099">SUMPRODUCT((Tablo3[Şehirler]=E3099)*(Tablo3[Ürün Kar Tutarı]))</f>
        <v>0</v>
      </c>
      <c r="H3099" s="14"/>
      <c r="J3099" s="9" cm="1">
        <f t="array" ref="J3099">SUMPRODUCT((Tablo3[Urun Ad]=I3099)*(Tablo3[Ürün Kar Tutarı]))</f>
        <v>0</v>
      </c>
      <c r="L3099" s="37"/>
    </row>
    <row r="3100" spans="1:12" x14ac:dyDescent="0.25">
      <c r="A3100" s="13"/>
      <c r="B3100" s="9" cm="1">
        <f t="array" ref="B3100">SUMPRODUCT((Tablo3[Personel Ad]=A3100)*(Tablo3[Ürün Kar Tutarı]))</f>
        <v>0</v>
      </c>
      <c r="D3100" s="14"/>
      <c r="F3100" s="9" cm="1">
        <f t="array" ref="F3100">SUMPRODUCT((Tablo3[Şehirler]=E3100)*(Tablo3[Ürün Kar Tutarı]))</f>
        <v>0</v>
      </c>
      <c r="H3100" s="14"/>
      <c r="J3100" s="9" cm="1">
        <f t="array" ref="J3100">SUMPRODUCT((Tablo3[Urun Ad]=I3100)*(Tablo3[Ürün Kar Tutarı]))</f>
        <v>0</v>
      </c>
      <c r="L3100" s="37"/>
    </row>
    <row r="3101" spans="1:12" x14ac:dyDescent="0.25">
      <c r="A3101" s="13"/>
      <c r="B3101" s="9" cm="1">
        <f t="array" ref="B3101">SUMPRODUCT((Tablo3[Personel Ad]=A3101)*(Tablo3[Ürün Kar Tutarı]))</f>
        <v>0</v>
      </c>
      <c r="D3101" s="14"/>
      <c r="F3101" s="9" cm="1">
        <f t="array" ref="F3101">SUMPRODUCT((Tablo3[Şehirler]=E3101)*(Tablo3[Ürün Kar Tutarı]))</f>
        <v>0</v>
      </c>
      <c r="H3101" s="14"/>
      <c r="J3101" s="9" cm="1">
        <f t="array" ref="J3101">SUMPRODUCT((Tablo3[Urun Ad]=I3101)*(Tablo3[Ürün Kar Tutarı]))</f>
        <v>0</v>
      </c>
      <c r="L3101" s="37"/>
    </row>
    <row r="3102" spans="1:12" x14ac:dyDescent="0.25">
      <c r="A3102" s="13"/>
      <c r="B3102" s="9" cm="1">
        <f t="array" ref="B3102">SUMPRODUCT((Tablo3[Personel Ad]=A3102)*(Tablo3[Ürün Kar Tutarı]))</f>
        <v>0</v>
      </c>
      <c r="D3102" s="14"/>
      <c r="F3102" s="9" cm="1">
        <f t="array" ref="F3102">SUMPRODUCT((Tablo3[Şehirler]=E3102)*(Tablo3[Ürün Kar Tutarı]))</f>
        <v>0</v>
      </c>
      <c r="H3102" s="14"/>
      <c r="J3102" s="9" cm="1">
        <f t="array" ref="J3102">SUMPRODUCT((Tablo3[Urun Ad]=I3102)*(Tablo3[Ürün Kar Tutarı]))</f>
        <v>0</v>
      </c>
      <c r="L3102" s="37"/>
    </row>
    <row r="3103" spans="1:12" x14ac:dyDescent="0.25">
      <c r="A3103" s="13"/>
      <c r="B3103" s="9" cm="1">
        <f t="array" ref="B3103">SUMPRODUCT((Tablo3[Personel Ad]=A3103)*(Tablo3[Ürün Kar Tutarı]))</f>
        <v>0</v>
      </c>
      <c r="D3103" s="14"/>
      <c r="F3103" s="9" cm="1">
        <f t="array" ref="F3103">SUMPRODUCT((Tablo3[Şehirler]=E3103)*(Tablo3[Ürün Kar Tutarı]))</f>
        <v>0</v>
      </c>
      <c r="H3103" s="14"/>
      <c r="J3103" s="9" cm="1">
        <f t="array" ref="J3103">SUMPRODUCT((Tablo3[Urun Ad]=I3103)*(Tablo3[Ürün Kar Tutarı]))</f>
        <v>0</v>
      </c>
      <c r="L3103" s="37"/>
    </row>
    <row r="3104" spans="1:12" x14ac:dyDescent="0.25">
      <c r="A3104" s="13"/>
      <c r="B3104" s="9" cm="1">
        <f t="array" ref="B3104">SUMPRODUCT((Tablo3[Personel Ad]=A3104)*(Tablo3[Ürün Kar Tutarı]))</f>
        <v>0</v>
      </c>
      <c r="D3104" s="14"/>
      <c r="F3104" s="9" cm="1">
        <f t="array" ref="F3104">SUMPRODUCT((Tablo3[Şehirler]=E3104)*(Tablo3[Ürün Kar Tutarı]))</f>
        <v>0</v>
      </c>
      <c r="H3104" s="14"/>
      <c r="J3104" s="9" cm="1">
        <f t="array" ref="J3104">SUMPRODUCT((Tablo3[Urun Ad]=I3104)*(Tablo3[Ürün Kar Tutarı]))</f>
        <v>0</v>
      </c>
      <c r="L3104" s="37"/>
    </row>
    <row r="3105" spans="1:12" x14ac:dyDescent="0.25">
      <c r="A3105" s="13"/>
      <c r="B3105" s="9" cm="1">
        <f t="array" ref="B3105">SUMPRODUCT((Tablo3[Personel Ad]=A3105)*(Tablo3[Ürün Kar Tutarı]))</f>
        <v>0</v>
      </c>
      <c r="D3105" s="14"/>
      <c r="F3105" s="9" cm="1">
        <f t="array" ref="F3105">SUMPRODUCT((Tablo3[Şehirler]=E3105)*(Tablo3[Ürün Kar Tutarı]))</f>
        <v>0</v>
      </c>
      <c r="H3105" s="14"/>
      <c r="J3105" s="9" cm="1">
        <f t="array" ref="J3105">SUMPRODUCT((Tablo3[Urun Ad]=I3105)*(Tablo3[Ürün Kar Tutarı]))</f>
        <v>0</v>
      </c>
      <c r="L3105" s="37"/>
    </row>
    <row r="3106" spans="1:12" x14ac:dyDescent="0.25">
      <c r="A3106" s="13"/>
      <c r="B3106" s="9" cm="1">
        <f t="array" ref="B3106">SUMPRODUCT((Tablo3[Personel Ad]=A3106)*(Tablo3[Ürün Kar Tutarı]))</f>
        <v>0</v>
      </c>
      <c r="D3106" s="14"/>
      <c r="F3106" s="9" cm="1">
        <f t="array" ref="F3106">SUMPRODUCT((Tablo3[Şehirler]=E3106)*(Tablo3[Ürün Kar Tutarı]))</f>
        <v>0</v>
      </c>
      <c r="H3106" s="14"/>
      <c r="J3106" s="9" cm="1">
        <f t="array" ref="J3106">SUMPRODUCT((Tablo3[Urun Ad]=I3106)*(Tablo3[Ürün Kar Tutarı]))</f>
        <v>0</v>
      </c>
      <c r="L3106" s="37"/>
    </row>
    <row r="3107" spans="1:12" x14ac:dyDescent="0.25">
      <c r="A3107" s="13"/>
      <c r="B3107" s="9" cm="1">
        <f t="array" ref="B3107">SUMPRODUCT((Tablo3[Personel Ad]=A3107)*(Tablo3[Ürün Kar Tutarı]))</f>
        <v>0</v>
      </c>
      <c r="D3107" s="14"/>
      <c r="F3107" s="9" cm="1">
        <f t="array" ref="F3107">SUMPRODUCT((Tablo3[Şehirler]=E3107)*(Tablo3[Ürün Kar Tutarı]))</f>
        <v>0</v>
      </c>
      <c r="H3107" s="14"/>
      <c r="J3107" s="9" cm="1">
        <f t="array" ref="J3107">SUMPRODUCT((Tablo3[Urun Ad]=I3107)*(Tablo3[Ürün Kar Tutarı]))</f>
        <v>0</v>
      </c>
      <c r="L3107" s="37"/>
    </row>
    <row r="3108" spans="1:12" x14ac:dyDescent="0.25">
      <c r="A3108" s="13"/>
      <c r="B3108" s="9" cm="1">
        <f t="array" ref="B3108">SUMPRODUCT((Tablo3[Personel Ad]=A3108)*(Tablo3[Ürün Kar Tutarı]))</f>
        <v>0</v>
      </c>
      <c r="D3108" s="14"/>
      <c r="F3108" s="9" cm="1">
        <f t="array" ref="F3108">SUMPRODUCT((Tablo3[Şehirler]=E3108)*(Tablo3[Ürün Kar Tutarı]))</f>
        <v>0</v>
      </c>
      <c r="H3108" s="14"/>
      <c r="J3108" s="9" cm="1">
        <f t="array" ref="J3108">SUMPRODUCT((Tablo3[Urun Ad]=I3108)*(Tablo3[Ürün Kar Tutarı]))</f>
        <v>0</v>
      </c>
      <c r="L3108" s="37"/>
    </row>
    <row r="3109" spans="1:12" x14ac:dyDescent="0.25">
      <c r="A3109" s="13"/>
      <c r="B3109" s="9" cm="1">
        <f t="array" ref="B3109">SUMPRODUCT((Tablo3[Personel Ad]=A3109)*(Tablo3[Ürün Kar Tutarı]))</f>
        <v>0</v>
      </c>
      <c r="D3109" s="14"/>
      <c r="F3109" s="9" cm="1">
        <f t="array" ref="F3109">SUMPRODUCT((Tablo3[Şehirler]=E3109)*(Tablo3[Ürün Kar Tutarı]))</f>
        <v>0</v>
      </c>
      <c r="H3109" s="14"/>
      <c r="J3109" s="9" cm="1">
        <f t="array" ref="J3109">SUMPRODUCT((Tablo3[Urun Ad]=I3109)*(Tablo3[Ürün Kar Tutarı]))</f>
        <v>0</v>
      </c>
      <c r="L3109" s="37"/>
    </row>
    <row r="3110" spans="1:12" x14ac:dyDescent="0.25">
      <c r="A3110" s="13"/>
      <c r="B3110" s="9" cm="1">
        <f t="array" ref="B3110">SUMPRODUCT((Tablo3[Personel Ad]=A3110)*(Tablo3[Ürün Kar Tutarı]))</f>
        <v>0</v>
      </c>
      <c r="D3110" s="14"/>
      <c r="F3110" s="9" cm="1">
        <f t="array" ref="F3110">SUMPRODUCT((Tablo3[Şehirler]=E3110)*(Tablo3[Ürün Kar Tutarı]))</f>
        <v>0</v>
      </c>
      <c r="H3110" s="14"/>
      <c r="J3110" s="9" cm="1">
        <f t="array" ref="J3110">SUMPRODUCT((Tablo3[Urun Ad]=I3110)*(Tablo3[Ürün Kar Tutarı]))</f>
        <v>0</v>
      </c>
      <c r="L3110" s="37"/>
    </row>
    <row r="3111" spans="1:12" x14ac:dyDescent="0.25">
      <c r="A3111" s="13"/>
      <c r="B3111" s="9" cm="1">
        <f t="array" ref="B3111">SUMPRODUCT((Tablo3[Personel Ad]=A3111)*(Tablo3[Ürün Kar Tutarı]))</f>
        <v>0</v>
      </c>
      <c r="D3111" s="14"/>
      <c r="F3111" s="9" cm="1">
        <f t="array" ref="F3111">SUMPRODUCT((Tablo3[Şehirler]=E3111)*(Tablo3[Ürün Kar Tutarı]))</f>
        <v>0</v>
      </c>
      <c r="H3111" s="14"/>
      <c r="J3111" s="9" cm="1">
        <f t="array" ref="J3111">SUMPRODUCT((Tablo3[Urun Ad]=I3111)*(Tablo3[Ürün Kar Tutarı]))</f>
        <v>0</v>
      </c>
      <c r="L3111" s="37"/>
    </row>
    <row r="3112" spans="1:12" x14ac:dyDescent="0.25">
      <c r="A3112" s="13"/>
      <c r="B3112" s="9" cm="1">
        <f t="array" ref="B3112">SUMPRODUCT((Tablo3[Personel Ad]=A3112)*(Tablo3[Ürün Kar Tutarı]))</f>
        <v>0</v>
      </c>
      <c r="D3112" s="14"/>
      <c r="F3112" s="9" cm="1">
        <f t="array" ref="F3112">SUMPRODUCT((Tablo3[Şehirler]=E3112)*(Tablo3[Ürün Kar Tutarı]))</f>
        <v>0</v>
      </c>
      <c r="H3112" s="14"/>
      <c r="J3112" s="9" cm="1">
        <f t="array" ref="J3112">SUMPRODUCT((Tablo3[Urun Ad]=I3112)*(Tablo3[Ürün Kar Tutarı]))</f>
        <v>0</v>
      </c>
      <c r="L3112" s="37"/>
    </row>
    <row r="3113" spans="1:12" x14ac:dyDescent="0.25">
      <c r="A3113" s="13"/>
      <c r="B3113" s="9" cm="1">
        <f t="array" ref="B3113">SUMPRODUCT((Tablo3[Personel Ad]=A3113)*(Tablo3[Ürün Kar Tutarı]))</f>
        <v>0</v>
      </c>
      <c r="D3113" s="14"/>
      <c r="F3113" s="9" cm="1">
        <f t="array" ref="F3113">SUMPRODUCT((Tablo3[Şehirler]=E3113)*(Tablo3[Ürün Kar Tutarı]))</f>
        <v>0</v>
      </c>
      <c r="H3113" s="14"/>
      <c r="J3113" s="9" cm="1">
        <f t="array" ref="J3113">SUMPRODUCT((Tablo3[Urun Ad]=I3113)*(Tablo3[Ürün Kar Tutarı]))</f>
        <v>0</v>
      </c>
      <c r="L3113" s="37"/>
    </row>
    <row r="3114" spans="1:12" x14ac:dyDescent="0.25">
      <c r="A3114" s="13"/>
      <c r="B3114" s="9" cm="1">
        <f t="array" ref="B3114">SUMPRODUCT((Tablo3[Personel Ad]=A3114)*(Tablo3[Ürün Kar Tutarı]))</f>
        <v>0</v>
      </c>
      <c r="D3114" s="14"/>
      <c r="F3114" s="9" cm="1">
        <f t="array" ref="F3114">SUMPRODUCT((Tablo3[Şehirler]=E3114)*(Tablo3[Ürün Kar Tutarı]))</f>
        <v>0</v>
      </c>
      <c r="H3114" s="14"/>
      <c r="J3114" s="9" cm="1">
        <f t="array" ref="J3114">SUMPRODUCT((Tablo3[Urun Ad]=I3114)*(Tablo3[Ürün Kar Tutarı]))</f>
        <v>0</v>
      </c>
      <c r="L3114" s="37"/>
    </row>
    <row r="3115" spans="1:12" x14ac:dyDescent="0.25">
      <c r="A3115" s="13"/>
      <c r="B3115" s="9" cm="1">
        <f t="array" ref="B3115">SUMPRODUCT((Tablo3[Personel Ad]=A3115)*(Tablo3[Ürün Kar Tutarı]))</f>
        <v>0</v>
      </c>
      <c r="D3115" s="14"/>
      <c r="F3115" s="9" cm="1">
        <f t="array" ref="F3115">SUMPRODUCT((Tablo3[Şehirler]=E3115)*(Tablo3[Ürün Kar Tutarı]))</f>
        <v>0</v>
      </c>
      <c r="H3115" s="14"/>
      <c r="J3115" s="9" cm="1">
        <f t="array" ref="J3115">SUMPRODUCT((Tablo3[Urun Ad]=I3115)*(Tablo3[Ürün Kar Tutarı]))</f>
        <v>0</v>
      </c>
      <c r="L3115" s="37"/>
    </row>
    <row r="3116" spans="1:12" x14ac:dyDescent="0.25">
      <c r="A3116" s="13"/>
      <c r="B3116" s="9" cm="1">
        <f t="array" ref="B3116">SUMPRODUCT((Tablo3[Personel Ad]=A3116)*(Tablo3[Ürün Kar Tutarı]))</f>
        <v>0</v>
      </c>
      <c r="D3116" s="14"/>
      <c r="F3116" s="9" cm="1">
        <f t="array" ref="F3116">SUMPRODUCT((Tablo3[Şehirler]=E3116)*(Tablo3[Ürün Kar Tutarı]))</f>
        <v>0</v>
      </c>
      <c r="H3116" s="14"/>
      <c r="J3116" s="9" cm="1">
        <f t="array" ref="J3116">SUMPRODUCT((Tablo3[Urun Ad]=I3116)*(Tablo3[Ürün Kar Tutarı]))</f>
        <v>0</v>
      </c>
      <c r="L3116" s="37"/>
    </row>
    <row r="3117" spans="1:12" x14ac:dyDescent="0.25">
      <c r="A3117" s="13"/>
      <c r="B3117" s="9" cm="1">
        <f t="array" ref="B3117">SUMPRODUCT((Tablo3[Personel Ad]=A3117)*(Tablo3[Ürün Kar Tutarı]))</f>
        <v>0</v>
      </c>
      <c r="D3117" s="14"/>
      <c r="F3117" s="9" cm="1">
        <f t="array" ref="F3117">SUMPRODUCT((Tablo3[Şehirler]=E3117)*(Tablo3[Ürün Kar Tutarı]))</f>
        <v>0</v>
      </c>
      <c r="H3117" s="14"/>
      <c r="J3117" s="9" cm="1">
        <f t="array" ref="J3117">SUMPRODUCT((Tablo3[Urun Ad]=I3117)*(Tablo3[Ürün Kar Tutarı]))</f>
        <v>0</v>
      </c>
      <c r="L3117" s="37"/>
    </row>
    <row r="3118" spans="1:12" x14ac:dyDescent="0.25">
      <c r="A3118" s="13"/>
      <c r="B3118" s="9" cm="1">
        <f t="array" ref="B3118">SUMPRODUCT((Tablo3[Personel Ad]=A3118)*(Tablo3[Ürün Kar Tutarı]))</f>
        <v>0</v>
      </c>
      <c r="D3118" s="14"/>
      <c r="F3118" s="9" cm="1">
        <f t="array" ref="F3118">SUMPRODUCT((Tablo3[Şehirler]=E3118)*(Tablo3[Ürün Kar Tutarı]))</f>
        <v>0</v>
      </c>
      <c r="H3118" s="14"/>
      <c r="J3118" s="9" cm="1">
        <f t="array" ref="J3118">SUMPRODUCT((Tablo3[Urun Ad]=I3118)*(Tablo3[Ürün Kar Tutarı]))</f>
        <v>0</v>
      </c>
      <c r="L3118" s="37"/>
    </row>
    <row r="3119" spans="1:12" x14ac:dyDescent="0.25">
      <c r="A3119" s="13"/>
      <c r="B3119" s="9" cm="1">
        <f t="array" ref="B3119">SUMPRODUCT((Tablo3[Personel Ad]=A3119)*(Tablo3[Ürün Kar Tutarı]))</f>
        <v>0</v>
      </c>
      <c r="D3119" s="14"/>
      <c r="F3119" s="9" cm="1">
        <f t="array" ref="F3119">SUMPRODUCT((Tablo3[Şehirler]=E3119)*(Tablo3[Ürün Kar Tutarı]))</f>
        <v>0</v>
      </c>
      <c r="H3119" s="14"/>
      <c r="J3119" s="9" cm="1">
        <f t="array" ref="J3119">SUMPRODUCT((Tablo3[Urun Ad]=I3119)*(Tablo3[Ürün Kar Tutarı]))</f>
        <v>0</v>
      </c>
      <c r="L3119" s="37"/>
    </row>
    <row r="3120" spans="1:12" x14ac:dyDescent="0.25">
      <c r="A3120" s="13"/>
      <c r="B3120" s="9" cm="1">
        <f t="array" ref="B3120">SUMPRODUCT((Tablo3[Personel Ad]=A3120)*(Tablo3[Ürün Kar Tutarı]))</f>
        <v>0</v>
      </c>
      <c r="D3120" s="14"/>
      <c r="F3120" s="9" cm="1">
        <f t="array" ref="F3120">SUMPRODUCT((Tablo3[Şehirler]=E3120)*(Tablo3[Ürün Kar Tutarı]))</f>
        <v>0</v>
      </c>
      <c r="H3120" s="14"/>
      <c r="J3120" s="9" cm="1">
        <f t="array" ref="J3120">SUMPRODUCT((Tablo3[Urun Ad]=I3120)*(Tablo3[Ürün Kar Tutarı]))</f>
        <v>0</v>
      </c>
      <c r="L3120" s="37"/>
    </row>
    <row r="3121" spans="1:12" x14ac:dyDescent="0.25">
      <c r="A3121" s="13"/>
      <c r="B3121" s="9" cm="1">
        <f t="array" ref="B3121">SUMPRODUCT((Tablo3[Personel Ad]=A3121)*(Tablo3[Ürün Kar Tutarı]))</f>
        <v>0</v>
      </c>
      <c r="D3121" s="14"/>
      <c r="F3121" s="9" cm="1">
        <f t="array" ref="F3121">SUMPRODUCT((Tablo3[Şehirler]=E3121)*(Tablo3[Ürün Kar Tutarı]))</f>
        <v>0</v>
      </c>
      <c r="H3121" s="14"/>
      <c r="J3121" s="9" cm="1">
        <f t="array" ref="J3121">SUMPRODUCT((Tablo3[Urun Ad]=I3121)*(Tablo3[Ürün Kar Tutarı]))</f>
        <v>0</v>
      </c>
      <c r="L3121" s="37"/>
    </row>
    <row r="3122" spans="1:12" x14ac:dyDescent="0.25">
      <c r="A3122" s="13"/>
      <c r="B3122" s="9" cm="1">
        <f t="array" ref="B3122">SUMPRODUCT((Tablo3[Personel Ad]=A3122)*(Tablo3[Ürün Kar Tutarı]))</f>
        <v>0</v>
      </c>
      <c r="D3122" s="14"/>
      <c r="F3122" s="9" cm="1">
        <f t="array" ref="F3122">SUMPRODUCT((Tablo3[Şehirler]=E3122)*(Tablo3[Ürün Kar Tutarı]))</f>
        <v>0</v>
      </c>
      <c r="H3122" s="14"/>
      <c r="J3122" s="9" cm="1">
        <f t="array" ref="J3122">SUMPRODUCT((Tablo3[Urun Ad]=I3122)*(Tablo3[Ürün Kar Tutarı]))</f>
        <v>0</v>
      </c>
      <c r="L3122" s="37"/>
    </row>
    <row r="3123" spans="1:12" x14ac:dyDescent="0.25">
      <c r="A3123" s="13"/>
      <c r="B3123" s="9" cm="1">
        <f t="array" ref="B3123">SUMPRODUCT((Tablo3[Personel Ad]=A3123)*(Tablo3[Ürün Kar Tutarı]))</f>
        <v>0</v>
      </c>
      <c r="D3123" s="14"/>
      <c r="F3123" s="9" cm="1">
        <f t="array" ref="F3123">SUMPRODUCT((Tablo3[Şehirler]=E3123)*(Tablo3[Ürün Kar Tutarı]))</f>
        <v>0</v>
      </c>
      <c r="H3123" s="14"/>
      <c r="J3123" s="9" cm="1">
        <f t="array" ref="J3123">SUMPRODUCT((Tablo3[Urun Ad]=I3123)*(Tablo3[Ürün Kar Tutarı]))</f>
        <v>0</v>
      </c>
      <c r="L3123" s="37"/>
    </row>
    <row r="3124" spans="1:12" x14ac:dyDescent="0.25">
      <c r="A3124" s="13"/>
      <c r="B3124" s="9" cm="1">
        <f t="array" ref="B3124">SUMPRODUCT((Tablo3[Personel Ad]=A3124)*(Tablo3[Ürün Kar Tutarı]))</f>
        <v>0</v>
      </c>
      <c r="D3124" s="14"/>
      <c r="F3124" s="9" cm="1">
        <f t="array" ref="F3124">SUMPRODUCT((Tablo3[Şehirler]=E3124)*(Tablo3[Ürün Kar Tutarı]))</f>
        <v>0</v>
      </c>
      <c r="H3124" s="14"/>
      <c r="J3124" s="9" cm="1">
        <f t="array" ref="J3124">SUMPRODUCT((Tablo3[Urun Ad]=I3124)*(Tablo3[Ürün Kar Tutarı]))</f>
        <v>0</v>
      </c>
      <c r="L3124" s="37"/>
    </row>
    <row r="3125" spans="1:12" x14ac:dyDescent="0.25">
      <c r="A3125" s="13"/>
      <c r="B3125" s="9" cm="1">
        <f t="array" ref="B3125">SUMPRODUCT((Tablo3[Personel Ad]=A3125)*(Tablo3[Ürün Kar Tutarı]))</f>
        <v>0</v>
      </c>
      <c r="D3125" s="14"/>
      <c r="F3125" s="9" cm="1">
        <f t="array" ref="F3125">SUMPRODUCT((Tablo3[Şehirler]=E3125)*(Tablo3[Ürün Kar Tutarı]))</f>
        <v>0</v>
      </c>
      <c r="H3125" s="14"/>
      <c r="J3125" s="9" cm="1">
        <f t="array" ref="J3125">SUMPRODUCT((Tablo3[Urun Ad]=I3125)*(Tablo3[Ürün Kar Tutarı]))</f>
        <v>0</v>
      </c>
      <c r="L3125" s="37"/>
    </row>
    <row r="3126" spans="1:12" x14ac:dyDescent="0.25">
      <c r="A3126" s="13"/>
      <c r="B3126" s="9" cm="1">
        <f t="array" ref="B3126">SUMPRODUCT((Tablo3[Personel Ad]=A3126)*(Tablo3[Ürün Kar Tutarı]))</f>
        <v>0</v>
      </c>
      <c r="D3126" s="14"/>
      <c r="F3126" s="9" cm="1">
        <f t="array" ref="F3126">SUMPRODUCT((Tablo3[Şehirler]=E3126)*(Tablo3[Ürün Kar Tutarı]))</f>
        <v>0</v>
      </c>
      <c r="H3126" s="14"/>
      <c r="J3126" s="9" cm="1">
        <f t="array" ref="J3126">SUMPRODUCT((Tablo3[Urun Ad]=I3126)*(Tablo3[Ürün Kar Tutarı]))</f>
        <v>0</v>
      </c>
      <c r="L3126" s="37"/>
    </row>
    <row r="3127" spans="1:12" x14ac:dyDescent="0.25">
      <c r="A3127" s="13"/>
      <c r="B3127" s="9" cm="1">
        <f t="array" ref="B3127">SUMPRODUCT((Tablo3[Personel Ad]=A3127)*(Tablo3[Ürün Kar Tutarı]))</f>
        <v>0</v>
      </c>
      <c r="D3127" s="14"/>
      <c r="F3127" s="9" cm="1">
        <f t="array" ref="F3127">SUMPRODUCT((Tablo3[Şehirler]=E3127)*(Tablo3[Ürün Kar Tutarı]))</f>
        <v>0</v>
      </c>
      <c r="H3127" s="14"/>
      <c r="J3127" s="9" cm="1">
        <f t="array" ref="J3127">SUMPRODUCT((Tablo3[Urun Ad]=I3127)*(Tablo3[Ürün Kar Tutarı]))</f>
        <v>0</v>
      </c>
      <c r="L3127" s="37"/>
    </row>
    <row r="3128" spans="1:12" x14ac:dyDescent="0.25">
      <c r="A3128" s="13"/>
      <c r="B3128" s="9" cm="1">
        <f t="array" ref="B3128">SUMPRODUCT((Tablo3[Personel Ad]=A3128)*(Tablo3[Ürün Kar Tutarı]))</f>
        <v>0</v>
      </c>
      <c r="D3128" s="14"/>
      <c r="F3128" s="9" cm="1">
        <f t="array" ref="F3128">SUMPRODUCT((Tablo3[Şehirler]=E3128)*(Tablo3[Ürün Kar Tutarı]))</f>
        <v>0</v>
      </c>
      <c r="H3128" s="14"/>
      <c r="J3128" s="9" cm="1">
        <f t="array" ref="J3128">SUMPRODUCT((Tablo3[Urun Ad]=I3128)*(Tablo3[Ürün Kar Tutarı]))</f>
        <v>0</v>
      </c>
      <c r="L3128" s="37"/>
    </row>
    <row r="3129" spans="1:12" x14ac:dyDescent="0.25">
      <c r="A3129" s="13"/>
      <c r="B3129" s="9" cm="1">
        <f t="array" ref="B3129">SUMPRODUCT((Tablo3[Personel Ad]=A3129)*(Tablo3[Ürün Kar Tutarı]))</f>
        <v>0</v>
      </c>
      <c r="D3129" s="14"/>
      <c r="F3129" s="9" cm="1">
        <f t="array" ref="F3129">SUMPRODUCT((Tablo3[Şehirler]=E3129)*(Tablo3[Ürün Kar Tutarı]))</f>
        <v>0</v>
      </c>
      <c r="H3129" s="14"/>
      <c r="J3129" s="9" cm="1">
        <f t="array" ref="J3129">SUMPRODUCT((Tablo3[Urun Ad]=I3129)*(Tablo3[Ürün Kar Tutarı]))</f>
        <v>0</v>
      </c>
      <c r="L3129" s="37"/>
    </row>
    <row r="3130" spans="1:12" x14ac:dyDescent="0.25">
      <c r="A3130" s="13"/>
      <c r="B3130" s="9" cm="1">
        <f t="array" ref="B3130">SUMPRODUCT((Tablo3[Personel Ad]=A3130)*(Tablo3[Ürün Kar Tutarı]))</f>
        <v>0</v>
      </c>
      <c r="D3130" s="14"/>
      <c r="F3130" s="9" cm="1">
        <f t="array" ref="F3130">SUMPRODUCT((Tablo3[Şehirler]=E3130)*(Tablo3[Ürün Kar Tutarı]))</f>
        <v>0</v>
      </c>
      <c r="H3130" s="14"/>
      <c r="J3130" s="9" cm="1">
        <f t="array" ref="J3130">SUMPRODUCT((Tablo3[Urun Ad]=I3130)*(Tablo3[Ürün Kar Tutarı]))</f>
        <v>0</v>
      </c>
      <c r="L3130" s="37"/>
    </row>
    <row r="3131" spans="1:12" x14ac:dyDescent="0.25">
      <c r="A3131" s="13"/>
      <c r="B3131" s="9" cm="1">
        <f t="array" ref="B3131">SUMPRODUCT((Tablo3[Personel Ad]=A3131)*(Tablo3[Ürün Kar Tutarı]))</f>
        <v>0</v>
      </c>
      <c r="D3131" s="14"/>
      <c r="F3131" s="9" cm="1">
        <f t="array" ref="F3131">SUMPRODUCT((Tablo3[Şehirler]=E3131)*(Tablo3[Ürün Kar Tutarı]))</f>
        <v>0</v>
      </c>
      <c r="H3131" s="14"/>
      <c r="J3131" s="9" cm="1">
        <f t="array" ref="J3131">SUMPRODUCT((Tablo3[Urun Ad]=I3131)*(Tablo3[Ürün Kar Tutarı]))</f>
        <v>0</v>
      </c>
      <c r="L3131" s="37"/>
    </row>
    <row r="3132" spans="1:12" x14ac:dyDescent="0.25">
      <c r="A3132" s="13"/>
      <c r="B3132" s="9" cm="1">
        <f t="array" ref="B3132">SUMPRODUCT((Tablo3[Personel Ad]=A3132)*(Tablo3[Ürün Kar Tutarı]))</f>
        <v>0</v>
      </c>
      <c r="D3132" s="14"/>
      <c r="F3132" s="9" cm="1">
        <f t="array" ref="F3132">SUMPRODUCT((Tablo3[Şehirler]=E3132)*(Tablo3[Ürün Kar Tutarı]))</f>
        <v>0</v>
      </c>
      <c r="H3132" s="14"/>
      <c r="J3132" s="9" cm="1">
        <f t="array" ref="J3132">SUMPRODUCT((Tablo3[Urun Ad]=I3132)*(Tablo3[Ürün Kar Tutarı]))</f>
        <v>0</v>
      </c>
      <c r="L3132" s="37"/>
    </row>
    <row r="3133" spans="1:12" x14ac:dyDescent="0.25">
      <c r="A3133" s="13"/>
      <c r="B3133" s="9" cm="1">
        <f t="array" ref="B3133">SUMPRODUCT((Tablo3[Personel Ad]=A3133)*(Tablo3[Ürün Kar Tutarı]))</f>
        <v>0</v>
      </c>
      <c r="D3133" s="14"/>
      <c r="F3133" s="9" cm="1">
        <f t="array" ref="F3133">SUMPRODUCT((Tablo3[Şehirler]=E3133)*(Tablo3[Ürün Kar Tutarı]))</f>
        <v>0</v>
      </c>
      <c r="H3133" s="14"/>
      <c r="J3133" s="9" cm="1">
        <f t="array" ref="J3133">SUMPRODUCT((Tablo3[Urun Ad]=I3133)*(Tablo3[Ürün Kar Tutarı]))</f>
        <v>0</v>
      </c>
      <c r="L3133" s="37"/>
    </row>
    <row r="3134" spans="1:12" x14ac:dyDescent="0.25">
      <c r="A3134" s="13"/>
      <c r="B3134" s="9" cm="1">
        <f t="array" ref="B3134">SUMPRODUCT((Tablo3[Personel Ad]=A3134)*(Tablo3[Ürün Kar Tutarı]))</f>
        <v>0</v>
      </c>
      <c r="D3134" s="14"/>
      <c r="F3134" s="9" cm="1">
        <f t="array" ref="F3134">SUMPRODUCT((Tablo3[Şehirler]=E3134)*(Tablo3[Ürün Kar Tutarı]))</f>
        <v>0</v>
      </c>
      <c r="H3134" s="14"/>
      <c r="J3134" s="9" cm="1">
        <f t="array" ref="J3134">SUMPRODUCT((Tablo3[Urun Ad]=I3134)*(Tablo3[Ürün Kar Tutarı]))</f>
        <v>0</v>
      </c>
      <c r="L3134" s="37"/>
    </row>
    <row r="3135" spans="1:12" x14ac:dyDescent="0.25">
      <c r="A3135" s="13"/>
      <c r="B3135" s="9" cm="1">
        <f t="array" ref="B3135">SUMPRODUCT((Tablo3[Personel Ad]=A3135)*(Tablo3[Ürün Kar Tutarı]))</f>
        <v>0</v>
      </c>
      <c r="D3135" s="14"/>
      <c r="F3135" s="9" cm="1">
        <f t="array" ref="F3135">SUMPRODUCT((Tablo3[Şehirler]=E3135)*(Tablo3[Ürün Kar Tutarı]))</f>
        <v>0</v>
      </c>
      <c r="H3135" s="14"/>
      <c r="J3135" s="9" cm="1">
        <f t="array" ref="J3135">SUMPRODUCT((Tablo3[Urun Ad]=I3135)*(Tablo3[Ürün Kar Tutarı]))</f>
        <v>0</v>
      </c>
      <c r="L3135" s="37"/>
    </row>
    <row r="3136" spans="1:12" x14ac:dyDescent="0.25">
      <c r="A3136" s="13"/>
      <c r="B3136" s="9" cm="1">
        <f t="array" ref="B3136">SUMPRODUCT((Tablo3[Personel Ad]=A3136)*(Tablo3[Ürün Kar Tutarı]))</f>
        <v>0</v>
      </c>
      <c r="D3136" s="14"/>
      <c r="F3136" s="9" cm="1">
        <f t="array" ref="F3136">SUMPRODUCT((Tablo3[Şehirler]=E3136)*(Tablo3[Ürün Kar Tutarı]))</f>
        <v>0</v>
      </c>
      <c r="H3136" s="14"/>
      <c r="J3136" s="9" cm="1">
        <f t="array" ref="J3136">SUMPRODUCT((Tablo3[Urun Ad]=I3136)*(Tablo3[Ürün Kar Tutarı]))</f>
        <v>0</v>
      </c>
      <c r="L3136" s="37"/>
    </row>
    <row r="3137" spans="1:12" x14ac:dyDescent="0.25">
      <c r="A3137" s="13"/>
      <c r="B3137" s="9" cm="1">
        <f t="array" ref="B3137">SUMPRODUCT((Tablo3[Personel Ad]=A3137)*(Tablo3[Ürün Kar Tutarı]))</f>
        <v>0</v>
      </c>
      <c r="D3137" s="14"/>
      <c r="F3137" s="9" cm="1">
        <f t="array" ref="F3137">SUMPRODUCT((Tablo3[Şehirler]=E3137)*(Tablo3[Ürün Kar Tutarı]))</f>
        <v>0</v>
      </c>
      <c r="H3137" s="14"/>
      <c r="J3137" s="9" cm="1">
        <f t="array" ref="J3137">SUMPRODUCT((Tablo3[Urun Ad]=I3137)*(Tablo3[Ürün Kar Tutarı]))</f>
        <v>0</v>
      </c>
      <c r="L3137" s="37"/>
    </row>
    <row r="3138" spans="1:12" x14ac:dyDescent="0.25">
      <c r="A3138" s="13"/>
      <c r="B3138" s="9" cm="1">
        <f t="array" ref="B3138">SUMPRODUCT((Tablo3[Personel Ad]=A3138)*(Tablo3[Ürün Kar Tutarı]))</f>
        <v>0</v>
      </c>
      <c r="D3138" s="14"/>
      <c r="F3138" s="9" cm="1">
        <f t="array" ref="F3138">SUMPRODUCT((Tablo3[Şehirler]=E3138)*(Tablo3[Ürün Kar Tutarı]))</f>
        <v>0</v>
      </c>
      <c r="H3138" s="14"/>
      <c r="J3138" s="9" cm="1">
        <f t="array" ref="J3138">SUMPRODUCT((Tablo3[Urun Ad]=I3138)*(Tablo3[Ürün Kar Tutarı]))</f>
        <v>0</v>
      </c>
      <c r="L3138" s="37"/>
    </row>
    <row r="3139" spans="1:12" x14ac:dyDescent="0.25">
      <c r="A3139" s="13"/>
      <c r="B3139" s="9" cm="1">
        <f t="array" ref="B3139">SUMPRODUCT((Tablo3[Personel Ad]=A3139)*(Tablo3[Ürün Kar Tutarı]))</f>
        <v>0</v>
      </c>
      <c r="D3139" s="14"/>
      <c r="F3139" s="9" cm="1">
        <f t="array" ref="F3139">SUMPRODUCT((Tablo3[Şehirler]=E3139)*(Tablo3[Ürün Kar Tutarı]))</f>
        <v>0</v>
      </c>
      <c r="H3139" s="14"/>
      <c r="J3139" s="9" cm="1">
        <f t="array" ref="J3139">SUMPRODUCT((Tablo3[Urun Ad]=I3139)*(Tablo3[Ürün Kar Tutarı]))</f>
        <v>0</v>
      </c>
      <c r="L3139" s="37"/>
    </row>
    <row r="3140" spans="1:12" x14ac:dyDescent="0.25">
      <c r="A3140" s="13"/>
      <c r="B3140" s="9" cm="1">
        <f t="array" ref="B3140">SUMPRODUCT((Tablo3[Personel Ad]=A3140)*(Tablo3[Ürün Kar Tutarı]))</f>
        <v>0</v>
      </c>
      <c r="D3140" s="14"/>
      <c r="F3140" s="9" cm="1">
        <f t="array" ref="F3140">SUMPRODUCT((Tablo3[Şehirler]=E3140)*(Tablo3[Ürün Kar Tutarı]))</f>
        <v>0</v>
      </c>
      <c r="H3140" s="14"/>
      <c r="J3140" s="9" cm="1">
        <f t="array" ref="J3140">SUMPRODUCT((Tablo3[Urun Ad]=I3140)*(Tablo3[Ürün Kar Tutarı]))</f>
        <v>0</v>
      </c>
      <c r="L3140" s="37"/>
    </row>
    <row r="3141" spans="1:12" x14ac:dyDescent="0.25">
      <c r="A3141" s="13"/>
      <c r="B3141" s="9" cm="1">
        <f t="array" ref="B3141">SUMPRODUCT((Tablo3[Personel Ad]=A3141)*(Tablo3[Ürün Kar Tutarı]))</f>
        <v>0</v>
      </c>
      <c r="D3141" s="14"/>
      <c r="F3141" s="9" cm="1">
        <f t="array" ref="F3141">SUMPRODUCT((Tablo3[Şehirler]=E3141)*(Tablo3[Ürün Kar Tutarı]))</f>
        <v>0</v>
      </c>
      <c r="H3141" s="14"/>
      <c r="J3141" s="9" cm="1">
        <f t="array" ref="J3141">SUMPRODUCT((Tablo3[Urun Ad]=I3141)*(Tablo3[Ürün Kar Tutarı]))</f>
        <v>0</v>
      </c>
      <c r="L3141" s="37"/>
    </row>
    <row r="3142" spans="1:12" x14ac:dyDescent="0.25">
      <c r="A3142" s="13"/>
      <c r="B3142" s="9" cm="1">
        <f t="array" ref="B3142">SUMPRODUCT((Tablo3[Personel Ad]=A3142)*(Tablo3[Ürün Kar Tutarı]))</f>
        <v>0</v>
      </c>
      <c r="D3142" s="14"/>
      <c r="F3142" s="9" cm="1">
        <f t="array" ref="F3142">SUMPRODUCT((Tablo3[Şehirler]=E3142)*(Tablo3[Ürün Kar Tutarı]))</f>
        <v>0</v>
      </c>
      <c r="H3142" s="14"/>
      <c r="J3142" s="9" cm="1">
        <f t="array" ref="J3142">SUMPRODUCT((Tablo3[Urun Ad]=I3142)*(Tablo3[Ürün Kar Tutarı]))</f>
        <v>0</v>
      </c>
      <c r="L3142" s="37"/>
    </row>
    <row r="3143" spans="1:12" x14ac:dyDescent="0.25">
      <c r="A3143" s="13"/>
      <c r="B3143" s="9" cm="1">
        <f t="array" ref="B3143">SUMPRODUCT((Tablo3[Personel Ad]=A3143)*(Tablo3[Ürün Kar Tutarı]))</f>
        <v>0</v>
      </c>
      <c r="D3143" s="14"/>
      <c r="F3143" s="9" cm="1">
        <f t="array" ref="F3143">SUMPRODUCT((Tablo3[Şehirler]=E3143)*(Tablo3[Ürün Kar Tutarı]))</f>
        <v>0</v>
      </c>
      <c r="H3143" s="14"/>
      <c r="J3143" s="9" cm="1">
        <f t="array" ref="J3143">SUMPRODUCT((Tablo3[Urun Ad]=I3143)*(Tablo3[Ürün Kar Tutarı]))</f>
        <v>0</v>
      </c>
      <c r="L3143" s="37"/>
    </row>
    <row r="3144" spans="1:12" x14ac:dyDescent="0.25">
      <c r="A3144" s="13"/>
      <c r="B3144" s="9" cm="1">
        <f t="array" ref="B3144">SUMPRODUCT((Tablo3[Personel Ad]=A3144)*(Tablo3[Ürün Kar Tutarı]))</f>
        <v>0</v>
      </c>
      <c r="D3144" s="14"/>
      <c r="F3144" s="9" cm="1">
        <f t="array" ref="F3144">SUMPRODUCT((Tablo3[Şehirler]=E3144)*(Tablo3[Ürün Kar Tutarı]))</f>
        <v>0</v>
      </c>
      <c r="H3144" s="14"/>
      <c r="J3144" s="9" cm="1">
        <f t="array" ref="J3144">SUMPRODUCT((Tablo3[Urun Ad]=I3144)*(Tablo3[Ürün Kar Tutarı]))</f>
        <v>0</v>
      </c>
      <c r="L3144" s="37"/>
    </row>
    <row r="3145" spans="1:12" x14ac:dyDescent="0.25">
      <c r="A3145" s="13"/>
      <c r="B3145" s="9" cm="1">
        <f t="array" ref="B3145">SUMPRODUCT((Tablo3[Personel Ad]=A3145)*(Tablo3[Ürün Kar Tutarı]))</f>
        <v>0</v>
      </c>
      <c r="D3145" s="14"/>
      <c r="F3145" s="9" cm="1">
        <f t="array" ref="F3145">SUMPRODUCT((Tablo3[Şehirler]=E3145)*(Tablo3[Ürün Kar Tutarı]))</f>
        <v>0</v>
      </c>
      <c r="H3145" s="14"/>
      <c r="J3145" s="9" cm="1">
        <f t="array" ref="J3145">SUMPRODUCT((Tablo3[Urun Ad]=I3145)*(Tablo3[Ürün Kar Tutarı]))</f>
        <v>0</v>
      </c>
      <c r="L3145" s="37"/>
    </row>
    <row r="3146" spans="1:12" x14ac:dyDescent="0.25">
      <c r="A3146" s="13"/>
      <c r="B3146" s="9" cm="1">
        <f t="array" ref="B3146">SUMPRODUCT((Tablo3[Personel Ad]=A3146)*(Tablo3[Ürün Kar Tutarı]))</f>
        <v>0</v>
      </c>
      <c r="D3146" s="14"/>
      <c r="F3146" s="9" cm="1">
        <f t="array" ref="F3146">SUMPRODUCT((Tablo3[Şehirler]=E3146)*(Tablo3[Ürün Kar Tutarı]))</f>
        <v>0</v>
      </c>
      <c r="H3146" s="14"/>
      <c r="J3146" s="9" cm="1">
        <f t="array" ref="J3146">SUMPRODUCT((Tablo3[Urun Ad]=I3146)*(Tablo3[Ürün Kar Tutarı]))</f>
        <v>0</v>
      </c>
      <c r="L3146" s="37"/>
    </row>
    <row r="3147" spans="1:12" x14ac:dyDescent="0.25">
      <c r="A3147" s="13"/>
      <c r="B3147" s="9" cm="1">
        <f t="array" ref="B3147">SUMPRODUCT((Tablo3[Personel Ad]=A3147)*(Tablo3[Ürün Kar Tutarı]))</f>
        <v>0</v>
      </c>
      <c r="D3147" s="14"/>
      <c r="F3147" s="9" cm="1">
        <f t="array" ref="F3147">SUMPRODUCT((Tablo3[Şehirler]=E3147)*(Tablo3[Ürün Kar Tutarı]))</f>
        <v>0</v>
      </c>
      <c r="H3147" s="14"/>
      <c r="J3147" s="9" cm="1">
        <f t="array" ref="J3147">SUMPRODUCT((Tablo3[Urun Ad]=I3147)*(Tablo3[Ürün Kar Tutarı]))</f>
        <v>0</v>
      </c>
      <c r="L3147" s="37"/>
    </row>
    <row r="3148" spans="1:12" x14ac:dyDescent="0.25">
      <c r="A3148" s="13"/>
      <c r="B3148" s="9" cm="1">
        <f t="array" ref="B3148">SUMPRODUCT((Tablo3[Personel Ad]=A3148)*(Tablo3[Ürün Kar Tutarı]))</f>
        <v>0</v>
      </c>
      <c r="D3148" s="14"/>
      <c r="F3148" s="9" cm="1">
        <f t="array" ref="F3148">SUMPRODUCT((Tablo3[Şehirler]=E3148)*(Tablo3[Ürün Kar Tutarı]))</f>
        <v>0</v>
      </c>
      <c r="H3148" s="14"/>
      <c r="J3148" s="9" cm="1">
        <f t="array" ref="J3148">SUMPRODUCT((Tablo3[Urun Ad]=I3148)*(Tablo3[Ürün Kar Tutarı]))</f>
        <v>0</v>
      </c>
      <c r="L3148" s="37"/>
    </row>
    <row r="3149" spans="1:12" x14ac:dyDescent="0.25">
      <c r="A3149" s="13"/>
      <c r="B3149" s="9" cm="1">
        <f t="array" ref="B3149">SUMPRODUCT((Tablo3[Personel Ad]=A3149)*(Tablo3[Ürün Kar Tutarı]))</f>
        <v>0</v>
      </c>
      <c r="D3149" s="14"/>
      <c r="F3149" s="9" cm="1">
        <f t="array" ref="F3149">SUMPRODUCT((Tablo3[Şehirler]=E3149)*(Tablo3[Ürün Kar Tutarı]))</f>
        <v>0</v>
      </c>
      <c r="H3149" s="14"/>
      <c r="J3149" s="9" cm="1">
        <f t="array" ref="J3149">SUMPRODUCT((Tablo3[Urun Ad]=I3149)*(Tablo3[Ürün Kar Tutarı]))</f>
        <v>0</v>
      </c>
      <c r="L3149" s="37"/>
    </row>
    <row r="3150" spans="1:12" x14ac:dyDescent="0.25">
      <c r="A3150" s="13"/>
      <c r="B3150" s="9" cm="1">
        <f t="array" ref="B3150">SUMPRODUCT((Tablo3[Personel Ad]=A3150)*(Tablo3[Ürün Kar Tutarı]))</f>
        <v>0</v>
      </c>
      <c r="D3150" s="14"/>
      <c r="F3150" s="9" cm="1">
        <f t="array" ref="F3150">SUMPRODUCT((Tablo3[Şehirler]=E3150)*(Tablo3[Ürün Kar Tutarı]))</f>
        <v>0</v>
      </c>
      <c r="H3150" s="14"/>
      <c r="J3150" s="9" cm="1">
        <f t="array" ref="J3150">SUMPRODUCT((Tablo3[Urun Ad]=I3150)*(Tablo3[Ürün Kar Tutarı]))</f>
        <v>0</v>
      </c>
      <c r="L3150" s="37"/>
    </row>
    <row r="3151" spans="1:12" x14ac:dyDescent="0.25">
      <c r="A3151" s="13"/>
      <c r="B3151" s="9" cm="1">
        <f t="array" ref="B3151">SUMPRODUCT((Tablo3[Personel Ad]=A3151)*(Tablo3[Ürün Kar Tutarı]))</f>
        <v>0</v>
      </c>
      <c r="D3151" s="14"/>
      <c r="F3151" s="9" cm="1">
        <f t="array" ref="F3151">SUMPRODUCT((Tablo3[Şehirler]=E3151)*(Tablo3[Ürün Kar Tutarı]))</f>
        <v>0</v>
      </c>
      <c r="H3151" s="14"/>
      <c r="J3151" s="9" cm="1">
        <f t="array" ref="J3151">SUMPRODUCT((Tablo3[Urun Ad]=I3151)*(Tablo3[Ürün Kar Tutarı]))</f>
        <v>0</v>
      </c>
      <c r="L3151" s="37"/>
    </row>
    <row r="3152" spans="1:12" x14ac:dyDescent="0.25">
      <c r="A3152" s="13"/>
      <c r="B3152" s="9" cm="1">
        <f t="array" ref="B3152">SUMPRODUCT((Tablo3[Personel Ad]=A3152)*(Tablo3[Ürün Kar Tutarı]))</f>
        <v>0</v>
      </c>
      <c r="D3152" s="14"/>
      <c r="F3152" s="9" cm="1">
        <f t="array" ref="F3152">SUMPRODUCT((Tablo3[Şehirler]=E3152)*(Tablo3[Ürün Kar Tutarı]))</f>
        <v>0</v>
      </c>
      <c r="H3152" s="14"/>
      <c r="J3152" s="9" cm="1">
        <f t="array" ref="J3152">SUMPRODUCT((Tablo3[Urun Ad]=I3152)*(Tablo3[Ürün Kar Tutarı]))</f>
        <v>0</v>
      </c>
      <c r="L3152" s="37"/>
    </row>
    <row r="3153" spans="1:12" x14ac:dyDescent="0.25">
      <c r="A3153" s="13"/>
      <c r="B3153" s="9" cm="1">
        <f t="array" ref="B3153">SUMPRODUCT((Tablo3[Personel Ad]=A3153)*(Tablo3[Ürün Kar Tutarı]))</f>
        <v>0</v>
      </c>
      <c r="D3153" s="14"/>
      <c r="F3153" s="9" cm="1">
        <f t="array" ref="F3153">SUMPRODUCT((Tablo3[Şehirler]=E3153)*(Tablo3[Ürün Kar Tutarı]))</f>
        <v>0</v>
      </c>
      <c r="H3153" s="14"/>
      <c r="J3153" s="9" cm="1">
        <f t="array" ref="J3153">SUMPRODUCT((Tablo3[Urun Ad]=I3153)*(Tablo3[Ürün Kar Tutarı]))</f>
        <v>0</v>
      </c>
      <c r="L3153" s="37"/>
    </row>
    <row r="3154" spans="1:12" x14ac:dyDescent="0.25">
      <c r="A3154" s="13"/>
      <c r="B3154" s="9" cm="1">
        <f t="array" ref="B3154">SUMPRODUCT((Tablo3[Personel Ad]=A3154)*(Tablo3[Ürün Kar Tutarı]))</f>
        <v>0</v>
      </c>
      <c r="D3154" s="14"/>
      <c r="F3154" s="9" cm="1">
        <f t="array" ref="F3154">SUMPRODUCT((Tablo3[Şehirler]=E3154)*(Tablo3[Ürün Kar Tutarı]))</f>
        <v>0</v>
      </c>
      <c r="H3154" s="14"/>
      <c r="J3154" s="9" cm="1">
        <f t="array" ref="J3154">SUMPRODUCT((Tablo3[Urun Ad]=I3154)*(Tablo3[Ürün Kar Tutarı]))</f>
        <v>0</v>
      </c>
      <c r="L3154" s="37"/>
    </row>
    <row r="3155" spans="1:12" x14ac:dyDescent="0.25">
      <c r="A3155" s="13"/>
      <c r="B3155" s="9" cm="1">
        <f t="array" ref="B3155">SUMPRODUCT((Tablo3[Personel Ad]=A3155)*(Tablo3[Ürün Kar Tutarı]))</f>
        <v>0</v>
      </c>
      <c r="D3155" s="14"/>
      <c r="F3155" s="9" cm="1">
        <f t="array" ref="F3155">SUMPRODUCT((Tablo3[Şehirler]=E3155)*(Tablo3[Ürün Kar Tutarı]))</f>
        <v>0</v>
      </c>
      <c r="H3155" s="14"/>
      <c r="J3155" s="9" cm="1">
        <f t="array" ref="J3155">SUMPRODUCT((Tablo3[Urun Ad]=I3155)*(Tablo3[Ürün Kar Tutarı]))</f>
        <v>0</v>
      </c>
      <c r="L3155" s="37"/>
    </row>
    <row r="3156" spans="1:12" x14ac:dyDescent="0.25">
      <c r="A3156" s="13"/>
      <c r="B3156" s="9" cm="1">
        <f t="array" ref="B3156">SUMPRODUCT((Tablo3[Personel Ad]=A3156)*(Tablo3[Ürün Kar Tutarı]))</f>
        <v>0</v>
      </c>
      <c r="D3156" s="14"/>
      <c r="F3156" s="9" cm="1">
        <f t="array" ref="F3156">SUMPRODUCT((Tablo3[Şehirler]=E3156)*(Tablo3[Ürün Kar Tutarı]))</f>
        <v>0</v>
      </c>
      <c r="H3156" s="14"/>
      <c r="J3156" s="9" cm="1">
        <f t="array" ref="J3156">SUMPRODUCT((Tablo3[Urun Ad]=I3156)*(Tablo3[Ürün Kar Tutarı]))</f>
        <v>0</v>
      </c>
      <c r="L3156" s="37"/>
    </row>
    <row r="3157" spans="1:12" x14ac:dyDescent="0.25">
      <c r="A3157" s="13"/>
      <c r="B3157" s="9" cm="1">
        <f t="array" ref="B3157">SUMPRODUCT((Tablo3[Personel Ad]=A3157)*(Tablo3[Ürün Kar Tutarı]))</f>
        <v>0</v>
      </c>
      <c r="D3157" s="14"/>
      <c r="F3157" s="9" cm="1">
        <f t="array" ref="F3157">SUMPRODUCT((Tablo3[Şehirler]=E3157)*(Tablo3[Ürün Kar Tutarı]))</f>
        <v>0</v>
      </c>
      <c r="H3157" s="14"/>
      <c r="J3157" s="9" cm="1">
        <f t="array" ref="J3157">SUMPRODUCT((Tablo3[Urun Ad]=I3157)*(Tablo3[Ürün Kar Tutarı]))</f>
        <v>0</v>
      </c>
      <c r="L3157" s="37"/>
    </row>
    <row r="3158" spans="1:12" x14ac:dyDescent="0.25">
      <c r="A3158" s="13"/>
      <c r="B3158" s="9" cm="1">
        <f t="array" ref="B3158">SUMPRODUCT((Tablo3[Personel Ad]=A3158)*(Tablo3[Ürün Kar Tutarı]))</f>
        <v>0</v>
      </c>
      <c r="D3158" s="14"/>
      <c r="F3158" s="9" cm="1">
        <f t="array" ref="F3158">SUMPRODUCT((Tablo3[Şehirler]=E3158)*(Tablo3[Ürün Kar Tutarı]))</f>
        <v>0</v>
      </c>
      <c r="H3158" s="14"/>
      <c r="J3158" s="9" cm="1">
        <f t="array" ref="J3158">SUMPRODUCT((Tablo3[Urun Ad]=I3158)*(Tablo3[Ürün Kar Tutarı]))</f>
        <v>0</v>
      </c>
      <c r="L3158" s="37"/>
    </row>
    <row r="3159" spans="1:12" x14ac:dyDescent="0.25">
      <c r="A3159" s="13"/>
      <c r="B3159" s="9" cm="1">
        <f t="array" ref="B3159">SUMPRODUCT((Tablo3[Personel Ad]=A3159)*(Tablo3[Ürün Kar Tutarı]))</f>
        <v>0</v>
      </c>
      <c r="D3159" s="14"/>
      <c r="F3159" s="9" cm="1">
        <f t="array" ref="F3159">SUMPRODUCT((Tablo3[Şehirler]=E3159)*(Tablo3[Ürün Kar Tutarı]))</f>
        <v>0</v>
      </c>
      <c r="H3159" s="14"/>
      <c r="J3159" s="9" cm="1">
        <f t="array" ref="J3159">SUMPRODUCT((Tablo3[Urun Ad]=I3159)*(Tablo3[Ürün Kar Tutarı]))</f>
        <v>0</v>
      </c>
      <c r="L3159" s="37"/>
    </row>
    <row r="3160" spans="1:12" x14ac:dyDescent="0.25">
      <c r="A3160" s="13"/>
      <c r="B3160" s="9" cm="1">
        <f t="array" ref="B3160">SUMPRODUCT((Tablo3[Personel Ad]=A3160)*(Tablo3[Ürün Kar Tutarı]))</f>
        <v>0</v>
      </c>
      <c r="D3160" s="14"/>
      <c r="F3160" s="9" cm="1">
        <f t="array" ref="F3160">SUMPRODUCT((Tablo3[Şehirler]=E3160)*(Tablo3[Ürün Kar Tutarı]))</f>
        <v>0</v>
      </c>
      <c r="H3160" s="14"/>
      <c r="J3160" s="9" cm="1">
        <f t="array" ref="J3160">SUMPRODUCT((Tablo3[Urun Ad]=I3160)*(Tablo3[Ürün Kar Tutarı]))</f>
        <v>0</v>
      </c>
      <c r="L3160" s="37"/>
    </row>
    <row r="3161" spans="1:12" x14ac:dyDescent="0.25">
      <c r="A3161" s="13"/>
      <c r="B3161" s="9" cm="1">
        <f t="array" ref="B3161">SUMPRODUCT((Tablo3[Personel Ad]=A3161)*(Tablo3[Ürün Kar Tutarı]))</f>
        <v>0</v>
      </c>
      <c r="D3161" s="14"/>
      <c r="F3161" s="9" cm="1">
        <f t="array" ref="F3161">SUMPRODUCT((Tablo3[Şehirler]=E3161)*(Tablo3[Ürün Kar Tutarı]))</f>
        <v>0</v>
      </c>
      <c r="H3161" s="14"/>
      <c r="J3161" s="9" cm="1">
        <f t="array" ref="J3161">SUMPRODUCT((Tablo3[Urun Ad]=I3161)*(Tablo3[Ürün Kar Tutarı]))</f>
        <v>0</v>
      </c>
      <c r="L3161" s="37"/>
    </row>
    <row r="3162" spans="1:12" x14ac:dyDescent="0.25">
      <c r="A3162" s="13"/>
      <c r="B3162" s="9" cm="1">
        <f t="array" ref="B3162">SUMPRODUCT((Tablo3[Personel Ad]=A3162)*(Tablo3[Ürün Kar Tutarı]))</f>
        <v>0</v>
      </c>
      <c r="D3162" s="14"/>
      <c r="F3162" s="9" cm="1">
        <f t="array" ref="F3162">SUMPRODUCT((Tablo3[Şehirler]=E3162)*(Tablo3[Ürün Kar Tutarı]))</f>
        <v>0</v>
      </c>
      <c r="H3162" s="14"/>
      <c r="J3162" s="9" cm="1">
        <f t="array" ref="J3162">SUMPRODUCT((Tablo3[Urun Ad]=I3162)*(Tablo3[Ürün Kar Tutarı]))</f>
        <v>0</v>
      </c>
      <c r="L3162" s="37"/>
    </row>
    <row r="3163" spans="1:12" x14ac:dyDescent="0.25">
      <c r="A3163" s="13"/>
      <c r="B3163" s="9" cm="1">
        <f t="array" ref="B3163">SUMPRODUCT((Tablo3[Personel Ad]=A3163)*(Tablo3[Ürün Kar Tutarı]))</f>
        <v>0</v>
      </c>
      <c r="D3163" s="14"/>
      <c r="F3163" s="9" cm="1">
        <f t="array" ref="F3163">SUMPRODUCT((Tablo3[Şehirler]=E3163)*(Tablo3[Ürün Kar Tutarı]))</f>
        <v>0</v>
      </c>
      <c r="H3163" s="14"/>
      <c r="J3163" s="9" cm="1">
        <f t="array" ref="J3163">SUMPRODUCT((Tablo3[Urun Ad]=I3163)*(Tablo3[Ürün Kar Tutarı]))</f>
        <v>0</v>
      </c>
      <c r="L3163" s="37"/>
    </row>
    <row r="3164" spans="1:12" x14ac:dyDescent="0.25">
      <c r="A3164" s="13"/>
      <c r="B3164" s="9" cm="1">
        <f t="array" ref="B3164">SUMPRODUCT((Tablo3[Personel Ad]=A3164)*(Tablo3[Ürün Kar Tutarı]))</f>
        <v>0</v>
      </c>
      <c r="D3164" s="14"/>
      <c r="F3164" s="9" cm="1">
        <f t="array" ref="F3164">SUMPRODUCT((Tablo3[Şehirler]=E3164)*(Tablo3[Ürün Kar Tutarı]))</f>
        <v>0</v>
      </c>
      <c r="H3164" s="14"/>
      <c r="J3164" s="9" cm="1">
        <f t="array" ref="J3164">SUMPRODUCT((Tablo3[Urun Ad]=I3164)*(Tablo3[Ürün Kar Tutarı]))</f>
        <v>0</v>
      </c>
      <c r="L3164" s="37"/>
    </row>
    <row r="3165" spans="1:12" x14ac:dyDescent="0.25">
      <c r="A3165" s="13"/>
      <c r="B3165" s="9" cm="1">
        <f t="array" ref="B3165">SUMPRODUCT((Tablo3[Personel Ad]=A3165)*(Tablo3[Ürün Kar Tutarı]))</f>
        <v>0</v>
      </c>
      <c r="D3165" s="14"/>
      <c r="F3165" s="9" cm="1">
        <f t="array" ref="F3165">SUMPRODUCT((Tablo3[Şehirler]=E3165)*(Tablo3[Ürün Kar Tutarı]))</f>
        <v>0</v>
      </c>
      <c r="H3165" s="14"/>
      <c r="J3165" s="9" cm="1">
        <f t="array" ref="J3165">SUMPRODUCT((Tablo3[Urun Ad]=I3165)*(Tablo3[Ürün Kar Tutarı]))</f>
        <v>0</v>
      </c>
      <c r="L3165" s="37"/>
    </row>
    <row r="3166" spans="1:12" x14ac:dyDescent="0.25">
      <c r="A3166" s="13"/>
      <c r="B3166" s="9" cm="1">
        <f t="array" ref="B3166">SUMPRODUCT((Tablo3[Personel Ad]=A3166)*(Tablo3[Ürün Kar Tutarı]))</f>
        <v>0</v>
      </c>
      <c r="D3166" s="14"/>
      <c r="F3166" s="9" cm="1">
        <f t="array" ref="F3166">SUMPRODUCT((Tablo3[Şehirler]=E3166)*(Tablo3[Ürün Kar Tutarı]))</f>
        <v>0</v>
      </c>
      <c r="H3166" s="14"/>
      <c r="J3166" s="9" cm="1">
        <f t="array" ref="J3166">SUMPRODUCT((Tablo3[Urun Ad]=I3166)*(Tablo3[Ürün Kar Tutarı]))</f>
        <v>0</v>
      </c>
      <c r="L3166" s="37"/>
    </row>
    <row r="3167" spans="1:12" x14ac:dyDescent="0.25">
      <c r="A3167" s="13"/>
      <c r="B3167" s="9" cm="1">
        <f t="array" ref="B3167">SUMPRODUCT((Tablo3[Personel Ad]=A3167)*(Tablo3[Ürün Kar Tutarı]))</f>
        <v>0</v>
      </c>
      <c r="D3167" s="14"/>
      <c r="F3167" s="9" cm="1">
        <f t="array" ref="F3167">SUMPRODUCT((Tablo3[Şehirler]=E3167)*(Tablo3[Ürün Kar Tutarı]))</f>
        <v>0</v>
      </c>
      <c r="H3167" s="14"/>
      <c r="J3167" s="9" cm="1">
        <f t="array" ref="J3167">SUMPRODUCT((Tablo3[Urun Ad]=I3167)*(Tablo3[Ürün Kar Tutarı]))</f>
        <v>0</v>
      </c>
      <c r="L3167" s="37"/>
    </row>
    <row r="3168" spans="1:12" x14ac:dyDescent="0.25">
      <c r="A3168" s="13"/>
      <c r="B3168" s="9" cm="1">
        <f t="array" ref="B3168">SUMPRODUCT((Tablo3[Personel Ad]=A3168)*(Tablo3[Ürün Kar Tutarı]))</f>
        <v>0</v>
      </c>
      <c r="D3168" s="14"/>
      <c r="F3168" s="9" cm="1">
        <f t="array" ref="F3168">SUMPRODUCT((Tablo3[Şehirler]=E3168)*(Tablo3[Ürün Kar Tutarı]))</f>
        <v>0</v>
      </c>
      <c r="H3168" s="14"/>
      <c r="J3168" s="9" cm="1">
        <f t="array" ref="J3168">SUMPRODUCT((Tablo3[Urun Ad]=I3168)*(Tablo3[Ürün Kar Tutarı]))</f>
        <v>0</v>
      </c>
      <c r="L3168" s="37"/>
    </row>
    <row r="3169" spans="1:12" x14ac:dyDescent="0.25">
      <c r="A3169" s="13"/>
      <c r="B3169" s="9" cm="1">
        <f t="array" ref="B3169">SUMPRODUCT((Tablo3[Personel Ad]=A3169)*(Tablo3[Ürün Kar Tutarı]))</f>
        <v>0</v>
      </c>
      <c r="D3169" s="14"/>
      <c r="F3169" s="9" cm="1">
        <f t="array" ref="F3169">SUMPRODUCT((Tablo3[Şehirler]=E3169)*(Tablo3[Ürün Kar Tutarı]))</f>
        <v>0</v>
      </c>
      <c r="H3169" s="14"/>
      <c r="J3169" s="9" cm="1">
        <f t="array" ref="J3169">SUMPRODUCT((Tablo3[Urun Ad]=I3169)*(Tablo3[Ürün Kar Tutarı]))</f>
        <v>0</v>
      </c>
      <c r="L3169" s="37"/>
    </row>
    <row r="3170" spans="1:12" x14ac:dyDescent="0.25">
      <c r="A3170" s="13"/>
      <c r="B3170" s="9" cm="1">
        <f t="array" ref="B3170">SUMPRODUCT((Tablo3[Personel Ad]=A3170)*(Tablo3[Ürün Kar Tutarı]))</f>
        <v>0</v>
      </c>
      <c r="D3170" s="14"/>
      <c r="F3170" s="9" cm="1">
        <f t="array" ref="F3170">SUMPRODUCT((Tablo3[Şehirler]=E3170)*(Tablo3[Ürün Kar Tutarı]))</f>
        <v>0</v>
      </c>
      <c r="H3170" s="14"/>
      <c r="J3170" s="9" cm="1">
        <f t="array" ref="J3170">SUMPRODUCT((Tablo3[Urun Ad]=I3170)*(Tablo3[Ürün Kar Tutarı]))</f>
        <v>0</v>
      </c>
      <c r="L3170" s="37"/>
    </row>
    <row r="3171" spans="1:12" x14ac:dyDescent="0.25">
      <c r="A3171" s="13"/>
      <c r="B3171" s="9" cm="1">
        <f t="array" ref="B3171">SUMPRODUCT((Tablo3[Personel Ad]=A3171)*(Tablo3[Ürün Kar Tutarı]))</f>
        <v>0</v>
      </c>
      <c r="D3171" s="14"/>
      <c r="F3171" s="9" cm="1">
        <f t="array" ref="F3171">SUMPRODUCT((Tablo3[Şehirler]=E3171)*(Tablo3[Ürün Kar Tutarı]))</f>
        <v>0</v>
      </c>
      <c r="H3171" s="14"/>
      <c r="J3171" s="9" cm="1">
        <f t="array" ref="J3171">SUMPRODUCT((Tablo3[Urun Ad]=I3171)*(Tablo3[Ürün Kar Tutarı]))</f>
        <v>0</v>
      </c>
      <c r="L3171" s="37"/>
    </row>
    <row r="3172" spans="1:12" x14ac:dyDescent="0.25">
      <c r="A3172" s="13"/>
      <c r="B3172" s="9" cm="1">
        <f t="array" ref="B3172">SUMPRODUCT((Tablo3[Personel Ad]=A3172)*(Tablo3[Ürün Kar Tutarı]))</f>
        <v>0</v>
      </c>
      <c r="D3172" s="14"/>
      <c r="F3172" s="9" cm="1">
        <f t="array" ref="F3172">SUMPRODUCT((Tablo3[Şehirler]=E3172)*(Tablo3[Ürün Kar Tutarı]))</f>
        <v>0</v>
      </c>
      <c r="H3172" s="14"/>
      <c r="J3172" s="9" cm="1">
        <f t="array" ref="J3172">SUMPRODUCT((Tablo3[Urun Ad]=I3172)*(Tablo3[Ürün Kar Tutarı]))</f>
        <v>0</v>
      </c>
      <c r="L3172" s="37"/>
    </row>
    <row r="3173" spans="1:12" x14ac:dyDescent="0.25">
      <c r="A3173" s="13"/>
      <c r="B3173" s="9" cm="1">
        <f t="array" ref="B3173">SUMPRODUCT((Tablo3[Personel Ad]=A3173)*(Tablo3[Ürün Kar Tutarı]))</f>
        <v>0</v>
      </c>
      <c r="D3173" s="14"/>
      <c r="F3173" s="9" cm="1">
        <f t="array" ref="F3173">SUMPRODUCT((Tablo3[Şehirler]=E3173)*(Tablo3[Ürün Kar Tutarı]))</f>
        <v>0</v>
      </c>
      <c r="H3173" s="14"/>
      <c r="J3173" s="9" cm="1">
        <f t="array" ref="J3173">SUMPRODUCT((Tablo3[Urun Ad]=I3173)*(Tablo3[Ürün Kar Tutarı]))</f>
        <v>0</v>
      </c>
      <c r="L3173" s="37"/>
    </row>
    <row r="3174" spans="1:12" x14ac:dyDescent="0.25">
      <c r="A3174" s="13"/>
      <c r="B3174" s="9" cm="1">
        <f t="array" ref="B3174">SUMPRODUCT((Tablo3[Personel Ad]=A3174)*(Tablo3[Ürün Kar Tutarı]))</f>
        <v>0</v>
      </c>
      <c r="D3174" s="14"/>
      <c r="F3174" s="9" cm="1">
        <f t="array" ref="F3174">SUMPRODUCT((Tablo3[Şehirler]=E3174)*(Tablo3[Ürün Kar Tutarı]))</f>
        <v>0</v>
      </c>
      <c r="H3174" s="14"/>
      <c r="J3174" s="9" cm="1">
        <f t="array" ref="J3174">SUMPRODUCT((Tablo3[Urun Ad]=I3174)*(Tablo3[Ürün Kar Tutarı]))</f>
        <v>0</v>
      </c>
      <c r="L3174" s="37"/>
    </row>
    <row r="3175" spans="1:12" x14ac:dyDescent="0.25">
      <c r="A3175" s="13"/>
      <c r="B3175" s="9" cm="1">
        <f t="array" ref="B3175">SUMPRODUCT((Tablo3[Personel Ad]=A3175)*(Tablo3[Ürün Kar Tutarı]))</f>
        <v>0</v>
      </c>
      <c r="D3175" s="14"/>
      <c r="F3175" s="9" cm="1">
        <f t="array" ref="F3175">SUMPRODUCT((Tablo3[Şehirler]=E3175)*(Tablo3[Ürün Kar Tutarı]))</f>
        <v>0</v>
      </c>
      <c r="H3175" s="14"/>
      <c r="J3175" s="9" cm="1">
        <f t="array" ref="J3175">SUMPRODUCT((Tablo3[Urun Ad]=I3175)*(Tablo3[Ürün Kar Tutarı]))</f>
        <v>0</v>
      </c>
      <c r="L3175" s="37"/>
    </row>
    <row r="3176" spans="1:12" x14ac:dyDescent="0.25">
      <c r="A3176" s="13"/>
      <c r="B3176" s="9" cm="1">
        <f t="array" ref="B3176">SUMPRODUCT((Tablo3[Personel Ad]=A3176)*(Tablo3[Ürün Kar Tutarı]))</f>
        <v>0</v>
      </c>
      <c r="D3176" s="14"/>
      <c r="F3176" s="9" cm="1">
        <f t="array" ref="F3176">SUMPRODUCT((Tablo3[Şehirler]=E3176)*(Tablo3[Ürün Kar Tutarı]))</f>
        <v>0</v>
      </c>
      <c r="H3176" s="14"/>
      <c r="J3176" s="9" cm="1">
        <f t="array" ref="J3176">SUMPRODUCT((Tablo3[Urun Ad]=I3176)*(Tablo3[Ürün Kar Tutarı]))</f>
        <v>0</v>
      </c>
      <c r="L3176" s="37"/>
    </row>
    <row r="3177" spans="1:12" x14ac:dyDescent="0.25">
      <c r="A3177" s="13"/>
      <c r="B3177" s="9" cm="1">
        <f t="array" ref="B3177">SUMPRODUCT((Tablo3[Personel Ad]=A3177)*(Tablo3[Ürün Kar Tutarı]))</f>
        <v>0</v>
      </c>
      <c r="D3177" s="14"/>
      <c r="F3177" s="9" cm="1">
        <f t="array" ref="F3177">SUMPRODUCT((Tablo3[Şehirler]=E3177)*(Tablo3[Ürün Kar Tutarı]))</f>
        <v>0</v>
      </c>
      <c r="H3177" s="14"/>
      <c r="J3177" s="9" cm="1">
        <f t="array" ref="J3177">SUMPRODUCT((Tablo3[Urun Ad]=I3177)*(Tablo3[Ürün Kar Tutarı]))</f>
        <v>0</v>
      </c>
      <c r="L3177" s="37"/>
    </row>
    <row r="3178" spans="1:12" x14ac:dyDescent="0.25">
      <c r="A3178" s="13"/>
      <c r="B3178" s="9" cm="1">
        <f t="array" ref="B3178">SUMPRODUCT((Tablo3[Personel Ad]=A3178)*(Tablo3[Ürün Kar Tutarı]))</f>
        <v>0</v>
      </c>
      <c r="D3178" s="14"/>
      <c r="F3178" s="9" cm="1">
        <f t="array" ref="F3178">SUMPRODUCT((Tablo3[Şehirler]=E3178)*(Tablo3[Ürün Kar Tutarı]))</f>
        <v>0</v>
      </c>
      <c r="H3178" s="14"/>
      <c r="J3178" s="9" cm="1">
        <f t="array" ref="J3178">SUMPRODUCT((Tablo3[Urun Ad]=I3178)*(Tablo3[Ürün Kar Tutarı]))</f>
        <v>0</v>
      </c>
      <c r="L3178" s="37"/>
    </row>
    <row r="3179" spans="1:12" x14ac:dyDescent="0.25">
      <c r="A3179" s="13"/>
      <c r="B3179" s="9" cm="1">
        <f t="array" ref="B3179">SUMPRODUCT((Tablo3[Personel Ad]=A3179)*(Tablo3[Ürün Kar Tutarı]))</f>
        <v>0</v>
      </c>
      <c r="D3179" s="14"/>
      <c r="F3179" s="9" cm="1">
        <f t="array" ref="F3179">SUMPRODUCT((Tablo3[Şehirler]=E3179)*(Tablo3[Ürün Kar Tutarı]))</f>
        <v>0</v>
      </c>
      <c r="H3179" s="14"/>
      <c r="J3179" s="9" cm="1">
        <f t="array" ref="J3179">SUMPRODUCT((Tablo3[Urun Ad]=I3179)*(Tablo3[Ürün Kar Tutarı]))</f>
        <v>0</v>
      </c>
      <c r="L3179" s="37"/>
    </row>
    <row r="3180" spans="1:12" x14ac:dyDescent="0.25">
      <c r="A3180" s="13"/>
      <c r="B3180" s="9" cm="1">
        <f t="array" ref="B3180">SUMPRODUCT((Tablo3[Personel Ad]=A3180)*(Tablo3[Ürün Kar Tutarı]))</f>
        <v>0</v>
      </c>
      <c r="D3180" s="14"/>
      <c r="F3180" s="9" cm="1">
        <f t="array" ref="F3180">SUMPRODUCT((Tablo3[Şehirler]=E3180)*(Tablo3[Ürün Kar Tutarı]))</f>
        <v>0</v>
      </c>
      <c r="H3180" s="14"/>
      <c r="J3180" s="9" cm="1">
        <f t="array" ref="J3180">SUMPRODUCT((Tablo3[Urun Ad]=I3180)*(Tablo3[Ürün Kar Tutarı]))</f>
        <v>0</v>
      </c>
      <c r="L3180" s="37"/>
    </row>
    <row r="3181" spans="1:12" x14ac:dyDescent="0.25">
      <c r="A3181" s="13"/>
      <c r="B3181" s="9" cm="1">
        <f t="array" ref="B3181">SUMPRODUCT((Tablo3[Personel Ad]=A3181)*(Tablo3[Ürün Kar Tutarı]))</f>
        <v>0</v>
      </c>
      <c r="D3181" s="14"/>
      <c r="F3181" s="9" cm="1">
        <f t="array" ref="F3181">SUMPRODUCT((Tablo3[Şehirler]=E3181)*(Tablo3[Ürün Kar Tutarı]))</f>
        <v>0</v>
      </c>
      <c r="H3181" s="14"/>
      <c r="J3181" s="9" cm="1">
        <f t="array" ref="J3181">SUMPRODUCT((Tablo3[Urun Ad]=I3181)*(Tablo3[Ürün Kar Tutarı]))</f>
        <v>0</v>
      </c>
      <c r="L3181" s="37"/>
    </row>
    <row r="3182" spans="1:12" x14ac:dyDescent="0.25">
      <c r="A3182" s="13"/>
      <c r="B3182" s="9" cm="1">
        <f t="array" ref="B3182">SUMPRODUCT((Tablo3[Personel Ad]=A3182)*(Tablo3[Ürün Kar Tutarı]))</f>
        <v>0</v>
      </c>
      <c r="D3182" s="14"/>
      <c r="F3182" s="9" cm="1">
        <f t="array" ref="F3182">SUMPRODUCT((Tablo3[Şehirler]=E3182)*(Tablo3[Ürün Kar Tutarı]))</f>
        <v>0</v>
      </c>
      <c r="H3182" s="14"/>
      <c r="J3182" s="9" cm="1">
        <f t="array" ref="J3182">SUMPRODUCT((Tablo3[Urun Ad]=I3182)*(Tablo3[Ürün Kar Tutarı]))</f>
        <v>0</v>
      </c>
      <c r="L3182" s="37"/>
    </row>
    <row r="3183" spans="1:12" x14ac:dyDescent="0.25">
      <c r="A3183" s="13"/>
      <c r="B3183" s="9" cm="1">
        <f t="array" ref="B3183">SUMPRODUCT((Tablo3[Personel Ad]=A3183)*(Tablo3[Ürün Kar Tutarı]))</f>
        <v>0</v>
      </c>
      <c r="D3183" s="14"/>
      <c r="F3183" s="9" cm="1">
        <f t="array" ref="F3183">SUMPRODUCT((Tablo3[Şehirler]=E3183)*(Tablo3[Ürün Kar Tutarı]))</f>
        <v>0</v>
      </c>
      <c r="H3183" s="14"/>
      <c r="J3183" s="9" cm="1">
        <f t="array" ref="J3183">SUMPRODUCT((Tablo3[Urun Ad]=I3183)*(Tablo3[Ürün Kar Tutarı]))</f>
        <v>0</v>
      </c>
      <c r="L3183" s="37"/>
    </row>
    <row r="3184" spans="1:12" x14ac:dyDescent="0.25">
      <c r="A3184" s="13"/>
      <c r="B3184" s="9" cm="1">
        <f t="array" ref="B3184">SUMPRODUCT((Tablo3[Personel Ad]=A3184)*(Tablo3[Ürün Kar Tutarı]))</f>
        <v>0</v>
      </c>
      <c r="D3184" s="14"/>
      <c r="F3184" s="9" cm="1">
        <f t="array" ref="F3184">SUMPRODUCT((Tablo3[Şehirler]=E3184)*(Tablo3[Ürün Kar Tutarı]))</f>
        <v>0</v>
      </c>
      <c r="H3184" s="14"/>
      <c r="J3184" s="9" cm="1">
        <f t="array" ref="J3184">SUMPRODUCT((Tablo3[Urun Ad]=I3184)*(Tablo3[Ürün Kar Tutarı]))</f>
        <v>0</v>
      </c>
      <c r="L3184" s="37"/>
    </row>
    <row r="3185" spans="1:12" x14ac:dyDescent="0.25">
      <c r="A3185" s="13"/>
      <c r="B3185" s="9" cm="1">
        <f t="array" ref="B3185">SUMPRODUCT((Tablo3[Personel Ad]=A3185)*(Tablo3[Ürün Kar Tutarı]))</f>
        <v>0</v>
      </c>
      <c r="D3185" s="14"/>
      <c r="F3185" s="9" cm="1">
        <f t="array" ref="F3185">SUMPRODUCT((Tablo3[Şehirler]=E3185)*(Tablo3[Ürün Kar Tutarı]))</f>
        <v>0</v>
      </c>
      <c r="H3185" s="14"/>
      <c r="J3185" s="9" cm="1">
        <f t="array" ref="J3185">SUMPRODUCT((Tablo3[Urun Ad]=I3185)*(Tablo3[Ürün Kar Tutarı]))</f>
        <v>0</v>
      </c>
      <c r="L3185" s="37"/>
    </row>
    <row r="3186" spans="1:12" x14ac:dyDescent="0.25">
      <c r="A3186" s="13"/>
      <c r="B3186" s="9" cm="1">
        <f t="array" ref="B3186">SUMPRODUCT((Tablo3[Personel Ad]=A3186)*(Tablo3[Ürün Kar Tutarı]))</f>
        <v>0</v>
      </c>
      <c r="D3186" s="14"/>
      <c r="F3186" s="9" cm="1">
        <f t="array" ref="F3186">SUMPRODUCT((Tablo3[Şehirler]=E3186)*(Tablo3[Ürün Kar Tutarı]))</f>
        <v>0</v>
      </c>
      <c r="H3186" s="14"/>
      <c r="J3186" s="9" cm="1">
        <f t="array" ref="J3186">SUMPRODUCT((Tablo3[Urun Ad]=I3186)*(Tablo3[Ürün Kar Tutarı]))</f>
        <v>0</v>
      </c>
      <c r="L3186" s="37"/>
    </row>
    <row r="3187" spans="1:12" x14ac:dyDescent="0.25">
      <c r="A3187" s="13"/>
      <c r="B3187" s="9" cm="1">
        <f t="array" ref="B3187">SUMPRODUCT((Tablo3[Personel Ad]=A3187)*(Tablo3[Ürün Kar Tutarı]))</f>
        <v>0</v>
      </c>
      <c r="D3187" s="14"/>
      <c r="F3187" s="9" cm="1">
        <f t="array" ref="F3187">SUMPRODUCT((Tablo3[Şehirler]=E3187)*(Tablo3[Ürün Kar Tutarı]))</f>
        <v>0</v>
      </c>
      <c r="H3187" s="14"/>
      <c r="J3187" s="9" cm="1">
        <f t="array" ref="J3187">SUMPRODUCT((Tablo3[Urun Ad]=I3187)*(Tablo3[Ürün Kar Tutarı]))</f>
        <v>0</v>
      </c>
      <c r="L3187" s="37"/>
    </row>
    <row r="3188" spans="1:12" x14ac:dyDescent="0.25">
      <c r="A3188" s="13"/>
      <c r="B3188" s="9" cm="1">
        <f t="array" ref="B3188">SUMPRODUCT((Tablo3[Personel Ad]=A3188)*(Tablo3[Ürün Kar Tutarı]))</f>
        <v>0</v>
      </c>
      <c r="D3188" s="14"/>
      <c r="F3188" s="9" cm="1">
        <f t="array" ref="F3188">SUMPRODUCT((Tablo3[Şehirler]=E3188)*(Tablo3[Ürün Kar Tutarı]))</f>
        <v>0</v>
      </c>
      <c r="H3188" s="14"/>
      <c r="J3188" s="9" cm="1">
        <f t="array" ref="J3188">SUMPRODUCT((Tablo3[Urun Ad]=I3188)*(Tablo3[Ürün Kar Tutarı]))</f>
        <v>0</v>
      </c>
      <c r="L3188" s="37"/>
    </row>
    <row r="3189" spans="1:12" x14ac:dyDescent="0.25">
      <c r="A3189" s="13"/>
      <c r="B3189" s="9" cm="1">
        <f t="array" ref="B3189">SUMPRODUCT((Tablo3[Personel Ad]=A3189)*(Tablo3[Ürün Kar Tutarı]))</f>
        <v>0</v>
      </c>
      <c r="D3189" s="14"/>
      <c r="F3189" s="9" cm="1">
        <f t="array" ref="F3189">SUMPRODUCT((Tablo3[Şehirler]=E3189)*(Tablo3[Ürün Kar Tutarı]))</f>
        <v>0</v>
      </c>
      <c r="H3189" s="14"/>
      <c r="J3189" s="9" cm="1">
        <f t="array" ref="J3189">SUMPRODUCT((Tablo3[Urun Ad]=I3189)*(Tablo3[Ürün Kar Tutarı]))</f>
        <v>0</v>
      </c>
      <c r="L3189" s="37"/>
    </row>
    <row r="3190" spans="1:12" ht="15.75" thickBot="1" x14ac:dyDescent="0.3">
      <c r="A3190" s="36"/>
      <c r="B3190" s="40" cm="1">
        <f t="array" ref="B3190">SUMPRODUCT((Tablo3[Personel Ad]=A3190)*(Tablo3[Ürün Kar Tutarı]))</f>
        <v>0</v>
      </c>
      <c r="C3190" s="15"/>
      <c r="D3190" s="16"/>
      <c r="E3190" s="36"/>
      <c r="F3190" s="40" cm="1">
        <f t="array" ref="F3190">SUMPRODUCT((Tablo3[Şehirler]=E3190)*(Tablo3[Ürün Kar Tutarı]))</f>
        <v>0</v>
      </c>
      <c r="G3190" s="15"/>
      <c r="H3190" s="16"/>
      <c r="I3190" s="36"/>
      <c r="J3190" s="40" cm="1">
        <f t="array" ref="J3190">SUMPRODUCT((Tablo3[Urun Ad]=I3190)*(Tablo3[Ürün Kar Tutarı]))</f>
        <v>0</v>
      </c>
      <c r="K3190" s="15"/>
      <c r="L3190" s="38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790D-EA9D-41AF-888E-EB5F57CCE175}">
  <dimension ref="A1:H2890"/>
  <sheetViews>
    <sheetView topLeftCell="A2881" workbookViewId="0">
      <selection activeCell="B2896" sqref="B2896"/>
    </sheetView>
  </sheetViews>
  <sheetFormatPr defaultColWidth="18.42578125" defaultRowHeight="15" x14ac:dyDescent="0.25"/>
  <cols>
    <col min="1" max="1" width="17.28515625" customWidth="1"/>
    <col min="2" max="2" width="25.5703125" bestFit="1" customWidth="1"/>
    <col min="3" max="4" width="14.28515625" customWidth="1"/>
    <col min="5" max="5" width="23.5703125" customWidth="1"/>
    <col min="6" max="6" width="17.7109375" customWidth="1"/>
    <col min="7" max="7" width="14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</v>
      </c>
      <c r="D2" s="9">
        <v>6000</v>
      </c>
      <c r="E2" s="9">
        <f>+Tablo3[[#This Row],[Birim Fiyat]]*Tablo3[[#This Row],[Satış Adet]]</f>
        <v>12000</v>
      </c>
      <c r="F2" s="9">
        <v>4000</v>
      </c>
      <c r="G2" t="s">
        <v>10</v>
      </c>
      <c r="H2" t="s">
        <v>11</v>
      </c>
    </row>
    <row r="3" spans="1:8" x14ac:dyDescent="0.25">
      <c r="A3" t="s">
        <v>12</v>
      </c>
      <c r="B3" t="s">
        <v>13</v>
      </c>
      <c r="C3">
        <v>2</v>
      </c>
      <c r="D3" s="9">
        <v>1400</v>
      </c>
      <c r="E3" s="9">
        <f>+Tablo3[[#This Row],[Birim Fiyat]]*Tablo3[[#This Row],[Satış Adet]]</f>
        <v>2800</v>
      </c>
      <c r="F3" s="9">
        <v>1200</v>
      </c>
      <c r="G3" t="s">
        <v>10</v>
      </c>
      <c r="H3" t="s">
        <v>14</v>
      </c>
    </row>
    <row r="4" spans="1:8" x14ac:dyDescent="0.25">
      <c r="A4" t="s">
        <v>15</v>
      </c>
      <c r="B4" t="s">
        <v>16</v>
      </c>
      <c r="C4">
        <v>2</v>
      </c>
      <c r="D4" s="9">
        <v>8450</v>
      </c>
      <c r="E4" s="9">
        <f>+Tablo3[[#This Row],[Birim Fiyat]]*Tablo3[[#This Row],[Satış Adet]]</f>
        <v>16900</v>
      </c>
      <c r="F4" s="9">
        <v>4900</v>
      </c>
      <c r="G4" t="s">
        <v>10</v>
      </c>
      <c r="H4" t="s">
        <v>17</v>
      </c>
    </row>
    <row r="5" spans="1:8" x14ac:dyDescent="0.25">
      <c r="A5" t="s">
        <v>18</v>
      </c>
      <c r="B5" t="s">
        <v>19</v>
      </c>
      <c r="C5">
        <v>3</v>
      </c>
      <c r="D5" s="9">
        <v>1350</v>
      </c>
      <c r="E5" s="9">
        <f>+Tablo3[[#This Row],[Birim Fiyat]]*Tablo3[[#This Row],[Satış Adet]]</f>
        <v>4050</v>
      </c>
      <c r="F5" s="9">
        <v>1650</v>
      </c>
      <c r="G5" t="s">
        <v>10</v>
      </c>
      <c r="H5" t="s">
        <v>20</v>
      </c>
    </row>
    <row r="6" spans="1:8" x14ac:dyDescent="0.25">
      <c r="A6" t="s">
        <v>8</v>
      </c>
      <c r="B6" t="s">
        <v>21</v>
      </c>
      <c r="C6">
        <v>2</v>
      </c>
      <c r="D6" s="9">
        <v>2180</v>
      </c>
      <c r="E6" s="9">
        <f>+Tablo3[[#This Row],[Birim Fiyat]]*Tablo3[[#This Row],[Satış Adet]]</f>
        <v>4360</v>
      </c>
      <c r="F6" s="9">
        <v>1360</v>
      </c>
      <c r="G6" t="s">
        <v>10</v>
      </c>
      <c r="H6" t="s">
        <v>17</v>
      </c>
    </row>
    <row r="7" spans="1:8" x14ac:dyDescent="0.25">
      <c r="A7" t="s">
        <v>22</v>
      </c>
      <c r="B7" t="s">
        <v>23</v>
      </c>
      <c r="C7">
        <v>2</v>
      </c>
      <c r="D7" s="9">
        <v>7600</v>
      </c>
      <c r="E7" s="9">
        <f>+Tablo3[[#This Row],[Birim Fiyat]]*Tablo3[[#This Row],[Satış Adet]]</f>
        <v>15200</v>
      </c>
      <c r="F7" s="9">
        <v>3200</v>
      </c>
      <c r="G7" t="s">
        <v>10</v>
      </c>
      <c r="H7" t="s">
        <v>24</v>
      </c>
    </row>
    <row r="8" spans="1:8" x14ac:dyDescent="0.25">
      <c r="A8" t="s">
        <v>12</v>
      </c>
      <c r="B8" t="s">
        <v>25</v>
      </c>
      <c r="C8">
        <v>2</v>
      </c>
      <c r="D8" s="9">
        <v>7250</v>
      </c>
      <c r="E8" s="9">
        <f>+Tablo3[[#This Row],[Birim Fiyat]]*Tablo3[[#This Row],[Satış Adet]]</f>
        <v>14500</v>
      </c>
      <c r="F8" s="9">
        <v>4500</v>
      </c>
      <c r="G8" t="s">
        <v>10</v>
      </c>
      <c r="H8" t="s">
        <v>17</v>
      </c>
    </row>
    <row r="9" spans="1:8" x14ac:dyDescent="0.25">
      <c r="A9" t="s">
        <v>18</v>
      </c>
      <c r="B9" t="s">
        <v>26</v>
      </c>
      <c r="C9">
        <v>3</v>
      </c>
      <c r="D9" s="9">
        <v>1100</v>
      </c>
      <c r="E9" s="9">
        <f>+Tablo3[[#This Row],[Birim Fiyat]]*Tablo3[[#This Row],[Satış Adet]]</f>
        <v>3300</v>
      </c>
      <c r="F9" s="9">
        <v>900</v>
      </c>
      <c r="G9" t="s">
        <v>10</v>
      </c>
      <c r="H9" t="s">
        <v>27</v>
      </c>
    </row>
    <row r="10" spans="1:8" x14ac:dyDescent="0.25">
      <c r="A10" t="s">
        <v>67</v>
      </c>
      <c r="B10" t="s">
        <v>9</v>
      </c>
      <c r="C10">
        <v>2</v>
      </c>
      <c r="D10" s="9">
        <v>6000</v>
      </c>
      <c r="E10" s="9">
        <f>+Tablo3[[#This Row],[Birim Fiyat]]*Tablo3[[#This Row],[Satış Adet]]</f>
        <v>12000</v>
      </c>
      <c r="F10" s="9">
        <v>4000</v>
      </c>
      <c r="G10" t="s">
        <v>10</v>
      </c>
      <c r="H10" t="s">
        <v>14</v>
      </c>
    </row>
    <row r="11" spans="1:8" x14ac:dyDescent="0.25">
      <c r="A11" t="s">
        <v>8</v>
      </c>
      <c r="B11" t="s">
        <v>28</v>
      </c>
      <c r="C11">
        <v>1</v>
      </c>
      <c r="D11" s="9">
        <v>1200</v>
      </c>
      <c r="E11" s="9">
        <f>+Tablo3[[#This Row],[Birim Fiyat]]*Tablo3[[#This Row],[Satış Adet]]</f>
        <v>1200</v>
      </c>
      <c r="F11" s="9">
        <v>400</v>
      </c>
      <c r="G11" t="s">
        <v>10</v>
      </c>
      <c r="H11" t="s">
        <v>29</v>
      </c>
    </row>
    <row r="12" spans="1:8" x14ac:dyDescent="0.25">
      <c r="A12" t="s">
        <v>30</v>
      </c>
      <c r="B12" t="s">
        <v>31</v>
      </c>
      <c r="C12">
        <v>2</v>
      </c>
      <c r="D12" s="9">
        <v>1800</v>
      </c>
      <c r="E12" s="9">
        <f>+Tablo3[[#This Row],[Birim Fiyat]]*Tablo3[[#This Row],[Satış Adet]]</f>
        <v>3600</v>
      </c>
      <c r="F12" s="9">
        <v>2000</v>
      </c>
      <c r="G12" t="s">
        <v>10</v>
      </c>
      <c r="H12" t="s">
        <v>20</v>
      </c>
    </row>
    <row r="13" spans="1:8" x14ac:dyDescent="0.25">
      <c r="A13" t="s">
        <v>30</v>
      </c>
      <c r="B13" t="s">
        <v>32</v>
      </c>
      <c r="C13">
        <v>2</v>
      </c>
      <c r="D13" s="9">
        <v>1090</v>
      </c>
      <c r="E13" s="9">
        <f>+Tablo3[[#This Row],[Birim Fiyat]]*Tablo3[[#This Row],[Satış Adet]]</f>
        <v>2180</v>
      </c>
      <c r="F13" s="9">
        <v>580</v>
      </c>
      <c r="G13" t="s">
        <v>10</v>
      </c>
      <c r="H13" t="s">
        <v>11</v>
      </c>
    </row>
    <row r="14" spans="1:8" x14ac:dyDescent="0.25">
      <c r="A14" t="s">
        <v>67</v>
      </c>
      <c r="B14" t="s">
        <v>21</v>
      </c>
      <c r="C14">
        <v>3</v>
      </c>
      <c r="D14" s="9">
        <v>2180</v>
      </c>
      <c r="E14" s="9">
        <f>+Tablo3[[#This Row],[Birim Fiyat]]*Tablo3[[#This Row],[Satış Adet]]</f>
        <v>6540</v>
      </c>
      <c r="F14" s="9">
        <v>2040</v>
      </c>
      <c r="G14" t="s">
        <v>10</v>
      </c>
      <c r="H14" t="s">
        <v>27</v>
      </c>
    </row>
    <row r="15" spans="1:8" x14ac:dyDescent="0.25">
      <c r="A15" t="s">
        <v>33</v>
      </c>
      <c r="B15" t="s">
        <v>31</v>
      </c>
      <c r="C15">
        <v>3</v>
      </c>
      <c r="D15" s="9">
        <v>1800</v>
      </c>
      <c r="E15" s="9">
        <f>+Tablo3[[#This Row],[Birim Fiyat]]*Tablo3[[#This Row],[Satış Adet]]</f>
        <v>5400</v>
      </c>
      <c r="F15" s="9">
        <v>3000</v>
      </c>
      <c r="G15" t="s">
        <v>10</v>
      </c>
      <c r="H15" t="s">
        <v>20</v>
      </c>
    </row>
    <row r="16" spans="1:8" x14ac:dyDescent="0.25">
      <c r="A16" t="s">
        <v>22</v>
      </c>
      <c r="B16" t="s">
        <v>34</v>
      </c>
      <c r="C16">
        <v>3</v>
      </c>
      <c r="D16" s="9">
        <v>8000</v>
      </c>
      <c r="E16" s="9">
        <f>+Tablo3[[#This Row],[Birim Fiyat]]*Tablo3[[#This Row],[Satış Adet]]</f>
        <v>24000</v>
      </c>
      <c r="F16" s="9">
        <v>6000</v>
      </c>
      <c r="G16" t="s">
        <v>10</v>
      </c>
      <c r="H16" t="s">
        <v>35</v>
      </c>
    </row>
    <row r="17" spans="1:8" x14ac:dyDescent="0.25">
      <c r="A17" t="s">
        <v>67</v>
      </c>
      <c r="B17" t="s">
        <v>13</v>
      </c>
      <c r="C17">
        <v>1</v>
      </c>
      <c r="D17" s="9">
        <v>1400</v>
      </c>
      <c r="E17" s="9">
        <f>+Tablo3[[#This Row],[Birim Fiyat]]*Tablo3[[#This Row],[Satış Adet]]</f>
        <v>1400</v>
      </c>
      <c r="F17" s="9">
        <v>600</v>
      </c>
      <c r="G17" t="s">
        <v>10</v>
      </c>
      <c r="H17" t="s">
        <v>20</v>
      </c>
    </row>
    <row r="18" spans="1:8" x14ac:dyDescent="0.25">
      <c r="A18" t="s">
        <v>36</v>
      </c>
      <c r="B18" t="s">
        <v>37</v>
      </c>
      <c r="C18">
        <v>1</v>
      </c>
      <c r="D18" s="9">
        <v>10590</v>
      </c>
      <c r="E18" s="9">
        <f>+Tablo3[[#This Row],[Birim Fiyat]]*Tablo3[[#This Row],[Satış Adet]]</f>
        <v>10590</v>
      </c>
      <c r="F18" s="9">
        <v>4590</v>
      </c>
      <c r="G18" t="s">
        <v>10</v>
      </c>
      <c r="H18" t="s">
        <v>35</v>
      </c>
    </row>
    <row r="19" spans="1:8" x14ac:dyDescent="0.25">
      <c r="A19" t="s">
        <v>38</v>
      </c>
      <c r="B19" t="s">
        <v>19</v>
      </c>
      <c r="C19">
        <v>2</v>
      </c>
      <c r="D19" s="9">
        <v>1350</v>
      </c>
      <c r="E19" s="9">
        <f>+Tablo3[[#This Row],[Birim Fiyat]]*Tablo3[[#This Row],[Satış Adet]]</f>
        <v>2700</v>
      </c>
      <c r="F19" s="9">
        <v>1100</v>
      </c>
      <c r="G19" t="s">
        <v>10</v>
      </c>
      <c r="H19" t="s">
        <v>29</v>
      </c>
    </row>
    <row r="20" spans="1:8" x14ac:dyDescent="0.25">
      <c r="A20" t="s">
        <v>30</v>
      </c>
      <c r="B20" t="s">
        <v>13</v>
      </c>
      <c r="C20">
        <v>2</v>
      </c>
      <c r="D20" s="9">
        <v>1400</v>
      </c>
      <c r="E20" s="9">
        <f>+Tablo3[[#This Row],[Birim Fiyat]]*Tablo3[[#This Row],[Satış Adet]]</f>
        <v>2800</v>
      </c>
      <c r="F20" s="9">
        <v>1200</v>
      </c>
      <c r="G20" t="s">
        <v>10</v>
      </c>
      <c r="H20" t="s">
        <v>11</v>
      </c>
    </row>
    <row r="21" spans="1:8" x14ac:dyDescent="0.25">
      <c r="A21" t="s">
        <v>18</v>
      </c>
      <c r="B21" t="s">
        <v>9</v>
      </c>
      <c r="C21">
        <v>1</v>
      </c>
      <c r="D21" s="9">
        <v>6000</v>
      </c>
      <c r="E21" s="9">
        <f>+Tablo3[[#This Row],[Birim Fiyat]]*Tablo3[[#This Row],[Satış Adet]]</f>
        <v>6000</v>
      </c>
      <c r="F21" s="9">
        <v>2000</v>
      </c>
      <c r="G21" t="s">
        <v>10</v>
      </c>
      <c r="H21" t="s">
        <v>39</v>
      </c>
    </row>
    <row r="22" spans="1:8" x14ac:dyDescent="0.25">
      <c r="A22" t="s">
        <v>36</v>
      </c>
      <c r="B22" t="s">
        <v>26</v>
      </c>
      <c r="C22">
        <v>2</v>
      </c>
      <c r="D22" s="9">
        <v>1100</v>
      </c>
      <c r="E22" s="9">
        <f>+Tablo3[[#This Row],[Birim Fiyat]]*Tablo3[[#This Row],[Satış Adet]]</f>
        <v>2200</v>
      </c>
      <c r="F22" s="9">
        <v>600</v>
      </c>
      <c r="G22" t="s">
        <v>10</v>
      </c>
      <c r="H22" t="s">
        <v>35</v>
      </c>
    </row>
    <row r="23" spans="1:8" x14ac:dyDescent="0.25">
      <c r="A23" t="s">
        <v>15</v>
      </c>
      <c r="B23" t="s">
        <v>9</v>
      </c>
      <c r="C23">
        <v>2</v>
      </c>
      <c r="D23" s="9">
        <v>6000</v>
      </c>
      <c r="E23" s="9">
        <f>+Tablo3[[#This Row],[Birim Fiyat]]*Tablo3[[#This Row],[Satış Adet]]</f>
        <v>12000</v>
      </c>
      <c r="F23" s="9">
        <v>4000</v>
      </c>
      <c r="G23" t="s">
        <v>10</v>
      </c>
      <c r="H23" t="s">
        <v>40</v>
      </c>
    </row>
    <row r="24" spans="1:8" x14ac:dyDescent="0.25">
      <c r="A24" t="s">
        <v>38</v>
      </c>
      <c r="B24" t="s">
        <v>41</v>
      </c>
      <c r="C24">
        <v>1</v>
      </c>
      <c r="D24" s="9">
        <v>1490</v>
      </c>
      <c r="E24" s="9">
        <f>+Tablo3[[#This Row],[Birim Fiyat]]*Tablo3[[#This Row],[Satış Adet]]</f>
        <v>1490</v>
      </c>
      <c r="F24" s="9">
        <v>690</v>
      </c>
      <c r="G24" t="s">
        <v>10</v>
      </c>
      <c r="H24" t="s">
        <v>11</v>
      </c>
    </row>
    <row r="25" spans="1:8" x14ac:dyDescent="0.25">
      <c r="A25" t="s">
        <v>36</v>
      </c>
      <c r="B25" t="s">
        <v>37</v>
      </c>
      <c r="C25">
        <v>2</v>
      </c>
      <c r="D25" s="9">
        <v>10590</v>
      </c>
      <c r="E25" s="9">
        <f>+Tablo3[[#This Row],[Birim Fiyat]]*Tablo3[[#This Row],[Satış Adet]]</f>
        <v>21180</v>
      </c>
      <c r="F25" s="9">
        <v>9180</v>
      </c>
      <c r="G25" t="s">
        <v>10</v>
      </c>
      <c r="H25" t="s">
        <v>40</v>
      </c>
    </row>
    <row r="26" spans="1:8" x14ac:dyDescent="0.25">
      <c r="A26" t="s">
        <v>15</v>
      </c>
      <c r="B26" t="s">
        <v>34</v>
      </c>
      <c r="C26">
        <v>3</v>
      </c>
      <c r="D26" s="9">
        <v>8000</v>
      </c>
      <c r="E26" s="9">
        <f>+Tablo3[[#This Row],[Birim Fiyat]]*Tablo3[[#This Row],[Satış Adet]]</f>
        <v>24000</v>
      </c>
      <c r="F26" s="9">
        <v>6000</v>
      </c>
      <c r="G26" t="s">
        <v>10</v>
      </c>
      <c r="H26" t="s">
        <v>14</v>
      </c>
    </row>
    <row r="27" spans="1:8" x14ac:dyDescent="0.25">
      <c r="A27" t="s">
        <v>30</v>
      </c>
      <c r="B27" t="s">
        <v>26</v>
      </c>
      <c r="C27">
        <v>1</v>
      </c>
      <c r="D27" s="9">
        <v>1100</v>
      </c>
      <c r="E27" s="9">
        <f>+Tablo3[[#This Row],[Birim Fiyat]]*Tablo3[[#This Row],[Satış Adet]]</f>
        <v>1100</v>
      </c>
      <c r="F27" s="9">
        <v>300</v>
      </c>
      <c r="G27" t="s">
        <v>10</v>
      </c>
      <c r="H27" t="s">
        <v>42</v>
      </c>
    </row>
    <row r="28" spans="1:8" x14ac:dyDescent="0.25">
      <c r="A28" t="s">
        <v>38</v>
      </c>
      <c r="B28" t="s">
        <v>28</v>
      </c>
      <c r="C28">
        <v>1</v>
      </c>
      <c r="D28" s="9">
        <v>1200</v>
      </c>
      <c r="E28" s="9">
        <f>+Tablo3[[#This Row],[Birim Fiyat]]*Tablo3[[#This Row],[Satış Adet]]</f>
        <v>1200</v>
      </c>
      <c r="F28" s="9">
        <v>400</v>
      </c>
      <c r="G28" t="s">
        <v>10</v>
      </c>
      <c r="H28" t="s">
        <v>27</v>
      </c>
    </row>
    <row r="29" spans="1:8" x14ac:dyDescent="0.25">
      <c r="A29" t="s">
        <v>22</v>
      </c>
      <c r="B29" t="s">
        <v>43</v>
      </c>
      <c r="C29">
        <v>2</v>
      </c>
      <c r="D29" s="9">
        <v>4200</v>
      </c>
      <c r="E29" s="9">
        <f>+Tablo3[[#This Row],[Birim Fiyat]]*Tablo3[[#This Row],[Satış Adet]]</f>
        <v>8400</v>
      </c>
      <c r="F29" s="9">
        <v>2400</v>
      </c>
      <c r="G29" t="s">
        <v>10</v>
      </c>
      <c r="H29" t="s">
        <v>44</v>
      </c>
    </row>
    <row r="30" spans="1:8" x14ac:dyDescent="0.25">
      <c r="A30" t="s">
        <v>12</v>
      </c>
      <c r="B30" t="s">
        <v>45</v>
      </c>
      <c r="C30">
        <v>3</v>
      </c>
      <c r="D30" s="9">
        <v>5775</v>
      </c>
      <c r="E30" s="9">
        <f>+Tablo3[[#This Row],[Birim Fiyat]]*Tablo3[[#This Row],[Satış Adet]]</f>
        <v>17325</v>
      </c>
      <c r="F30" s="9">
        <v>5325</v>
      </c>
      <c r="G30" t="s">
        <v>10</v>
      </c>
      <c r="H30" t="s">
        <v>42</v>
      </c>
    </row>
    <row r="31" spans="1:8" x14ac:dyDescent="0.25">
      <c r="A31" t="s">
        <v>46</v>
      </c>
      <c r="B31" t="s">
        <v>23</v>
      </c>
      <c r="C31">
        <v>3</v>
      </c>
      <c r="D31" s="9">
        <v>7600</v>
      </c>
      <c r="E31" s="9">
        <f>+Tablo3[[#This Row],[Birim Fiyat]]*Tablo3[[#This Row],[Satış Adet]]</f>
        <v>22800</v>
      </c>
      <c r="F31" s="9">
        <v>4800</v>
      </c>
      <c r="G31" t="s">
        <v>10</v>
      </c>
      <c r="H31" t="s">
        <v>39</v>
      </c>
    </row>
    <row r="32" spans="1:8" x14ac:dyDescent="0.25">
      <c r="A32" t="s">
        <v>12</v>
      </c>
      <c r="B32" t="s">
        <v>25</v>
      </c>
      <c r="C32">
        <v>3</v>
      </c>
      <c r="D32" s="9">
        <v>7250</v>
      </c>
      <c r="E32" s="9">
        <f>+Tablo3[[#This Row],[Birim Fiyat]]*Tablo3[[#This Row],[Satış Adet]]</f>
        <v>21750</v>
      </c>
      <c r="F32" s="9">
        <v>6750</v>
      </c>
      <c r="G32" t="s">
        <v>10</v>
      </c>
      <c r="H32" t="s">
        <v>27</v>
      </c>
    </row>
    <row r="33" spans="1:8" x14ac:dyDescent="0.25">
      <c r="A33" t="s">
        <v>8</v>
      </c>
      <c r="B33" t="s">
        <v>25</v>
      </c>
      <c r="C33">
        <v>3</v>
      </c>
      <c r="D33" s="9">
        <v>7250</v>
      </c>
      <c r="E33" s="9">
        <f>+Tablo3[[#This Row],[Birim Fiyat]]*Tablo3[[#This Row],[Satış Adet]]</f>
        <v>21750</v>
      </c>
      <c r="F33" s="9">
        <v>6750</v>
      </c>
      <c r="G33" t="s">
        <v>10</v>
      </c>
      <c r="H33" t="s">
        <v>44</v>
      </c>
    </row>
    <row r="34" spans="1:8" x14ac:dyDescent="0.25">
      <c r="A34" t="s">
        <v>36</v>
      </c>
      <c r="B34" t="s">
        <v>25</v>
      </c>
      <c r="C34">
        <v>3</v>
      </c>
      <c r="D34" s="9">
        <v>7250</v>
      </c>
      <c r="E34" s="9">
        <f>+Tablo3[[#This Row],[Birim Fiyat]]*Tablo3[[#This Row],[Satış Adet]]</f>
        <v>21750</v>
      </c>
      <c r="F34" s="9">
        <v>6750</v>
      </c>
      <c r="G34" t="s">
        <v>10</v>
      </c>
      <c r="H34" t="s">
        <v>44</v>
      </c>
    </row>
    <row r="35" spans="1:8" x14ac:dyDescent="0.25">
      <c r="A35" t="s">
        <v>67</v>
      </c>
      <c r="B35" t="s">
        <v>19</v>
      </c>
      <c r="C35">
        <v>1</v>
      </c>
      <c r="D35" s="9">
        <v>1350</v>
      </c>
      <c r="E35" s="9">
        <f>+Tablo3[[#This Row],[Birim Fiyat]]*Tablo3[[#This Row],[Satış Adet]]</f>
        <v>1350</v>
      </c>
      <c r="F35" s="9">
        <v>550</v>
      </c>
      <c r="G35" t="s">
        <v>47</v>
      </c>
      <c r="H35" t="s">
        <v>29</v>
      </c>
    </row>
    <row r="36" spans="1:8" x14ac:dyDescent="0.25">
      <c r="A36" t="s">
        <v>12</v>
      </c>
      <c r="B36" t="s">
        <v>25</v>
      </c>
      <c r="C36">
        <v>2</v>
      </c>
      <c r="D36" s="9">
        <v>7250</v>
      </c>
      <c r="E36" s="9">
        <f>+Tablo3[[#This Row],[Birim Fiyat]]*Tablo3[[#This Row],[Satış Adet]]</f>
        <v>14500</v>
      </c>
      <c r="F36" s="9">
        <v>4500</v>
      </c>
      <c r="G36" t="s">
        <v>47</v>
      </c>
      <c r="H36" t="s">
        <v>35</v>
      </c>
    </row>
    <row r="37" spans="1:8" x14ac:dyDescent="0.25">
      <c r="A37" t="s">
        <v>30</v>
      </c>
      <c r="B37" t="s">
        <v>23</v>
      </c>
      <c r="C37">
        <v>1</v>
      </c>
      <c r="D37" s="9">
        <v>7600</v>
      </c>
      <c r="E37" s="9">
        <f>+Tablo3[[#This Row],[Birim Fiyat]]*Tablo3[[#This Row],[Satış Adet]]</f>
        <v>7600</v>
      </c>
      <c r="F37" s="9">
        <v>1600</v>
      </c>
      <c r="G37" t="s">
        <v>47</v>
      </c>
      <c r="H37" t="s">
        <v>14</v>
      </c>
    </row>
    <row r="38" spans="1:8" x14ac:dyDescent="0.25">
      <c r="A38" t="s">
        <v>48</v>
      </c>
      <c r="B38" t="s">
        <v>23</v>
      </c>
      <c r="C38">
        <v>3</v>
      </c>
      <c r="D38" s="9">
        <v>7600</v>
      </c>
      <c r="E38" s="9">
        <f>+Tablo3[[#This Row],[Birim Fiyat]]*Tablo3[[#This Row],[Satış Adet]]</f>
        <v>22800</v>
      </c>
      <c r="F38" s="9">
        <v>4800</v>
      </c>
      <c r="G38" t="s">
        <v>47</v>
      </c>
      <c r="H38" t="s">
        <v>39</v>
      </c>
    </row>
    <row r="39" spans="1:8" x14ac:dyDescent="0.25">
      <c r="A39" t="s">
        <v>12</v>
      </c>
      <c r="B39" t="s">
        <v>41</v>
      </c>
      <c r="C39">
        <v>3</v>
      </c>
      <c r="D39" s="9">
        <v>1490</v>
      </c>
      <c r="E39" s="9">
        <f>+Tablo3[[#This Row],[Birim Fiyat]]*Tablo3[[#This Row],[Satış Adet]]</f>
        <v>4470</v>
      </c>
      <c r="F39" s="9">
        <v>2070</v>
      </c>
      <c r="G39" t="s">
        <v>47</v>
      </c>
      <c r="H39" t="s">
        <v>11</v>
      </c>
    </row>
    <row r="40" spans="1:8" x14ac:dyDescent="0.25">
      <c r="A40" t="s">
        <v>67</v>
      </c>
      <c r="B40" t="s">
        <v>49</v>
      </c>
      <c r="C40">
        <v>2</v>
      </c>
      <c r="D40" s="9">
        <v>2900</v>
      </c>
      <c r="E40" s="9">
        <f>+Tablo3[[#This Row],[Birim Fiyat]]*Tablo3[[#This Row],[Satış Adet]]</f>
        <v>5800</v>
      </c>
      <c r="F40" s="9">
        <v>1800</v>
      </c>
      <c r="G40" t="s">
        <v>47</v>
      </c>
      <c r="H40" t="s">
        <v>42</v>
      </c>
    </row>
    <row r="41" spans="1:8" x14ac:dyDescent="0.25">
      <c r="A41" t="s">
        <v>38</v>
      </c>
      <c r="B41" t="s">
        <v>41</v>
      </c>
      <c r="C41">
        <v>1</v>
      </c>
      <c r="D41" s="9">
        <v>1490</v>
      </c>
      <c r="E41" s="9">
        <f>+Tablo3[[#This Row],[Birim Fiyat]]*Tablo3[[#This Row],[Satış Adet]]</f>
        <v>1490</v>
      </c>
      <c r="F41" s="9">
        <v>690</v>
      </c>
      <c r="G41" t="s">
        <v>47</v>
      </c>
      <c r="H41" t="s">
        <v>14</v>
      </c>
    </row>
    <row r="42" spans="1:8" x14ac:dyDescent="0.25">
      <c r="A42" t="s">
        <v>38</v>
      </c>
      <c r="B42" t="s">
        <v>32</v>
      </c>
      <c r="C42">
        <v>2</v>
      </c>
      <c r="D42" s="9">
        <v>1090</v>
      </c>
      <c r="E42" s="9">
        <f>+Tablo3[[#This Row],[Birim Fiyat]]*Tablo3[[#This Row],[Satış Adet]]</f>
        <v>2180</v>
      </c>
      <c r="F42" s="9">
        <v>580</v>
      </c>
      <c r="G42" t="s">
        <v>47</v>
      </c>
      <c r="H42" t="s">
        <v>24</v>
      </c>
    </row>
    <row r="43" spans="1:8" x14ac:dyDescent="0.25">
      <c r="A43" t="s">
        <v>67</v>
      </c>
      <c r="B43" t="s">
        <v>28</v>
      </c>
      <c r="C43">
        <v>2</v>
      </c>
      <c r="D43" s="9">
        <v>1200</v>
      </c>
      <c r="E43" s="9">
        <f>+Tablo3[[#This Row],[Birim Fiyat]]*Tablo3[[#This Row],[Satış Adet]]</f>
        <v>2400</v>
      </c>
      <c r="F43" s="9">
        <v>800</v>
      </c>
      <c r="G43" t="s">
        <v>47</v>
      </c>
      <c r="H43" t="s">
        <v>29</v>
      </c>
    </row>
    <row r="44" spans="1:8" x14ac:dyDescent="0.25">
      <c r="A44" t="s">
        <v>36</v>
      </c>
      <c r="B44" t="s">
        <v>37</v>
      </c>
      <c r="C44">
        <v>2</v>
      </c>
      <c r="D44" s="9">
        <v>10590</v>
      </c>
      <c r="E44" s="9">
        <f>+Tablo3[[#This Row],[Birim Fiyat]]*Tablo3[[#This Row],[Satış Adet]]</f>
        <v>21180</v>
      </c>
      <c r="F44" s="9">
        <v>9180</v>
      </c>
      <c r="G44" t="s">
        <v>47</v>
      </c>
      <c r="H44" t="s">
        <v>39</v>
      </c>
    </row>
    <row r="45" spans="1:8" x14ac:dyDescent="0.25">
      <c r="A45" t="s">
        <v>30</v>
      </c>
      <c r="B45" t="s">
        <v>43</v>
      </c>
      <c r="C45">
        <v>3</v>
      </c>
      <c r="D45" s="9">
        <v>4200</v>
      </c>
      <c r="E45" s="9">
        <f>+Tablo3[[#This Row],[Birim Fiyat]]*Tablo3[[#This Row],[Satış Adet]]</f>
        <v>12600</v>
      </c>
      <c r="F45" s="9">
        <v>3600</v>
      </c>
      <c r="G45" t="s">
        <v>47</v>
      </c>
      <c r="H45" t="s">
        <v>20</v>
      </c>
    </row>
    <row r="46" spans="1:8" x14ac:dyDescent="0.25">
      <c r="A46" t="s">
        <v>18</v>
      </c>
      <c r="B46" t="s">
        <v>43</v>
      </c>
      <c r="C46">
        <v>3</v>
      </c>
      <c r="D46" s="9">
        <v>4200</v>
      </c>
      <c r="E46" s="9">
        <f>+Tablo3[[#This Row],[Birim Fiyat]]*Tablo3[[#This Row],[Satış Adet]]</f>
        <v>12600</v>
      </c>
      <c r="F46" s="9">
        <v>3600</v>
      </c>
      <c r="G46" t="s">
        <v>47</v>
      </c>
      <c r="H46" t="s">
        <v>14</v>
      </c>
    </row>
    <row r="47" spans="1:8" x14ac:dyDescent="0.25">
      <c r="A47" t="s">
        <v>33</v>
      </c>
      <c r="B47" t="s">
        <v>37</v>
      </c>
      <c r="C47">
        <v>2</v>
      </c>
      <c r="D47" s="9">
        <v>10590</v>
      </c>
      <c r="E47" s="9">
        <f>+Tablo3[[#This Row],[Birim Fiyat]]*Tablo3[[#This Row],[Satış Adet]]</f>
        <v>21180</v>
      </c>
      <c r="F47" s="9">
        <v>9180</v>
      </c>
      <c r="G47" t="s">
        <v>47</v>
      </c>
      <c r="H47" t="s">
        <v>11</v>
      </c>
    </row>
    <row r="48" spans="1:8" x14ac:dyDescent="0.25">
      <c r="A48" t="s">
        <v>48</v>
      </c>
      <c r="B48" t="s">
        <v>50</v>
      </c>
      <c r="C48">
        <v>1</v>
      </c>
      <c r="D48" s="9">
        <v>1250</v>
      </c>
      <c r="E48" s="9">
        <f>+Tablo3[[#This Row],[Birim Fiyat]]*Tablo3[[#This Row],[Satış Adet]]</f>
        <v>1250</v>
      </c>
      <c r="F48" s="9">
        <v>450</v>
      </c>
      <c r="G48" t="s">
        <v>47</v>
      </c>
      <c r="H48" t="s">
        <v>44</v>
      </c>
    </row>
    <row r="49" spans="1:8" x14ac:dyDescent="0.25">
      <c r="A49" t="s">
        <v>8</v>
      </c>
      <c r="B49" t="s">
        <v>41</v>
      </c>
      <c r="C49">
        <v>3</v>
      </c>
      <c r="D49" s="9">
        <v>1490</v>
      </c>
      <c r="E49" s="9">
        <f>+Tablo3[[#This Row],[Birim Fiyat]]*Tablo3[[#This Row],[Satış Adet]]</f>
        <v>4470</v>
      </c>
      <c r="F49" s="9">
        <v>2070</v>
      </c>
      <c r="G49" t="s">
        <v>47</v>
      </c>
      <c r="H49" t="s">
        <v>44</v>
      </c>
    </row>
    <row r="50" spans="1:8" x14ac:dyDescent="0.25">
      <c r="A50" t="s">
        <v>30</v>
      </c>
      <c r="B50" t="s">
        <v>28</v>
      </c>
      <c r="C50">
        <v>2</v>
      </c>
      <c r="D50" s="9">
        <v>1200</v>
      </c>
      <c r="E50" s="9">
        <f>+Tablo3[[#This Row],[Birim Fiyat]]*Tablo3[[#This Row],[Satış Adet]]</f>
        <v>2400</v>
      </c>
      <c r="F50" s="9">
        <v>800</v>
      </c>
      <c r="G50" t="s">
        <v>47</v>
      </c>
      <c r="H50" t="s">
        <v>24</v>
      </c>
    </row>
    <row r="51" spans="1:8" x14ac:dyDescent="0.25">
      <c r="A51" t="s">
        <v>15</v>
      </c>
      <c r="B51" t="s">
        <v>21</v>
      </c>
      <c r="C51">
        <v>3</v>
      </c>
      <c r="D51" s="9">
        <v>2180</v>
      </c>
      <c r="E51" s="9">
        <f>+Tablo3[[#This Row],[Birim Fiyat]]*Tablo3[[#This Row],[Satış Adet]]</f>
        <v>6540</v>
      </c>
      <c r="F51" s="9">
        <v>2040</v>
      </c>
      <c r="G51" t="s">
        <v>47</v>
      </c>
      <c r="H51" t="s">
        <v>35</v>
      </c>
    </row>
    <row r="52" spans="1:8" x14ac:dyDescent="0.25">
      <c r="A52" t="s">
        <v>38</v>
      </c>
      <c r="B52" t="s">
        <v>51</v>
      </c>
      <c r="C52">
        <v>3</v>
      </c>
      <c r="D52" s="9">
        <v>1200</v>
      </c>
      <c r="E52" s="9">
        <f>+Tablo3[[#This Row],[Birim Fiyat]]*Tablo3[[#This Row],[Satış Adet]]</f>
        <v>3600</v>
      </c>
      <c r="F52" s="9">
        <v>1200</v>
      </c>
      <c r="G52" t="s">
        <v>47</v>
      </c>
      <c r="H52" t="s">
        <v>17</v>
      </c>
    </row>
    <row r="53" spans="1:8" x14ac:dyDescent="0.25">
      <c r="A53" t="s">
        <v>8</v>
      </c>
      <c r="B53" t="s">
        <v>31</v>
      </c>
      <c r="C53">
        <v>1</v>
      </c>
      <c r="D53" s="9">
        <v>1800</v>
      </c>
      <c r="E53" s="9">
        <f>+Tablo3[[#This Row],[Birim Fiyat]]*Tablo3[[#This Row],[Satış Adet]]</f>
        <v>1800</v>
      </c>
      <c r="F53" s="9">
        <v>1000</v>
      </c>
      <c r="G53" t="s">
        <v>47</v>
      </c>
      <c r="H53" t="s">
        <v>52</v>
      </c>
    </row>
    <row r="54" spans="1:8" x14ac:dyDescent="0.25">
      <c r="A54" t="s">
        <v>15</v>
      </c>
      <c r="B54" t="s">
        <v>23</v>
      </c>
      <c r="C54">
        <v>1</v>
      </c>
      <c r="D54" s="9">
        <v>7600</v>
      </c>
      <c r="E54" s="9">
        <f>+Tablo3[[#This Row],[Birim Fiyat]]*Tablo3[[#This Row],[Satış Adet]]</f>
        <v>7600</v>
      </c>
      <c r="F54" s="9">
        <v>1600</v>
      </c>
      <c r="G54" t="s">
        <v>47</v>
      </c>
      <c r="H54" t="s">
        <v>40</v>
      </c>
    </row>
    <row r="55" spans="1:8" x14ac:dyDescent="0.25">
      <c r="A55" t="s">
        <v>33</v>
      </c>
      <c r="B55" t="s">
        <v>53</v>
      </c>
      <c r="C55">
        <v>1</v>
      </c>
      <c r="D55" s="9">
        <v>7530</v>
      </c>
      <c r="E55" s="9">
        <f>+Tablo3[[#This Row],[Birim Fiyat]]*Tablo3[[#This Row],[Satış Adet]]</f>
        <v>7530</v>
      </c>
      <c r="F55" s="9">
        <v>1530</v>
      </c>
      <c r="G55" t="s">
        <v>47</v>
      </c>
      <c r="H55" t="s">
        <v>35</v>
      </c>
    </row>
    <row r="56" spans="1:8" x14ac:dyDescent="0.25">
      <c r="A56" t="s">
        <v>48</v>
      </c>
      <c r="B56" t="s">
        <v>41</v>
      </c>
      <c r="C56">
        <v>2</v>
      </c>
      <c r="D56" s="9">
        <v>1490</v>
      </c>
      <c r="E56" s="9">
        <f>+Tablo3[[#This Row],[Birim Fiyat]]*Tablo3[[#This Row],[Satış Adet]]</f>
        <v>2980</v>
      </c>
      <c r="F56" s="9">
        <v>1380</v>
      </c>
      <c r="G56" t="s">
        <v>47</v>
      </c>
      <c r="H56" t="s">
        <v>39</v>
      </c>
    </row>
    <row r="57" spans="1:8" x14ac:dyDescent="0.25">
      <c r="A57" t="s">
        <v>8</v>
      </c>
      <c r="B57" t="s">
        <v>54</v>
      </c>
      <c r="C57">
        <v>1</v>
      </c>
      <c r="D57" s="9">
        <v>5300</v>
      </c>
      <c r="E57" s="9">
        <f>+Tablo3[[#This Row],[Birim Fiyat]]*Tablo3[[#This Row],[Satış Adet]]</f>
        <v>5300</v>
      </c>
      <c r="F57" s="9">
        <v>1300</v>
      </c>
      <c r="G57" t="s">
        <v>47</v>
      </c>
      <c r="H57" t="s">
        <v>44</v>
      </c>
    </row>
    <row r="58" spans="1:8" x14ac:dyDescent="0.25">
      <c r="A58" t="s">
        <v>22</v>
      </c>
      <c r="B58" t="s">
        <v>28</v>
      </c>
      <c r="C58">
        <v>2</v>
      </c>
      <c r="D58" s="9">
        <v>1200</v>
      </c>
      <c r="E58" s="9">
        <f>+Tablo3[[#This Row],[Birim Fiyat]]*Tablo3[[#This Row],[Satış Adet]]</f>
        <v>2400</v>
      </c>
      <c r="F58" s="9">
        <v>800</v>
      </c>
      <c r="G58" t="s">
        <v>47</v>
      </c>
      <c r="H58" t="s">
        <v>11</v>
      </c>
    </row>
    <row r="59" spans="1:8" x14ac:dyDescent="0.25">
      <c r="A59" t="s">
        <v>38</v>
      </c>
      <c r="B59" t="s">
        <v>32</v>
      </c>
      <c r="C59">
        <v>1</v>
      </c>
      <c r="D59" s="9">
        <v>1090</v>
      </c>
      <c r="E59" s="9">
        <f>+Tablo3[[#This Row],[Birim Fiyat]]*Tablo3[[#This Row],[Satış Adet]]</f>
        <v>1090</v>
      </c>
      <c r="F59" s="9">
        <v>290</v>
      </c>
      <c r="G59" t="s">
        <v>47</v>
      </c>
      <c r="H59" t="s">
        <v>17</v>
      </c>
    </row>
    <row r="60" spans="1:8" x14ac:dyDescent="0.25">
      <c r="A60" t="s">
        <v>22</v>
      </c>
      <c r="B60" t="s">
        <v>25</v>
      </c>
      <c r="C60">
        <v>1</v>
      </c>
      <c r="D60" s="9">
        <v>7250</v>
      </c>
      <c r="E60" s="9">
        <f>+Tablo3[[#This Row],[Birim Fiyat]]*Tablo3[[#This Row],[Satış Adet]]</f>
        <v>7250</v>
      </c>
      <c r="F60" s="9">
        <v>2250</v>
      </c>
      <c r="G60" t="s">
        <v>47</v>
      </c>
      <c r="H60" t="s">
        <v>52</v>
      </c>
    </row>
    <row r="61" spans="1:8" x14ac:dyDescent="0.25">
      <c r="A61" t="s">
        <v>46</v>
      </c>
      <c r="B61" t="s">
        <v>13</v>
      </c>
      <c r="C61">
        <v>3</v>
      </c>
      <c r="D61" s="9">
        <v>1400</v>
      </c>
      <c r="E61" s="9">
        <f>+Tablo3[[#This Row],[Birim Fiyat]]*Tablo3[[#This Row],[Satış Adet]]</f>
        <v>4200</v>
      </c>
      <c r="F61" s="9">
        <v>1800</v>
      </c>
      <c r="G61" t="s">
        <v>47</v>
      </c>
      <c r="H61" t="s">
        <v>11</v>
      </c>
    </row>
    <row r="62" spans="1:8" x14ac:dyDescent="0.25">
      <c r="A62" t="s">
        <v>15</v>
      </c>
      <c r="B62" t="s">
        <v>55</v>
      </c>
      <c r="C62">
        <v>1</v>
      </c>
      <c r="D62" s="9">
        <v>1500</v>
      </c>
      <c r="E62" s="9">
        <f>+Tablo3[[#This Row],[Birim Fiyat]]*Tablo3[[#This Row],[Satış Adet]]</f>
        <v>1500</v>
      </c>
      <c r="F62" s="9">
        <v>700</v>
      </c>
      <c r="G62" t="s">
        <v>47</v>
      </c>
      <c r="H62" t="s">
        <v>24</v>
      </c>
    </row>
    <row r="63" spans="1:8" x14ac:dyDescent="0.25">
      <c r="A63" t="s">
        <v>33</v>
      </c>
      <c r="B63" t="s">
        <v>19</v>
      </c>
      <c r="C63">
        <v>1</v>
      </c>
      <c r="D63" s="9">
        <v>1350</v>
      </c>
      <c r="E63" s="9">
        <f>+Tablo3[[#This Row],[Birim Fiyat]]*Tablo3[[#This Row],[Satış Adet]]</f>
        <v>1350</v>
      </c>
      <c r="F63" s="9">
        <v>550</v>
      </c>
      <c r="G63" t="s">
        <v>47</v>
      </c>
      <c r="H63" t="s">
        <v>35</v>
      </c>
    </row>
    <row r="64" spans="1:8" x14ac:dyDescent="0.25">
      <c r="A64" t="s">
        <v>33</v>
      </c>
      <c r="B64" t="s">
        <v>28</v>
      </c>
      <c r="C64">
        <v>3</v>
      </c>
      <c r="D64" s="9">
        <v>1200</v>
      </c>
      <c r="E64" s="9">
        <f>+Tablo3[[#This Row],[Birim Fiyat]]*Tablo3[[#This Row],[Satış Adet]]</f>
        <v>3600</v>
      </c>
      <c r="F64" s="9">
        <v>1200</v>
      </c>
      <c r="G64" t="s">
        <v>47</v>
      </c>
      <c r="H64" t="s">
        <v>40</v>
      </c>
    </row>
    <row r="65" spans="1:8" x14ac:dyDescent="0.25">
      <c r="A65" t="s">
        <v>12</v>
      </c>
      <c r="B65" t="s">
        <v>53</v>
      </c>
      <c r="C65">
        <v>3</v>
      </c>
      <c r="D65" s="9">
        <v>7530</v>
      </c>
      <c r="E65" s="9">
        <f>+Tablo3[[#This Row],[Birim Fiyat]]*Tablo3[[#This Row],[Satış Adet]]</f>
        <v>22590</v>
      </c>
      <c r="F65" s="9">
        <v>4590</v>
      </c>
      <c r="G65" t="s">
        <v>47</v>
      </c>
      <c r="H65" t="s">
        <v>29</v>
      </c>
    </row>
    <row r="66" spans="1:8" x14ac:dyDescent="0.25">
      <c r="A66" t="s">
        <v>46</v>
      </c>
      <c r="B66" t="s">
        <v>28</v>
      </c>
      <c r="C66">
        <v>1</v>
      </c>
      <c r="D66" s="9">
        <v>1200</v>
      </c>
      <c r="E66" s="9">
        <f>+Tablo3[[#This Row],[Birim Fiyat]]*Tablo3[[#This Row],[Satış Adet]]</f>
        <v>1200</v>
      </c>
      <c r="F66" s="9">
        <v>400</v>
      </c>
      <c r="G66" t="s">
        <v>47</v>
      </c>
      <c r="H66" t="s">
        <v>42</v>
      </c>
    </row>
    <row r="67" spans="1:8" x14ac:dyDescent="0.25">
      <c r="A67" t="s">
        <v>36</v>
      </c>
      <c r="B67" t="s">
        <v>31</v>
      </c>
      <c r="C67">
        <v>3</v>
      </c>
      <c r="D67" s="9">
        <v>1800</v>
      </c>
      <c r="E67" s="9">
        <f>+Tablo3[[#This Row],[Birim Fiyat]]*Tablo3[[#This Row],[Satış Adet]]</f>
        <v>5400</v>
      </c>
      <c r="F67" s="9">
        <v>3000</v>
      </c>
      <c r="G67" t="s">
        <v>47</v>
      </c>
      <c r="H67" t="s">
        <v>20</v>
      </c>
    </row>
    <row r="68" spans="1:8" x14ac:dyDescent="0.25">
      <c r="A68" t="s">
        <v>8</v>
      </c>
      <c r="B68" t="s">
        <v>25</v>
      </c>
      <c r="C68">
        <v>1</v>
      </c>
      <c r="D68" s="9">
        <v>7250</v>
      </c>
      <c r="E68" s="9">
        <f>+Tablo3[[#This Row],[Birim Fiyat]]*Tablo3[[#This Row],[Satış Adet]]</f>
        <v>7250</v>
      </c>
      <c r="F68" s="9">
        <v>2250</v>
      </c>
      <c r="G68" t="s">
        <v>47</v>
      </c>
      <c r="H68" t="s">
        <v>35</v>
      </c>
    </row>
    <row r="69" spans="1:8" x14ac:dyDescent="0.25">
      <c r="A69" t="s">
        <v>38</v>
      </c>
      <c r="B69" t="s">
        <v>41</v>
      </c>
      <c r="C69">
        <v>3</v>
      </c>
      <c r="D69" s="9">
        <v>1490</v>
      </c>
      <c r="E69" s="9">
        <f>+Tablo3[[#This Row],[Birim Fiyat]]*Tablo3[[#This Row],[Satış Adet]]</f>
        <v>4470</v>
      </c>
      <c r="F69" s="9">
        <v>2070</v>
      </c>
      <c r="G69" t="s">
        <v>47</v>
      </c>
      <c r="H69" t="s">
        <v>11</v>
      </c>
    </row>
    <row r="70" spans="1:8" x14ac:dyDescent="0.25">
      <c r="A70" t="s">
        <v>38</v>
      </c>
      <c r="B70" t="s">
        <v>51</v>
      </c>
      <c r="C70">
        <v>1</v>
      </c>
      <c r="D70" s="9">
        <v>1200</v>
      </c>
      <c r="E70" s="9">
        <f>+Tablo3[[#This Row],[Birim Fiyat]]*Tablo3[[#This Row],[Satış Adet]]</f>
        <v>1200</v>
      </c>
      <c r="F70" s="9">
        <v>400</v>
      </c>
      <c r="G70" t="s">
        <v>47</v>
      </c>
      <c r="H70" t="s">
        <v>39</v>
      </c>
    </row>
    <row r="71" spans="1:8" x14ac:dyDescent="0.25">
      <c r="A71" t="s">
        <v>12</v>
      </c>
      <c r="B71" t="s">
        <v>34</v>
      </c>
      <c r="C71">
        <v>1</v>
      </c>
      <c r="D71" s="9">
        <v>8000</v>
      </c>
      <c r="E71" s="9">
        <f>+Tablo3[[#This Row],[Birim Fiyat]]*Tablo3[[#This Row],[Satış Adet]]</f>
        <v>8000</v>
      </c>
      <c r="F71" s="9">
        <v>2000</v>
      </c>
      <c r="G71" t="s">
        <v>47</v>
      </c>
      <c r="H71" t="s">
        <v>27</v>
      </c>
    </row>
    <row r="72" spans="1:8" x14ac:dyDescent="0.25">
      <c r="A72" t="s">
        <v>30</v>
      </c>
      <c r="B72" t="s">
        <v>13</v>
      </c>
      <c r="C72">
        <v>1</v>
      </c>
      <c r="D72" s="9">
        <v>1400</v>
      </c>
      <c r="E72" s="9">
        <f>+Tablo3[[#This Row],[Birim Fiyat]]*Tablo3[[#This Row],[Satış Adet]]</f>
        <v>1400</v>
      </c>
      <c r="F72" s="9">
        <v>600</v>
      </c>
      <c r="G72" t="s">
        <v>47</v>
      </c>
      <c r="H72" t="s">
        <v>17</v>
      </c>
    </row>
    <row r="73" spans="1:8" x14ac:dyDescent="0.25">
      <c r="A73" t="s">
        <v>67</v>
      </c>
      <c r="B73" t="s">
        <v>19</v>
      </c>
      <c r="C73">
        <v>1</v>
      </c>
      <c r="D73" s="9">
        <v>1350</v>
      </c>
      <c r="E73" s="9">
        <f>+Tablo3[[#This Row],[Birim Fiyat]]*Tablo3[[#This Row],[Satış Adet]]</f>
        <v>1350</v>
      </c>
      <c r="F73" s="9">
        <v>550</v>
      </c>
      <c r="G73" t="s">
        <v>47</v>
      </c>
      <c r="H73" t="s">
        <v>40</v>
      </c>
    </row>
    <row r="74" spans="1:8" x14ac:dyDescent="0.25">
      <c r="A74" t="s">
        <v>36</v>
      </c>
      <c r="B74" t="s">
        <v>51</v>
      </c>
      <c r="C74">
        <v>1</v>
      </c>
      <c r="D74" s="9">
        <v>1200</v>
      </c>
      <c r="E74" s="9">
        <f>+Tablo3[[#This Row],[Birim Fiyat]]*Tablo3[[#This Row],[Satış Adet]]</f>
        <v>1200</v>
      </c>
      <c r="F74" s="9">
        <v>400</v>
      </c>
      <c r="G74" t="s">
        <v>47</v>
      </c>
      <c r="H74" t="s">
        <v>42</v>
      </c>
    </row>
    <row r="75" spans="1:8" x14ac:dyDescent="0.25">
      <c r="A75" t="s">
        <v>30</v>
      </c>
      <c r="B75" t="s">
        <v>54</v>
      </c>
      <c r="C75">
        <v>1</v>
      </c>
      <c r="D75" s="9">
        <v>5300</v>
      </c>
      <c r="E75" s="9">
        <f>+Tablo3[[#This Row],[Birim Fiyat]]*Tablo3[[#This Row],[Satış Adet]]</f>
        <v>5300</v>
      </c>
      <c r="F75" s="9">
        <v>1300</v>
      </c>
      <c r="G75" t="s">
        <v>47</v>
      </c>
      <c r="H75" t="s">
        <v>29</v>
      </c>
    </row>
    <row r="76" spans="1:8" x14ac:dyDescent="0.25">
      <c r="A76" t="s">
        <v>38</v>
      </c>
      <c r="B76" t="s">
        <v>37</v>
      </c>
      <c r="C76">
        <v>3</v>
      </c>
      <c r="D76" s="9">
        <v>10590</v>
      </c>
      <c r="E76" s="9">
        <f>+Tablo3[[#This Row],[Birim Fiyat]]*Tablo3[[#This Row],[Satış Adet]]</f>
        <v>31770</v>
      </c>
      <c r="F76" s="9">
        <v>13770</v>
      </c>
      <c r="G76" t="s">
        <v>47</v>
      </c>
      <c r="H76" t="s">
        <v>11</v>
      </c>
    </row>
    <row r="77" spans="1:8" x14ac:dyDescent="0.25">
      <c r="A77" t="s">
        <v>22</v>
      </c>
      <c r="B77" t="s">
        <v>50</v>
      </c>
      <c r="C77">
        <v>1</v>
      </c>
      <c r="D77" s="9">
        <v>1250</v>
      </c>
      <c r="E77" s="9">
        <f>+Tablo3[[#This Row],[Birim Fiyat]]*Tablo3[[#This Row],[Satış Adet]]</f>
        <v>1250</v>
      </c>
      <c r="F77" s="9">
        <v>450</v>
      </c>
      <c r="G77" t="s">
        <v>47</v>
      </c>
      <c r="H77" t="s">
        <v>35</v>
      </c>
    </row>
    <row r="78" spans="1:8" x14ac:dyDescent="0.25">
      <c r="A78" t="s">
        <v>48</v>
      </c>
      <c r="B78" t="s">
        <v>51</v>
      </c>
      <c r="C78">
        <v>1</v>
      </c>
      <c r="D78" s="9">
        <v>1200</v>
      </c>
      <c r="E78" s="9">
        <f>+Tablo3[[#This Row],[Birim Fiyat]]*Tablo3[[#This Row],[Satış Adet]]</f>
        <v>1200</v>
      </c>
      <c r="F78" s="9">
        <v>400</v>
      </c>
      <c r="G78" t="s">
        <v>47</v>
      </c>
      <c r="H78" t="s">
        <v>44</v>
      </c>
    </row>
    <row r="79" spans="1:8" x14ac:dyDescent="0.25">
      <c r="A79" t="s">
        <v>22</v>
      </c>
      <c r="B79" t="s">
        <v>13</v>
      </c>
      <c r="C79">
        <v>3</v>
      </c>
      <c r="D79" s="9">
        <v>1400</v>
      </c>
      <c r="E79" s="9">
        <f>+Tablo3[[#This Row],[Birim Fiyat]]*Tablo3[[#This Row],[Satış Adet]]</f>
        <v>4200</v>
      </c>
      <c r="F79" s="9">
        <v>1800</v>
      </c>
      <c r="G79" t="s">
        <v>47</v>
      </c>
      <c r="H79" t="s">
        <v>44</v>
      </c>
    </row>
    <row r="80" spans="1:8" x14ac:dyDescent="0.25">
      <c r="A80" t="s">
        <v>48</v>
      </c>
      <c r="B80" t="s">
        <v>53</v>
      </c>
      <c r="C80">
        <v>2</v>
      </c>
      <c r="D80" s="9">
        <v>7530</v>
      </c>
      <c r="E80" s="9">
        <f>+Tablo3[[#This Row],[Birim Fiyat]]*Tablo3[[#This Row],[Satış Adet]]</f>
        <v>15060</v>
      </c>
      <c r="F80" s="9">
        <v>3060</v>
      </c>
      <c r="G80" t="s">
        <v>47</v>
      </c>
      <c r="H80" t="s">
        <v>29</v>
      </c>
    </row>
    <row r="81" spans="1:8" x14ac:dyDescent="0.25">
      <c r="A81" t="s">
        <v>30</v>
      </c>
      <c r="B81" t="s">
        <v>23</v>
      </c>
      <c r="C81">
        <v>1</v>
      </c>
      <c r="D81" s="9">
        <v>7600</v>
      </c>
      <c r="E81" s="9">
        <f>+Tablo3[[#This Row],[Birim Fiyat]]*Tablo3[[#This Row],[Satış Adet]]</f>
        <v>7600</v>
      </c>
      <c r="F81" s="9">
        <v>1600</v>
      </c>
      <c r="G81" t="s">
        <v>47</v>
      </c>
      <c r="H81" t="s">
        <v>35</v>
      </c>
    </row>
    <row r="82" spans="1:8" x14ac:dyDescent="0.25">
      <c r="A82" t="s">
        <v>48</v>
      </c>
      <c r="B82" t="s">
        <v>55</v>
      </c>
      <c r="C82">
        <v>1</v>
      </c>
      <c r="D82" s="9">
        <v>1500</v>
      </c>
      <c r="E82" s="9">
        <f>+Tablo3[[#This Row],[Birim Fiyat]]*Tablo3[[#This Row],[Satış Adet]]</f>
        <v>1500</v>
      </c>
      <c r="F82" s="9">
        <v>700</v>
      </c>
      <c r="G82" t="s">
        <v>47</v>
      </c>
      <c r="H82" t="s">
        <v>11</v>
      </c>
    </row>
    <row r="83" spans="1:8" x14ac:dyDescent="0.25">
      <c r="A83" t="s">
        <v>38</v>
      </c>
      <c r="B83" t="s">
        <v>21</v>
      </c>
      <c r="C83">
        <v>2</v>
      </c>
      <c r="D83" s="9">
        <v>2180</v>
      </c>
      <c r="E83" s="9">
        <f>+Tablo3[[#This Row],[Birim Fiyat]]*Tablo3[[#This Row],[Satış Adet]]</f>
        <v>4360</v>
      </c>
      <c r="F83" s="9">
        <v>1360</v>
      </c>
      <c r="G83" t="s">
        <v>47</v>
      </c>
      <c r="H83" t="s">
        <v>27</v>
      </c>
    </row>
    <row r="84" spans="1:8" x14ac:dyDescent="0.25">
      <c r="A84" t="s">
        <v>18</v>
      </c>
      <c r="B84" t="s">
        <v>21</v>
      </c>
      <c r="C84">
        <v>1</v>
      </c>
      <c r="D84" s="9">
        <v>2180</v>
      </c>
      <c r="E84" s="9">
        <f>+Tablo3[[#This Row],[Birim Fiyat]]*Tablo3[[#This Row],[Satış Adet]]</f>
        <v>2180</v>
      </c>
      <c r="F84" s="9">
        <v>680</v>
      </c>
      <c r="G84" t="s">
        <v>47</v>
      </c>
      <c r="H84" t="s">
        <v>20</v>
      </c>
    </row>
    <row r="85" spans="1:8" x14ac:dyDescent="0.25">
      <c r="A85" t="s">
        <v>38</v>
      </c>
      <c r="B85" t="s">
        <v>45</v>
      </c>
      <c r="C85">
        <v>1</v>
      </c>
      <c r="D85" s="9">
        <v>5775</v>
      </c>
      <c r="E85" s="9">
        <f>+Tablo3[[#This Row],[Birim Fiyat]]*Tablo3[[#This Row],[Satış Adet]]</f>
        <v>5775</v>
      </c>
      <c r="F85" s="9">
        <v>1775</v>
      </c>
      <c r="G85" t="s">
        <v>47</v>
      </c>
      <c r="H85" t="s">
        <v>39</v>
      </c>
    </row>
    <row r="86" spans="1:8" x14ac:dyDescent="0.25">
      <c r="A86" t="s">
        <v>38</v>
      </c>
      <c r="B86" t="s">
        <v>26</v>
      </c>
      <c r="C86">
        <v>3</v>
      </c>
      <c r="D86" s="9">
        <v>1100</v>
      </c>
      <c r="E86" s="9">
        <f>+Tablo3[[#This Row],[Birim Fiyat]]*Tablo3[[#This Row],[Satış Adet]]</f>
        <v>3300</v>
      </c>
      <c r="F86" s="9">
        <v>900</v>
      </c>
      <c r="G86" t="s">
        <v>47</v>
      </c>
      <c r="H86" t="s">
        <v>42</v>
      </c>
    </row>
    <row r="87" spans="1:8" x14ac:dyDescent="0.25">
      <c r="A87" t="s">
        <v>46</v>
      </c>
      <c r="B87" t="s">
        <v>45</v>
      </c>
      <c r="C87">
        <v>1</v>
      </c>
      <c r="D87" s="9">
        <v>5775</v>
      </c>
      <c r="E87" s="9">
        <f>+Tablo3[[#This Row],[Birim Fiyat]]*Tablo3[[#This Row],[Satış Adet]]</f>
        <v>5775</v>
      </c>
      <c r="F87" s="9">
        <v>1775</v>
      </c>
      <c r="G87" t="s">
        <v>47</v>
      </c>
      <c r="H87" t="s">
        <v>39</v>
      </c>
    </row>
    <row r="88" spans="1:8" x14ac:dyDescent="0.25">
      <c r="A88" t="s">
        <v>33</v>
      </c>
      <c r="B88" t="s">
        <v>19</v>
      </c>
      <c r="C88">
        <v>1</v>
      </c>
      <c r="D88" s="9">
        <v>1350</v>
      </c>
      <c r="E88" s="9">
        <f>+Tablo3[[#This Row],[Birim Fiyat]]*Tablo3[[#This Row],[Satış Adet]]</f>
        <v>1350</v>
      </c>
      <c r="F88" s="9">
        <v>550</v>
      </c>
      <c r="G88" t="s">
        <v>47</v>
      </c>
      <c r="H88" t="s">
        <v>27</v>
      </c>
    </row>
    <row r="89" spans="1:8" x14ac:dyDescent="0.25">
      <c r="A89" t="s">
        <v>8</v>
      </c>
      <c r="B89" t="s">
        <v>23</v>
      </c>
      <c r="C89">
        <v>3</v>
      </c>
      <c r="D89" s="9">
        <v>7600</v>
      </c>
      <c r="E89" s="9">
        <f>+Tablo3[[#This Row],[Birim Fiyat]]*Tablo3[[#This Row],[Satış Adet]]</f>
        <v>22800</v>
      </c>
      <c r="F89" s="9">
        <v>4800</v>
      </c>
      <c r="G89" t="s">
        <v>47</v>
      </c>
      <c r="H89" t="s">
        <v>52</v>
      </c>
    </row>
    <row r="90" spans="1:8" x14ac:dyDescent="0.25">
      <c r="A90" t="s">
        <v>15</v>
      </c>
      <c r="B90" t="s">
        <v>25</v>
      </c>
      <c r="C90">
        <v>3</v>
      </c>
      <c r="D90" s="9">
        <v>7250</v>
      </c>
      <c r="E90" s="9">
        <f>+Tablo3[[#This Row],[Birim Fiyat]]*Tablo3[[#This Row],[Satış Adet]]</f>
        <v>21750</v>
      </c>
      <c r="F90" s="9">
        <v>6750</v>
      </c>
      <c r="G90" t="s">
        <v>47</v>
      </c>
      <c r="H90" t="s">
        <v>29</v>
      </c>
    </row>
    <row r="91" spans="1:8" x14ac:dyDescent="0.25">
      <c r="A91" t="s">
        <v>48</v>
      </c>
      <c r="B91" t="s">
        <v>41</v>
      </c>
      <c r="C91">
        <v>2</v>
      </c>
      <c r="D91" s="9">
        <v>1490</v>
      </c>
      <c r="E91" s="9">
        <f>+Tablo3[[#This Row],[Birim Fiyat]]*Tablo3[[#This Row],[Satış Adet]]</f>
        <v>2980</v>
      </c>
      <c r="F91" s="9">
        <v>1380</v>
      </c>
      <c r="G91" t="s">
        <v>47</v>
      </c>
      <c r="H91" t="s">
        <v>52</v>
      </c>
    </row>
    <row r="92" spans="1:8" x14ac:dyDescent="0.25">
      <c r="A92" t="s">
        <v>18</v>
      </c>
      <c r="B92" t="s">
        <v>41</v>
      </c>
      <c r="C92">
        <v>2</v>
      </c>
      <c r="D92" s="9">
        <v>1490</v>
      </c>
      <c r="E92" s="9">
        <f>+Tablo3[[#This Row],[Birim Fiyat]]*Tablo3[[#This Row],[Satış Adet]]</f>
        <v>2980</v>
      </c>
      <c r="F92" s="9">
        <v>1380</v>
      </c>
      <c r="G92" t="s">
        <v>47</v>
      </c>
      <c r="H92" t="s">
        <v>14</v>
      </c>
    </row>
    <row r="93" spans="1:8" x14ac:dyDescent="0.25">
      <c r="A93" t="s">
        <v>36</v>
      </c>
      <c r="B93" t="s">
        <v>32</v>
      </c>
      <c r="C93">
        <v>2</v>
      </c>
      <c r="D93" s="9">
        <v>1090</v>
      </c>
      <c r="E93" s="9">
        <f>+Tablo3[[#This Row],[Birim Fiyat]]*Tablo3[[#This Row],[Satış Adet]]</f>
        <v>2180</v>
      </c>
      <c r="F93" s="9">
        <v>580</v>
      </c>
      <c r="G93" t="s">
        <v>47</v>
      </c>
      <c r="H93" t="s">
        <v>35</v>
      </c>
    </row>
    <row r="94" spans="1:8" x14ac:dyDescent="0.25">
      <c r="A94" t="s">
        <v>36</v>
      </c>
      <c r="B94" t="s">
        <v>28</v>
      </c>
      <c r="C94">
        <v>3</v>
      </c>
      <c r="D94" s="9">
        <v>1200</v>
      </c>
      <c r="E94" s="9">
        <f>+Tablo3[[#This Row],[Birim Fiyat]]*Tablo3[[#This Row],[Satış Adet]]</f>
        <v>3600</v>
      </c>
      <c r="F94" s="9">
        <v>1200</v>
      </c>
      <c r="G94" t="s">
        <v>47</v>
      </c>
      <c r="H94" t="s">
        <v>14</v>
      </c>
    </row>
    <row r="95" spans="1:8" x14ac:dyDescent="0.25">
      <c r="A95" t="s">
        <v>48</v>
      </c>
      <c r="B95" t="s">
        <v>32</v>
      </c>
      <c r="C95">
        <v>2</v>
      </c>
      <c r="D95" s="9">
        <v>1090</v>
      </c>
      <c r="E95" s="9">
        <f>+Tablo3[[#This Row],[Birim Fiyat]]*Tablo3[[#This Row],[Satış Adet]]</f>
        <v>2180</v>
      </c>
      <c r="F95" s="9">
        <v>580</v>
      </c>
      <c r="G95" t="s">
        <v>47</v>
      </c>
      <c r="H95" t="s">
        <v>29</v>
      </c>
    </row>
    <row r="96" spans="1:8" x14ac:dyDescent="0.25">
      <c r="A96" t="s">
        <v>48</v>
      </c>
      <c r="B96" t="s">
        <v>21</v>
      </c>
      <c r="C96">
        <v>3</v>
      </c>
      <c r="D96" s="9">
        <v>2180</v>
      </c>
      <c r="E96" s="9">
        <f>+Tablo3[[#This Row],[Birim Fiyat]]*Tablo3[[#This Row],[Satış Adet]]</f>
        <v>6540</v>
      </c>
      <c r="F96" s="9">
        <v>2040</v>
      </c>
      <c r="G96" t="s">
        <v>47</v>
      </c>
      <c r="H96" t="s">
        <v>24</v>
      </c>
    </row>
    <row r="97" spans="1:8" x14ac:dyDescent="0.25">
      <c r="A97" t="s">
        <v>15</v>
      </c>
      <c r="B97" t="s">
        <v>54</v>
      </c>
      <c r="C97">
        <v>3</v>
      </c>
      <c r="D97" s="9">
        <v>5300</v>
      </c>
      <c r="E97" s="9">
        <f>+Tablo3[[#This Row],[Birim Fiyat]]*Tablo3[[#This Row],[Satış Adet]]</f>
        <v>15900</v>
      </c>
      <c r="F97" s="9">
        <v>3900</v>
      </c>
      <c r="G97" t="s">
        <v>47</v>
      </c>
      <c r="H97" t="s">
        <v>24</v>
      </c>
    </row>
    <row r="98" spans="1:8" x14ac:dyDescent="0.25">
      <c r="A98" t="s">
        <v>48</v>
      </c>
      <c r="B98" t="s">
        <v>54</v>
      </c>
      <c r="C98">
        <v>2</v>
      </c>
      <c r="D98" s="9">
        <v>5300</v>
      </c>
      <c r="E98" s="9">
        <f>+Tablo3[[#This Row],[Birim Fiyat]]*Tablo3[[#This Row],[Satış Adet]]</f>
        <v>10600</v>
      </c>
      <c r="F98" s="9">
        <v>2600</v>
      </c>
      <c r="G98" t="s">
        <v>47</v>
      </c>
      <c r="H98" t="s">
        <v>24</v>
      </c>
    </row>
    <row r="99" spans="1:8" x14ac:dyDescent="0.25">
      <c r="A99" t="s">
        <v>67</v>
      </c>
      <c r="B99" t="s">
        <v>25</v>
      </c>
      <c r="C99">
        <v>2</v>
      </c>
      <c r="D99" s="9">
        <v>7250</v>
      </c>
      <c r="E99" s="9">
        <f>+Tablo3[[#This Row],[Birim Fiyat]]*Tablo3[[#This Row],[Satış Adet]]</f>
        <v>14500</v>
      </c>
      <c r="F99" s="9">
        <v>4500</v>
      </c>
      <c r="G99" t="s">
        <v>47</v>
      </c>
      <c r="H99" t="s">
        <v>24</v>
      </c>
    </row>
    <row r="100" spans="1:8" x14ac:dyDescent="0.25">
      <c r="A100" t="s">
        <v>67</v>
      </c>
      <c r="B100" t="s">
        <v>51</v>
      </c>
      <c r="C100">
        <v>3</v>
      </c>
      <c r="D100" s="9">
        <v>1200</v>
      </c>
      <c r="E100" s="9">
        <f>+Tablo3[[#This Row],[Birim Fiyat]]*Tablo3[[#This Row],[Satış Adet]]</f>
        <v>3600</v>
      </c>
      <c r="F100" s="9">
        <v>1200</v>
      </c>
      <c r="G100" t="s">
        <v>47</v>
      </c>
      <c r="H100" t="s">
        <v>17</v>
      </c>
    </row>
    <row r="101" spans="1:8" x14ac:dyDescent="0.25">
      <c r="A101" t="s">
        <v>18</v>
      </c>
      <c r="B101" t="s">
        <v>9</v>
      </c>
      <c r="C101">
        <v>1</v>
      </c>
      <c r="D101" s="9">
        <v>6000</v>
      </c>
      <c r="E101" s="9">
        <f>+Tablo3[[#This Row],[Birim Fiyat]]*Tablo3[[#This Row],[Satış Adet]]</f>
        <v>6000</v>
      </c>
      <c r="F101" s="9">
        <v>2000</v>
      </c>
      <c r="G101" t="s">
        <v>47</v>
      </c>
      <c r="H101" t="s">
        <v>20</v>
      </c>
    </row>
    <row r="102" spans="1:8" x14ac:dyDescent="0.25">
      <c r="A102" t="s">
        <v>15</v>
      </c>
      <c r="B102" t="s">
        <v>16</v>
      </c>
      <c r="C102">
        <v>3</v>
      </c>
      <c r="D102" s="9">
        <v>8450</v>
      </c>
      <c r="E102" s="9">
        <f>+Tablo3[[#This Row],[Birim Fiyat]]*Tablo3[[#This Row],[Satış Adet]]</f>
        <v>25350</v>
      </c>
      <c r="F102" s="9">
        <v>7350</v>
      </c>
      <c r="G102" t="s">
        <v>47</v>
      </c>
      <c r="H102" t="s">
        <v>11</v>
      </c>
    </row>
    <row r="103" spans="1:8" x14ac:dyDescent="0.25">
      <c r="A103" t="s">
        <v>30</v>
      </c>
      <c r="B103" t="s">
        <v>43</v>
      </c>
      <c r="C103">
        <v>1</v>
      </c>
      <c r="D103" s="9">
        <v>4200</v>
      </c>
      <c r="E103" s="9">
        <f>+Tablo3[[#This Row],[Birim Fiyat]]*Tablo3[[#This Row],[Satış Adet]]</f>
        <v>4200</v>
      </c>
      <c r="F103" s="9">
        <v>1200</v>
      </c>
      <c r="G103" t="s">
        <v>47</v>
      </c>
      <c r="H103" t="s">
        <v>20</v>
      </c>
    </row>
    <row r="104" spans="1:8" x14ac:dyDescent="0.25">
      <c r="A104" t="s">
        <v>30</v>
      </c>
      <c r="B104" t="s">
        <v>37</v>
      </c>
      <c r="C104">
        <v>3</v>
      </c>
      <c r="D104" s="9">
        <v>10590</v>
      </c>
      <c r="E104" s="9">
        <f>+Tablo3[[#This Row],[Birim Fiyat]]*Tablo3[[#This Row],[Satış Adet]]</f>
        <v>31770</v>
      </c>
      <c r="F104" s="9">
        <v>13770</v>
      </c>
      <c r="G104" t="s">
        <v>47</v>
      </c>
      <c r="H104" t="s">
        <v>14</v>
      </c>
    </row>
    <row r="105" spans="1:8" x14ac:dyDescent="0.25">
      <c r="A105" t="s">
        <v>67</v>
      </c>
      <c r="B105" t="s">
        <v>51</v>
      </c>
      <c r="C105">
        <v>1</v>
      </c>
      <c r="D105" s="9">
        <v>1200</v>
      </c>
      <c r="E105" s="9">
        <f>+Tablo3[[#This Row],[Birim Fiyat]]*Tablo3[[#This Row],[Satış Adet]]</f>
        <v>1200</v>
      </c>
      <c r="F105" s="9">
        <v>400</v>
      </c>
      <c r="G105" t="s">
        <v>47</v>
      </c>
      <c r="H105" t="s">
        <v>20</v>
      </c>
    </row>
    <row r="106" spans="1:8" x14ac:dyDescent="0.25">
      <c r="A106" t="s">
        <v>46</v>
      </c>
      <c r="B106" t="s">
        <v>26</v>
      </c>
      <c r="C106">
        <v>2</v>
      </c>
      <c r="D106" s="9">
        <v>1100</v>
      </c>
      <c r="E106" s="9">
        <f>+Tablo3[[#This Row],[Birim Fiyat]]*Tablo3[[#This Row],[Satış Adet]]</f>
        <v>2200</v>
      </c>
      <c r="F106" s="9">
        <v>600</v>
      </c>
      <c r="G106" t="s">
        <v>47</v>
      </c>
      <c r="H106" t="s">
        <v>17</v>
      </c>
    </row>
    <row r="107" spans="1:8" x14ac:dyDescent="0.25">
      <c r="A107" t="s">
        <v>38</v>
      </c>
      <c r="B107" t="s">
        <v>49</v>
      </c>
      <c r="C107">
        <v>2</v>
      </c>
      <c r="D107" s="9">
        <v>3700</v>
      </c>
      <c r="E107" s="9">
        <f>+Tablo3[[#This Row],[Birim Fiyat]]*Tablo3[[#This Row],[Satış Adet]]</f>
        <v>7400</v>
      </c>
      <c r="F107" s="9">
        <v>1400</v>
      </c>
      <c r="G107" t="s">
        <v>47</v>
      </c>
      <c r="H107" t="s">
        <v>29</v>
      </c>
    </row>
    <row r="108" spans="1:8" x14ac:dyDescent="0.25">
      <c r="A108" t="s">
        <v>12</v>
      </c>
      <c r="B108" t="s">
        <v>56</v>
      </c>
      <c r="C108">
        <v>1</v>
      </c>
      <c r="D108" s="9">
        <v>3700</v>
      </c>
      <c r="E108" s="9">
        <f>+Tablo3[[#This Row],[Birim Fiyat]]*Tablo3[[#This Row],[Satış Adet]]</f>
        <v>3700</v>
      </c>
      <c r="F108" s="9">
        <v>700</v>
      </c>
      <c r="G108" t="s">
        <v>47</v>
      </c>
      <c r="H108" t="s">
        <v>40</v>
      </c>
    </row>
    <row r="109" spans="1:8" x14ac:dyDescent="0.25">
      <c r="A109" t="s">
        <v>30</v>
      </c>
      <c r="B109" t="s">
        <v>26</v>
      </c>
      <c r="C109">
        <v>3</v>
      </c>
      <c r="D109" s="9">
        <v>1100</v>
      </c>
      <c r="E109" s="9">
        <f>+Tablo3[[#This Row],[Birim Fiyat]]*Tablo3[[#This Row],[Satış Adet]]</f>
        <v>3300</v>
      </c>
      <c r="F109" s="9">
        <v>900</v>
      </c>
      <c r="G109" t="s">
        <v>47</v>
      </c>
      <c r="H109" t="s">
        <v>39</v>
      </c>
    </row>
    <row r="110" spans="1:8" x14ac:dyDescent="0.25">
      <c r="A110" t="s">
        <v>67</v>
      </c>
      <c r="B110" t="s">
        <v>56</v>
      </c>
      <c r="C110">
        <v>1</v>
      </c>
      <c r="D110" s="9">
        <v>3700</v>
      </c>
      <c r="E110" s="9">
        <f>+Tablo3[[#This Row],[Birim Fiyat]]*Tablo3[[#This Row],[Satış Adet]]</f>
        <v>3700</v>
      </c>
      <c r="F110" s="9">
        <v>700</v>
      </c>
      <c r="G110" t="s">
        <v>57</v>
      </c>
      <c r="H110" t="s">
        <v>39</v>
      </c>
    </row>
    <row r="111" spans="1:8" x14ac:dyDescent="0.25">
      <c r="A111" t="s">
        <v>46</v>
      </c>
      <c r="B111" t="s">
        <v>41</v>
      </c>
      <c r="C111">
        <v>1</v>
      </c>
      <c r="D111" s="9">
        <v>1490</v>
      </c>
      <c r="E111" s="9">
        <f>+Tablo3[[#This Row],[Birim Fiyat]]*Tablo3[[#This Row],[Satış Adet]]</f>
        <v>1490</v>
      </c>
      <c r="F111" s="9">
        <v>690</v>
      </c>
      <c r="G111" t="s">
        <v>57</v>
      </c>
      <c r="H111" t="s">
        <v>42</v>
      </c>
    </row>
    <row r="112" spans="1:8" x14ac:dyDescent="0.25">
      <c r="A112" t="s">
        <v>38</v>
      </c>
      <c r="B112" t="s">
        <v>55</v>
      </c>
      <c r="C112">
        <v>1</v>
      </c>
      <c r="D112" s="9">
        <v>1500</v>
      </c>
      <c r="E112" s="9">
        <f>+Tablo3[[#This Row],[Birim Fiyat]]*Tablo3[[#This Row],[Satış Adet]]</f>
        <v>1500</v>
      </c>
      <c r="F112" s="9">
        <v>700</v>
      </c>
      <c r="G112" t="s">
        <v>57</v>
      </c>
      <c r="H112" t="s">
        <v>27</v>
      </c>
    </row>
    <row r="113" spans="1:8" x14ac:dyDescent="0.25">
      <c r="A113" t="s">
        <v>36</v>
      </c>
      <c r="B113" t="s">
        <v>32</v>
      </c>
      <c r="C113">
        <v>2</v>
      </c>
      <c r="D113" s="9">
        <v>1090</v>
      </c>
      <c r="E113" s="9">
        <f>+Tablo3[[#This Row],[Birim Fiyat]]*Tablo3[[#This Row],[Satış Adet]]</f>
        <v>2180</v>
      </c>
      <c r="F113" s="9">
        <v>580</v>
      </c>
      <c r="G113" t="s">
        <v>57</v>
      </c>
      <c r="H113" t="s">
        <v>27</v>
      </c>
    </row>
    <row r="114" spans="1:8" x14ac:dyDescent="0.25">
      <c r="A114" t="s">
        <v>46</v>
      </c>
      <c r="B114" t="s">
        <v>31</v>
      </c>
      <c r="C114">
        <v>3</v>
      </c>
      <c r="D114" s="9">
        <v>1800</v>
      </c>
      <c r="E114" s="9">
        <f>+Tablo3[[#This Row],[Birim Fiyat]]*Tablo3[[#This Row],[Satış Adet]]</f>
        <v>5400</v>
      </c>
      <c r="F114" s="9">
        <v>3000</v>
      </c>
      <c r="G114" t="s">
        <v>57</v>
      </c>
      <c r="H114" t="s">
        <v>24</v>
      </c>
    </row>
    <row r="115" spans="1:8" x14ac:dyDescent="0.25">
      <c r="A115" t="s">
        <v>33</v>
      </c>
      <c r="B115" t="s">
        <v>53</v>
      </c>
      <c r="C115">
        <v>2</v>
      </c>
      <c r="D115" s="9">
        <v>7530</v>
      </c>
      <c r="E115" s="9">
        <f>+Tablo3[[#This Row],[Birim Fiyat]]*Tablo3[[#This Row],[Satış Adet]]</f>
        <v>15060</v>
      </c>
      <c r="F115" s="9">
        <v>3060</v>
      </c>
      <c r="G115" t="s">
        <v>57</v>
      </c>
      <c r="H115" t="s">
        <v>44</v>
      </c>
    </row>
    <row r="116" spans="1:8" x14ac:dyDescent="0.25">
      <c r="A116" t="s">
        <v>30</v>
      </c>
      <c r="B116" t="s">
        <v>26</v>
      </c>
      <c r="C116">
        <v>3</v>
      </c>
      <c r="D116" s="9">
        <v>1100</v>
      </c>
      <c r="E116" s="9">
        <f>+Tablo3[[#This Row],[Birim Fiyat]]*Tablo3[[#This Row],[Satış Adet]]</f>
        <v>3300</v>
      </c>
      <c r="F116" s="9">
        <v>900</v>
      </c>
      <c r="G116" t="s">
        <v>57</v>
      </c>
      <c r="H116" t="s">
        <v>44</v>
      </c>
    </row>
    <row r="117" spans="1:8" x14ac:dyDescent="0.25">
      <c r="A117" t="s">
        <v>38</v>
      </c>
      <c r="B117" t="s">
        <v>19</v>
      </c>
      <c r="C117">
        <v>3</v>
      </c>
      <c r="D117" s="9">
        <v>1350</v>
      </c>
      <c r="E117" s="9">
        <f>+Tablo3[[#This Row],[Birim Fiyat]]*Tablo3[[#This Row],[Satış Adet]]</f>
        <v>4050</v>
      </c>
      <c r="F117" s="9">
        <v>1650</v>
      </c>
      <c r="G117" t="s">
        <v>57</v>
      </c>
      <c r="H117" t="s">
        <v>52</v>
      </c>
    </row>
    <row r="118" spans="1:8" x14ac:dyDescent="0.25">
      <c r="A118" t="s">
        <v>36</v>
      </c>
      <c r="B118" t="s">
        <v>19</v>
      </c>
      <c r="C118">
        <v>1</v>
      </c>
      <c r="D118" s="9">
        <v>1350</v>
      </c>
      <c r="E118" s="9">
        <f>+Tablo3[[#This Row],[Birim Fiyat]]*Tablo3[[#This Row],[Satış Adet]]</f>
        <v>1350</v>
      </c>
      <c r="F118" s="9">
        <v>550</v>
      </c>
      <c r="G118" t="s">
        <v>57</v>
      </c>
      <c r="H118" t="s">
        <v>27</v>
      </c>
    </row>
    <row r="119" spans="1:8" x14ac:dyDescent="0.25">
      <c r="A119" t="s">
        <v>33</v>
      </c>
      <c r="B119" t="s">
        <v>32</v>
      </c>
      <c r="C119">
        <v>2</v>
      </c>
      <c r="D119" s="9">
        <v>1090</v>
      </c>
      <c r="E119" s="9">
        <f>+Tablo3[[#This Row],[Birim Fiyat]]*Tablo3[[#This Row],[Satış Adet]]</f>
        <v>2180</v>
      </c>
      <c r="F119" s="9">
        <v>580</v>
      </c>
      <c r="G119" t="s">
        <v>57</v>
      </c>
      <c r="H119" t="s">
        <v>20</v>
      </c>
    </row>
    <row r="120" spans="1:8" x14ac:dyDescent="0.25">
      <c r="A120" t="s">
        <v>33</v>
      </c>
      <c r="B120" t="s">
        <v>43</v>
      </c>
      <c r="C120">
        <v>1</v>
      </c>
      <c r="D120" s="9">
        <v>4200</v>
      </c>
      <c r="E120" s="9">
        <f>+Tablo3[[#This Row],[Birim Fiyat]]*Tablo3[[#This Row],[Satış Adet]]</f>
        <v>4200</v>
      </c>
      <c r="F120" s="9">
        <v>1200</v>
      </c>
      <c r="G120" t="s">
        <v>57</v>
      </c>
      <c r="H120" t="s">
        <v>39</v>
      </c>
    </row>
    <row r="121" spans="1:8" x14ac:dyDescent="0.25">
      <c r="A121" t="s">
        <v>38</v>
      </c>
      <c r="B121" t="s">
        <v>31</v>
      </c>
      <c r="C121">
        <v>2</v>
      </c>
      <c r="D121" s="9">
        <v>1800</v>
      </c>
      <c r="E121" s="9">
        <f>+Tablo3[[#This Row],[Birim Fiyat]]*Tablo3[[#This Row],[Satış Adet]]</f>
        <v>3600</v>
      </c>
      <c r="F121" s="9">
        <v>2000</v>
      </c>
      <c r="G121" t="s">
        <v>57</v>
      </c>
      <c r="H121" t="s">
        <v>52</v>
      </c>
    </row>
    <row r="122" spans="1:8" x14ac:dyDescent="0.25">
      <c r="A122" t="s">
        <v>48</v>
      </c>
      <c r="B122" t="s">
        <v>32</v>
      </c>
      <c r="C122">
        <v>1</v>
      </c>
      <c r="D122" s="9">
        <v>1090</v>
      </c>
      <c r="E122" s="9">
        <f>+Tablo3[[#This Row],[Birim Fiyat]]*Tablo3[[#This Row],[Satış Adet]]</f>
        <v>1090</v>
      </c>
      <c r="F122" s="9">
        <v>290</v>
      </c>
      <c r="G122" t="s">
        <v>57</v>
      </c>
      <c r="H122" t="s">
        <v>35</v>
      </c>
    </row>
    <row r="123" spans="1:8" x14ac:dyDescent="0.25">
      <c r="A123" t="s">
        <v>8</v>
      </c>
      <c r="B123" t="s">
        <v>23</v>
      </c>
      <c r="C123">
        <v>1</v>
      </c>
      <c r="D123" s="9">
        <v>7600</v>
      </c>
      <c r="E123" s="9">
        <f>+Tablo3[[#This Row],[Birim Fiyat]]*Tablo3[[#This Row],[Satış Adet]]</f>
        <v>7600</v>
      </c>
      <c r="F123" s="9">
        <v>1600</v>
      </c>
      <c r="G123" t="s">
        <v>57</v>
      </c>
      <c r="H123" t="s">
        <v>11</v>
      </c>
    </row>
    <row r="124" spans="1:8" x14ac:dyDescent="0.25">
      <c r="A124" t="s">
        <v>36</v>
      </c>
      <c r="B124" t="s">
        <v>23</v>
      </c>
      <c r="C124">
        <v>3</v>
      </c>
      <c r="D124" s="9">
        <v>7600</v>
      </c>
      <c r="E124" s="9">
        <f>+Tablo3[[#This Row],[Birim Fiyat]]*Tablo3[[#This Row],[Satış Adet]]</f>
        <v>22800</v>
      </c>
      <c r="F124" s="9">
        <v>4800</v>
      </c>
      <c r="G124" t="s">
        <v>57</v>
      </c>
      <c r="H124" t="s">
        <v>17</v>
      </c>
    </row>
    <row r="125" spans="1:8" x14ac:dyDescent="0.25">
      <c r="A125" t="s">
        <v>15</v>
      </c>
      <c r="B125" t="s">
        <v>56</v>
      </c>
      <c r="C125">
        <v>1</v>
      </c>
      <c r="D125" s="9">
        <v>3700</v>
      </c>
      <c r="E125" s="9">
        <f>+Tablo3[[#This Row],[Birim Fiyat]]*Tablo3[[#This Row],[Satış Adet]]</f>
        <v>3700</v>
      </c>
      <c r="F125" s="9">
        <v>700</v>
      </c>
      <c r="G125" t="s">
        <v>57</v>
      </c>
      <c r="H125" t="s">
        <v>14</v>
      </c>
    </row>
    <row r="126" spans="1:8" x14ac:dyDescent="0.25">
      <c r="A126" t="s">
        <v>22</v>
      </c>
      <c r="B126" t="s">
        <v>25</v>
      </c>
      <c r="C126">
        <v>3</v>
      </c>
      <c r="D126" s="9">
        <v>7250</v>
      </c>
      <c r="E126" s="9">
        <f>+Tablo3[[#This Row],[Birim Fiyat]]*Tablo3[[#This Row],[Satış Adet]]</f>
        <v>21750</v>
      </c>
      <c r="F126" s="9">
        <v>6750</v>
      </c>
      <c r="G126" t="s">
        <v>57</v>
      </c>
      <c r="H126" t="s">
        <v>35</v>
      </c>
    </row>
    <row r="127" spans="1:8" x14ac:dyDescent="0.25">
      <c r="A127" t="s">
        <v>12</v>
      </c>
      <c r="B127" t="s">
        <v>23</v>
      </c>
      <c r="C127">
        <v>3</v>
      </c>
      <c r="D127" s="9">
        <v>7600</v>
      </c>
      <c r="E127" s="9">
        <f>+Tablo3[[#This Row],[Birim Fiyat]]*Tablo3[[#This Row],[Satış Adet]]</f>
        <v>22800</v>
      </c>
      <c r="F127" s="9">
        <v>4800</v>
      </c>
      <c r="G127" t="s">
        <v>57</v>
      </c>
      <c r="H127" t="s">
        <v>44</v>
      </c>
    </row>
    <row r="128" spans="1:8" x14ac:dyDescent="0.25">
      <c r="A128" t="s">
        <v>46</v>
      </c>
      <c r="B128" t="s">
        <v>43</v>
      </c>
      <c r="C128">
        <v>1</v>
      </c>
      <c r="D128" s="9">
        <v>4200</v>
      </c>
      <c r="E128" s="9">
        <f>+Tablo3[[#This Row],[Birim Fiyat]]*Tablo3[[#This Row],[Satış Adet]]</f>
        <v>4200</v>
      </c>
      <c r="F128" s="9">
        <v>1200</v>
      </c>
      <c r="G128" t="s">
        <v>57</v>
      </c>
      <c r="H128" t="s">
        <v>27</v>
      </c>
    </row>
    <row r="129" spans="1:8" x14ac:dyDescent="0.25">
      <c r="A129" t="s">
        <v>30</v>
      </c>
      <c r="B129" t="s">
        <v>50</v>
      </c>
      <c r="C129">
        <v>3</v>
      </c>
      <c r="D129" s="9">
        <v>1250</v>
      </c>
      <c r="E129" s="9">
        <f>+Tablo3[[#This Row],[Birim Fiyat]]*Tablo3[[#This Row],[Satış Adet]]</f>
        <v>3750</v>
      </c>
      <c r="F129" s="9">
        <v>1350</v>
      </c>
      <c r="G129" t="s">
        <v>57</v>
      </c>
      <c r="H129" t="s">
        <v>24</v>
      </c>
    </row>
    <row r="130" spans="1:8" x14ac:dyDescent="0.25">
      <c r="A130" t="s">
        <v>36</v>
      </c>
      <c r="B130" t="s">
        <v>32</v>
      </c>
      <c r="C130">
        <v>1</v>
      </c>
      <c r="D130" s="9">
        <v>1090</v>
      </c>
      <c r="E130" s="9">
        <f>+Tablo3[[#This Row],[Birim Fiyat]]*Tablo3[[#This Row],[Satış Adet]]</f>
        <v>1090</v>
      </c>
      <c r="F130" s="9">
        <v>290</v>
      </c>
      <c r="G130" t="s">
        <v>57</v>
      </c>
      <c r="H130" t="s">
        <v>14</v>
      </c>
    </row>
    <row r="131" spans="1:8" x14ac:dyDescent="0.25">
      <c r="A131" t="s">
        <v>18</v>
      </c>
      <c r="B131" t="s">
        <v>21</v>
      </c>
      <c r="C131">
        <v>1</v>
      </c>
      <c r="D131" s="9">
        <v>2180</v>
      </c>
      <c r="E131" s="9">
        <f>+Tablo3[[#This Row],[Birim Fiyat]]*Tablo3[[#This Row],[Satış Adet]]</f>
        <v>2180</v>
      </c>
      <c r="F131" s="9">
        <v>680</v>
      </c>
      <c r="G131" t="s">
        <v>57</v>
      </c>
      <c r="H131" t="s">
        <v>35</v>
      </c>
    </row>
    <row r="132" spans="1:8" x14ac:dyDescent="0.25">
      <c r="A132" t="s">
        <v>48</v>
      </c>
      <c r="B132" t="s">
        <v>56</v>
      </c>
      <c r="C132">
        <v>2</v>
      </c>
      <c r="D132" s="9">
        <v>3700</v>
      </c>
      <c r="E132" s="9">
        <f>+Tablo3[[#This Row],[Birim Fiyat]]*Tablo3[[#This Row],[Satış Adet]]</f>
        <v>7400</v>
      </c>
      <c r="F132" s="9">
        <v>1400</v>
      </c>
      <c r="G132" t="s">
        <v>57</v>
      </c>
      <c r="H132" t="s">
        <v>27</v>
      </c>
    </row>
    <row r="133" spans="1:8" x14ac:dyDescent="0.25">
      <c r="A133" t="s">
        <v>38</v>
      </c>
      <c r="B133" t="s">
        <v>9</v>
      </c>
      <c r="C133">
        <v>2</v>
      </c>
      <c r="D133" s="9">
        <v>6000</v>
      </c>
      <c r="E133" s="9">
        <f>+Tablo3[[#This Row],[Birim Fiyat]]*Tablo3[[#This Row],[Satış Adet]]</f>
        <v>12000</v>
      </c>
      <c r="F133" s="9">
        <v>4000</v>
      </c>
      <c r="G133" t="s">
        <v>57</v>
      </c>
      <c r="H133" t="s">
        <v>14</v>
      </c>
    </row>
    <row r="134" spans="1:8" x14ac:dyDescent="0.25">
      <c r="A134" t="s">
        <v>46</v>
      </c>
      <c r="B134" t="s">
        <v>50</v>
      </c>
      <c r="C134">
        <v>2</v>
      </c>
      <c r="D134" s="9">
        <v>1250</v>
      </c>
      <c r="E134" s="9">
        <f>+Tablo3[[#This Row],[Birim Fiyat]]*Tablo3[[#This Row],[Satış Adet]]</f>
        <v>2500</v>
      </c>
      <c r="F134" s="9">
        <v>900</v>
      </c>
      <c r="G134" t="s">
        <v>57</v>
      </c>
      <c r="H134" t="s">
        <v>27</v>
      </c>
    </row>
    <row r="135" spans="1:8" x14ac:dyDescent="0.25">
      <c r="A135" t="s">
        <v>48</v>
      </c>
      <c r="B135" t="s">
        <v>23</v>
      </c>
      <c r="C135">
        <v>1</v>
      </c>
      <c r="D135" s="9">
        <v>7600</v>
      </c>
      <c r="E135" s="9">
        <f>+Tablo3[[#This Row],[Birim Fiyat]]*Tablo3[[#This Row],[Satış Adet]]</f>
        <v>7600</v>
      </c>
      <c r="F135" s="9">
        <v>1600</v>
      </c>
      <c r="G135" t="s">
        <v>57</v>
      </c>
      <c r="H135" t="s">
        <v>20</v>
      </c>
    </row>
    <row r="136" spans="1:8" x14ac:dyDescent="0.25">
      <c r="A136" t="s">
        <v>8</v>
      </c>
      <c r="B136" t="s">
        <v>13</v>
      </c>
      <c r="C136">
        <v>2</v>
      </c>
      <c r="D136" s="9">
        <v>1400</v>
      </c>
      <c r="E136" s="9">
        <f>+Tablo3[[#This Row],[Birim Fiyat]]*Tablo3[[#This Row],[Satış Adet]]</f>
        <v>2800</v>
      </c>
      <c r="F136" s="9">
        <v>1200</v>
      </c>
      <c r="G136" t="s">
        <v>57</v>
      </c>
      <c r="H136" t="s">
        <v>40</v>
      </c>
    </row>
    <row r="137" spans="1:8" x14ac:dyDescent="0.25">
      <c r="A137" t="s">
        <v>22</v>
      </c>
      <c r="B137" t="s">
        <v>21</v>
      </c>
      <c r="C137">
        <v>2</v>
      </c>
      <c r="D137" s="9">
        <v>2180</v>
      </c>
      <c r="E137" s="9">
        <f>+Tablo3[[#This Row],[Birim Fiyat]]*Tablo3[[#This Row],[Satış Adet]]</f>
        <v>4360</v>
      </c>
      <c r="F137" s="9">
        <v>1360</v>
      </c>
      <c r="G137" t="s">
        <v>57</v>
      </c>
      <c r="H137" t="s">
        <v>42</v>
      </c>
    </row>
    <row r="138" spans="1:8" x14ac:dyDescent="0.25">
      <c r="A138" t="s">
        <v>8</v>
      </c>
      <c r="B138" t="s">
        <v>49</v>
      </c>
      <c r="C138">
        <v>3</v>
      </c>
      <c r="D138" s="9">
        <v>1800</v>
      </c>
      <c r="E138" s="9">
        <f>+Tablo3[[#This Row],[Birim Fiyat]]*Tablo3[[#This Row],[Satış Adet]]</f>
        <v>5400</v>
      </c>
      <c r="F138" s="9">
        <v>3000</v>
      </c>
      <c r="G138" t="s">
        <v>57</v>
      </c>
      <c r="H138" t="s">
        <v>29</v>
      </c>
    </row>
    <row r="139" spans="1:8" x14ac:dyDescent="0.25">
      <c r="A139" t="s">
        <v>15</v>
      </c>
      <c r="B139" t="s">
        <v>55</v>
      </c>
      <c r="C139">
        <v>1</v>
      </c>
      <c r="D139" s="9">
        <v>1500</v>
      </c>
      <c r="E139" s="9">
        <f>+Tablo3[[#This Row],[Birim Fiyat]]*Tablo3[[#This Row],[Satış Adet]]</f>
        <v>1500</v>
      </c>
      <c r="F139" s="9">
        <v>700</v>
      </c>
      <c r="G139" t="s">
        <v>57</v>
      </c>
      <c r="H139" t="s">
        <v>14</v>
      </c>
    </row>
    <row r="140" spans="1:8" x14ac:dyDescent="0.25">
      <c r="A140" t="s">
        <v>30</v>
      </c>
      <c r="B140" t="s">
        <v>16</v>
      </c>
      <c r="C140">
        <v>3</v>
      </c>
      <c r="D140" s="9">
        <v>8450</v>
      </c>
      <c r="E140" s="9">
        <f>+Tablo3[[#This Row],[Birim Fiyat]]*Tablo3[[#This Row],[Satış Adet]]</f>
        <v>25350</v>
      </c>
      <c r="F140" s="9">
        <v>7350</v>
      </c>
      <c r="G140" t="s">
        <v>57</v>
      </c>
      <c r="H140" t="s">
        <v>35</v>
      </c>
    </row>
    <row r="141" spans="1:8" x14ac:dyDescent="0.25">
      <c r="A141" t="s">
        <v>38</v>
      </c>
      <c r="B141" t="s">
        <v>55</v>
      </c>
      <c r="C141">
        <v>3</v>
      </c>
      <c r="D141" s="9">
        <v>1500</v>
      </c>
      <c r="E141" s="9">
        <f>+Tablo3[[#This Row],[Birim Fiyat]]*Tablo3[[#This Row],[Satış Adet]]</f>
        <v>4500</v>
      </c>
      <c r="F141" s="9">
        <v>2100</v>
      </c>
      <c r="G141" t="s">
        <v>57</v>
      </c>
      <c r="H141" t="s">
        <v>39</v>
      </c>
    </row>
    <row r="142" spans="1:8" x14ac:dyDescent="0.25">
      <c r="A142" t="s">
        <v>67</v>
      </c>
      <c r="B142" t="s">
        <v>9</v>
      </c>
      <c r="C142">
        <v>3</v>
      </c>
      <c r="D142" s="9">
        <v>6000</v>
      </c>
      <c r="E142" s="9">
        <f>+Tablo3[[#This Row],[Birim Fiyat]]*Tablo3[[#This Row],[Satış Adet]]</f>
        <v>18000</v>
      </c>
      <c r="F142" s="9">
        <v>6000</v>
      </c>
      <c r="G142" t="s">
        <v>57</v>
      </c>
      <c r="H142" t="s">
        <v>52</v>
      </c>
    </row>
    <row r="143" spans="1:8" x14ac:dyDescent="0.25">
      <c r="A143" t="s">
        <v>48</v>
      </c>
      <c r="B143" t="s">
        <v>51</v>
      </c>
      <c r="C143">
        <v>1</v>
      </c>
      <c r="D143" s="9">
        <v>1200</v>
      </c>
      <c r="E143" s="9">
        <f>+Tablo3[[#This Row],[Birim Fiyat]]*Tablo3[[#This Row],[Satış Adet]]</f>
        <v>1200</v>
      </c>
      <c r="F143" s="9">
        <v>400</v>
      </c>
      <c r="G143" t="s">
        <v>57</v>
      </c>
      <c r="H143" t="s">
        <v>40</v>
      </c>
    </row>
    <row r="144" spans="1:8" x14ac:dyDescent="0.25">
      <c r="A144" t="s">
        <v>8</v>
      </c>
      <c r="B144" t="s">
        <v>43</v>
      </c>
      <c r="C144">
        <v>3</v>
      </c>
      <c r="D144" s="9">
        <v>4200</v>
      </c>
      <c r="E144" s="9">
        <f>+Tablo3[[#This Row],[Birim Fiyat]]*Tablo3[[#This Row],[Satış Adet]]</f>
        <v>12600</v>
      </c>
      <c r="F144" s="9">
        <v>3600</v>
      </c>
      <c r="G144" t="s">
        <v>57</v>
      </c>
      <c r="H144" t="s">
        <v>27</v>
      </c>
    </row>
    <row r="145" spans="1:8" x14ac:dyDescent="0.25">
      <c r="A145" t="s">
        <v>46</v>
      </c>
      <c r="B145" t="s">
        <v>23</v>
      </c>
      <c r="C145">
        <v>3</v>
      </c>
      <c r="D145" s="9">
        <v>7600</v>
      </c>
      <c r="E145" s="9">
        <f>+Tablo3[[#This Row],[Birim Fiyat]]*Tablo3[[#This Row],[Satış Adet]]</f>
        <v>22800</v>
      </c>
      <c r="F145" s="9">
        <v>4800</v>
      </c>
      <c r="G145" t="s">
        <v>57</v>
      </c>
      <c r="H145" t="s">
        <v>52</v>
      </c>
    </row>
    <row r="146" spans="1:8" x14ac:dyDescent="0.25">
      <c r="A146" t="s">
        <v>67</v>
      </c>
      <c r="B146" t="s">
        <v>25</v>
      </c>
      <c r="C146">
        <v>2</v>
      </c>
      <c r="D146" s="9">
        <v>7250</v>
      </c>
      <c r="E146" s="9">
        <f>+Tablo3[[#This Row],[Birim Fiyat]]*Tablo3[[#This Row],[Satış Adet]]</f>
        <v>14500</v>
      </c>
      <c r="F146" s="9">
        <v>4500</v>
      </c>
      <c r="G146" t="s">
        <v>58</v>
      </c>
      <c r="H146" t="s">
        <v>42</v>
      </c>
    </row>
    <row r="147" spans="1:8" x14ac:dyDescent="0.25">
      <c r="A147" t="s">
        <v>12</v>
      </c>
      <c r="B147" t="s">
        <v>53</v>
      </c>
      <c r="C147">
        <v>2</v>
      </c>
      <c r="D147" s="9">
        <v>7530</v>
      </c>
      <c r="E147" s="9">
        <f>+Tablo3[[#This Row],[Birim Fiyat]]*Tablo3[[#This Row],[Satış Adet]]</f>
        <v>15060</v>
      </c>
      <c r="F147" s="9">
        <v>3060</v>
      </c>
      <c r="G147" t="s">
        <v>58</v>
      </c>
      <c r="H147" t="s">
        <v>17</v>
      </c>
    </row>
    <row r="148" spans="1:8" x14ac:dyDescent="0.25">
      <c r="A148" t="s">
        <v>15</v>
      </c>
      <c r="B148" t="s">
        <v>25</v>
      </c>
      <c r="C148">
        <v>2</v>
      </c>
      <c r="D148" s="9">
        <v>7250</v>
      </c>
      <c r="E148" s="9">
        <f>+Tablo3[[#This Row],[Birim Fiyat]]*Tablo3[[#This Row],[Satış Adet]]</f>
        <v>14500</v>
      </c>
      <c r="F148" s="9">
        <v>4500</v>
      </c>
      <c r="G148" t="s">
        <v>58</v>
      </c>
      <c r="H148" t="s">
        <v>14</v>
      </c>
    </row>
    <row r="149" spans="1:8" x14ac:dyDescent="0.25">
      <c r="A149" t="s">
        <v>12</v>
      </c>
      <c r="B149" t="s">
        <v>9</v>
      </c>
      <c r="C149">
        <v>1</v>
      </c>
      <c r="D149" s="9">
        <v>6000</v>
      </c>
      <c r="E149" s="9">
        <f>+Tablo3[[#This Row],[Birim Fiyat]]*Tablo3[[#This Row],[Satış Adet]]</f>
        <v>6000</v>
      </c>
      <c r="F149" s="9">
        <v>2000</v>
      </c>
      <c r="G149" t="s">
        <v>58</v>
      </c>
      <c r="H149" t="s">
        <v>24</v>
      </c>
    </row>
    <row r="150" spans="1:8" x14ac:dyDescent="0.25">
      <c r="A150" t="s">
        <v>67</v>
      </c>
      <c r="B150" t="s">
        <v>51</v>
      </c>
      <c r="C150">
        <v>3</v>
      </c>
      <c r="D150" s="9">
        <v>1200</v>
      </c>
      <c r="E150" s="9">
        <f>+Tablo3[[#This Row],[Birim Fiyat]]*Tablo3[[#This Row],[Satış Adet]]</f>
        <v>3600</v>
      </c>
      <c r="F150" s="9">
        <v>1200</v>
      </c>
      <c r="G150" t="s">
        <v>58</v>
      </c>
      <c r="H150" t="s">
        <v>17</v>
      </c>
    </row>
    <row r="151" spans="1:8" x14ac:dyDescent="0.25">
      <c r="A151" t="s">
        <v>48</v>
      </c>
      <c r="B151" t="s">
        <v>54</v>
      </c>
      <c r="C151">
        <v>2</v>
      </c>
      <c r="D151" s="9">
        <v>5300</v>
      </c>
      <c r="E151" s="9">
        <f>+Tablo3[[#This Row],[Birim Fiyat]]*Tablo3[[#This Row],[Satış Adet]]</f>
        <v>10600</v>
      </c>
      <c r="F151" s="9">
        <v>2600</v>
      </c>
      <c r="G151" t="s">
        <v>58</v>
      </c>
      <c r="H151" t="s">
        <v>27</v>
      </c>
    </row>
    <row r="152" spans="1:8" x14ac:dyDescent="0.25">
      <c r="A152" t="s">
        <v>36</v>
      </c>
      <c r="B152" t="s">
        <v>16</v>
      </c>
      <c r="C152">
        <v>2</v>
      </c>
      <c r="D152" s="9">
        <v>8450</v>
      </c>
      <c r="E152" s="9">
        <f>+Tablo3[[#This Row],[Birim Fiyat]]*Tablo3[[#This Row],[Satış Adet]]</f>
        <v>16900</v>
      </c>
      <c r="F152" s="9">
        <v>4900</v>
      </c>
      <c r="G152" t="s">
        <v>58</v>
      </c>
      <c r="H152" t="s">
        <v>20</v>
      </c>
    </row>
    <row r="153" spans="1:8" x14ac:dyDescent="0.25">
      <c r="A153" t="s">
        <v>22</v>
      </c>
      <c r="B153" t="s">
        <v>19</v>
      </c>
      <c r="C153">
        <v>1</v>
      </c>
      <c r="D153" s="9">
        <v>1350</v>
      </c>
      <c r="E153" s="9">
        <f>+Tablo3[[#This Row],[Birim Fiyat]]*Tablo3[[#This Row],[Satış Adet]]</f>
        <v>1350</v>
      </c>
      <c r="F153" s="9">
        <v>550</v>
      </c>
      <c r="G153" t="s">
        <v>58</v>
      </c>
      <c r="H153" t="s">
        <v>35</v>
      </c>
    </row>
    <row r="154" spans="1:8" x14ac:dyDescent="0.25">
      <c r="A154" t="s">
        <v>30</v>
      </c>
      <c r="B154" t="s">
        <v>32</v>
      </c>
      <c r="C154">
        <v>1</v>
      </c>
      <c r="D154" s="9">
        <v>1090</v>
      </c>
      <c r="E154" s="9">
        <f>+Tablo3[[#This Row],[Birim Fiyat]]*Tablo3[[#This Row],[Satış Adet]]</f>
        <v>1090</v>
      </c>
      <c r="F154" s="9">
        <v>290</v>
      </c>
      <c r="G154" t="s">
        <v>58</v>
      </c>
      <c r="H154" t="s">
        <v>14</v>
      </c>
    </row>
    <row r="155" spans="1:8" x14ac:dyDescent="0.25">
      <c r="A155" t="s">
        <v>22</v>
      </c>
      <c r="B155" t="s">
        <v>21</v>
      </c>
      <c r="C155">
        <v>1</v>
      </c>
      <c r="D155" s="9">
        <v>2180</v>
      </c>
      <c r="E155" s="9">
        <f>+Tablo3[[#This Row],[Birim Fiyat]]*Tablo3[[#This Row],[Satış Adet]]</f>
        <v>2180</v>
      </c>
      <c r="F155" s="9">
        <v>680</v>
      </c>
      <c r="G155" t="s">
        <v>58</v>
      </c>
      <c r="H155" t="s">
        <v>39</v>
      </c>
    </row>
    <row r="156" spans="1:8" x14ac:dyDescent="0.25">
      <c r="A156" t="s">
        <v>8</v>
      </c>
      <c r="B156" t="s">
        <v>49</v>
      </c>
      <c r="C156">
        <v>2</v>
      </c>
      <c r="D156" s="9">
        <v>6000</v>
      </c>
      <c r="E156" s="9">
        <f>+Tablo3[[#This Row],[Birim Fiyat]]*Tablo3[[#This Row],[Satış Adet]]</f>
        <v>12000</v>
      </c>
      <c r="F156" s="9">
        <v>4000</v>
      </c>
      <c r="G156" t="s">
        <v>58</v>
      </c>
      <c r="H156" t="s">
        <v>40</v>
      </c>
    </row>
    <row r="157" spans="1:8" x14ac:dyDescent="0.25">
      <c r="A157" t="s">
        <v>12</v>
      </c>
      <c r="B157" t="s">
        <v>13</v>
      </c>
      <c r="C157">
        <v>2</v>
      </c>
      <c r="D157" s="9">
        <v>1400</v>
      </c>
      <c r="E157" s="9">
        <f>+Tablo3[[#This Row],[Birim Fiyat]]*Tablo3[[#This Row],[Satış Adet]]</f>
        <v>2800</v>
      </c>
      <c r="F157" s="9">
        <v>1200</v>
      </c>
      <c r="G157" t="s">
        <v>58</v>
      </c>
      <c r="H157" t="s">
        <v>35</v>
      </c>
    </row>
    <row r="158" spans="1:8" x14ac:dyDescent="0.25">
      <c r="A158" t="s">
        <v>15</v>
      </c>
      <c r="B158" t="s">
        <v>16</v>
      </c>
      <c r="C158">
        <v>2</v>
      </c>
      <c r="D158" s="9">
        <v>8450</v>
      </c>
      <c r="E158" s="9">
        <f>+Tablo3[[#This Row],[Birim Fiyat]]*Tablo3[[#This Row],[Satış Adet]]</f>
        <v>16900</v>
      </c>
      <c r="F158" s="9">
        <v>4900</v>
      </c>
      <c r="G158" t="s">
        <v>58</v>
      </c>
      <c r="H158" t="s">
        <v>29</v>
      </c>
    </row>
    <row r="159" spans="1:8" x14ac:dyDescent="0.25">
      <c r="A159" t="s">
        <v>18</v>
      </c>
      <c r="B159" t="s">
        <v>19</v>
      </c>
      <c r="C159">
        <v>3</v>
      </c>
      <c r="D159" s="9">
        <v>1350</v>
      </c>
      <c r="E159" s="9">
        <f>+Tablo3[[#This Row],[Birim Fiyat]]*Tablo3[[#This Row],[Satış Adet]]</f>
        <v>4050</v>
      </c>
      <c r="F159" s="9">
        <v>1650</v>
      </c>
      <c r="G159" t="s">
        <v>58</v>
      </c>
      <c r="H159" t="s">
        <v>42</v>
      </c>
    </row>
    <row r="160" spans="1:8" x14ac:dyDescent="0.25">
      <c r="A160" t="s">
        <v>8</v>
      </c>
      <c r="B160" t="s">
        <v>21</v>
      </c>
      <c r="C160">
        <v>2</v>
      </c>
      <c r="D160" s="9">
        <v>2180</v>
      </c>
      <c r="E160" s="9">
        <f>+Tablo3[[#This Row],[Birim Fiyat]]*Tablo3[[#This Row],[Satış Adet]]</f>
        <v>4360</v>
      </c>
      <c r="F160" s="9">
        <v>1360</v>
      </c>
      <c r="G160" t="s">
        <v>58</v>
      </c>
      <c r="H160" t="s">
        <v>11</v>
      </c>
    </row>
    <row r="161" spans="1:8" x14ac:dyDescent="0.25">
      <c r="A161" t="s">
        <v>22</v>
      </c>
      <c r="B161" t="s">
        <v>23</v>
      </c>
      <c r="C161">
        <v>2</v>
      </c>
      <c r="D161" s="9">
        <v>7600</v>
      </c>
      <c r="E161" s="9">
        <f>+Tablo3[[#This Row],[Birim Fiyat]]*Tablo3[[#This Row],[Satış Adet]]</f>
        <v>15200</v>
      </c>
      <c r="F161" s="9">
        <v>3200</v>
      </c>
      <c r="G161" t="s">
        <v>58</v>
      </c>
      <c r="H161" t="s">
        <v>27</v>
      </c>
    </row>
    <row r="162" spans="1:8" x14ac:dyDescent="0.25">
      <c r="A162" t="s">
        <v>12</v>
      </c>
      <c r="B162" t="s">
        <v>25</v>
      </c>
      <c r="C162">
        <v>2</v>
      </c>
      <c r="D162" s="9">
        <v>7250</v>
      </c>
      <c r="E162" s="9">
        <f>+Tablo3[[#This Row],[Birim Fiyat]]*Tablo3[[#This Row],[Satış Adet]]</f>
        <v>14500</v>
      </c>
      <c r="F162" s="9">
        <v>4500</v>
      </c>
      <c r="G162" t="s">
        <v>58</v>
      </c>
      <c r="H162" t="s">
        <v>42</v>
      </c>
    </row>
    <row r="163" spans="1:8" x14ac:dyDescent="0.25">
      <c r="A163" t="s">
        <v>18</v>
      </c>
      <c r="B163" t="s">
        <v>56</v>
      </c>
      <c r="C163">
        <v>3</v>
      </c>
      <c r="D163" s="9">
        <v>1100</v>
      </c>
      <c r="E163" s="9">
        <f>+Tablo3[[#This Row],[Birim Fiyat]]*Tablo3[[#This Row],[Satış Adet]]</f>
        <v>3300</v>
      </c>
      <c r="F163" s="9">
        <v>900</v>
      </c>
      <c r="G163" t="s">
        <v>58</v>
      </c>
      <c r="H163" t="s">
        <v>39</v>
      </c>
    </row>
    <row r="164" spans="1:8" x14ac:dyDescent="0.25">
      <c r="A164" t="s">
        <v>67</v>
      </c>
      <c r="B164" t="s">
        <v>9</v>
      </c>
      <c r="C164">
        <v>2</v>
      </c>
      <c r="D164" s="9">
        <v>6000</v>
      </c>
      <c r="E164" s="9">
        <f>+Tablo3[[#This Row],[Birim Fiyat]]*Tablo3[[#This Row],[Satış Adet]]</f>
        <v>12000</v>
      </c>
      <c r="F164" s="9">
        <v>4000</v>
      </c>
      <c r="G164" t="s">
        <v>58</v>
      </c>
      <c r="H164" t="s">
        <v>17</v>
      </c>
    </row>
    <row r="165" spans="1:8" x14ac:dyDescent="0.25">
      <c r="A165" t="s">
        <v>8</v>
      </c>
      <c r="B165" t="s">
        <v>28</v>
      </c>
      <c r="C165">
        <v>1</v>
      </c>
      <c r="D165" s="9">
        <v>1200</v>
      </c>
      <c r="E165" s="9">
        <f>+Tablo3[[#This Row],[Birim Fiyat]]*Tablo3[[#This Row],[Satış Adet]]</f>
        <v>1200</v>
      </c>
      <c r="F165" s="9">
        <v>400</v>
      </c>
      <c r="G165" t="s">
        <v>58</v>
      </c>
      <c r="H165" t="s">
        <v>40</v>
      </c>
    </row>
    <row r="166" spans="1:8" x14ac:dyDescent="0.25">
      <c r="A166" t="s">
        <v>30</v>
      </c>
      <c r="B166" t="s">
        <v>31</v>
      </c>
      <c r="C166">
        <v>2</v>
      </c>
      <c r="D166" s="9">
        <v>1800</v>
      </c>
      <c r="E166" s="9">
        <f>+Tablo3[[#This Row],[Birim Fiyat]]*Tablo3[[#This Row],[Satış Adet]]</f>
        <v>3600</v>
      </c>
      <c r="F166" s="9">
        <v>2000</v>
      </c>
      <c r="G166" t="s">
        <v>58</v>
      </c>
      <c r="H166" t="s">
        <v>40</v>
      </c>
    </row>
    <row r="167" spans="1:8" x14ac:dyDescent="0.25">
      <c r="A167" t="s">
        <v>30</v>
      </c>
      <c r="B167" t="s">
        <v>32</v>
      </c>
      <c r="C167">
        <v>2</v>
      </c>
      <c r="D167" s="9">
        <v>1090</v>
      </c>
      <c r="E167" s="9">
        <f>+Tablo3[[#This Row],[Birim Fiyat]]*Tablo3[[#This Row],[Satış Adet]]</f>
        <v>2180</v>
      </c>
      <c r="F167" s="9">
        <v>580</v>
      </c>
      <c r="G167" t="s">
        <v>58</v>
      </c>
      <c r="H167" t="s">
        <v>17</v>
      </c>
    </row>
    <row r="168" spans="1:8" x14ac:dyDescent="0.25">
      <c r="A168" t="s">
        <v>67</v>
      </c>
      <c r="B168" t="s">
        <v>21</v>
      </c>
      <c r="C168">
        <v>3</v>
      </c>
      <c r="D168" s="9">
        <v>2180</v>
      </c>
      <c r="E168" s="9">
        <f>+Tablo3[[#This Row],[Birim Fiyat]]*Tablo3[[#This Row],[Satış Adet]]</f>
        <v>6540</v>
      </c>
      <c r="F168" s="9">
        <v>2040</v>
      </c>
      <c r="G168" t="s">
        <v>58</v>
      </c>
      <c r="H168" t="s">
        <v>42</v>
      </c>
    </row>
    <row r="169" spans="1:8" x14ac:dyDescent="0.25">
      <c r="A169" t="s">
        <v>33</v>
      </c>
      <c r="B169" t="s">
        <v>31</v>
      </c>
      <c r="C169">
        <v>3</v>
      </c>
      <c r="D169" s="9">
        <v>1800</v>
      </c>
      <c r="E169" s="9">
        <f>+Tablo3[[#This Row],[Birim Fiyat]]*Tablo3[[#This Row],[Satış Adet]]</f>
        <v>5400</v>
      </c>
      <c r="F169" s="9">
        <v>3000</v>
      </c>
      <c r="G169" t="s">
        <v>58</v>
      </c>
      <c r="H169" t="s">
        <v>40</v>
      </c>
    </row>
    <row r="170" spans="1:8" x14ac:dyDescent="0.25">
      <c r="A170" t="s">
        <v>22</v>
      </c>
      <c r="B170" t="s">
        <v>34</v>
      </c>
      <c r="C170">
        <v>3</v>
      </c>
      <c r="D170" s="9">
        <v>8000</v>
      </c>
      <c r="E170" s="9">
        <f>+Tablo3[[#This Row],[Birim Fiyat]]*Tablo3[[#This Row],[Satış Adet]]</f>
        <v>24000</v>
      </c>
      <c r="F170" s="9">
        <v>6000</v>
      </c>
      <c r="G170" t="s">
        <v>58</v>
      </c>
      <c r="H170" t="s">
        <v>24</v>
      </c>
    </row>
    <row r="171" spans="1:8" x14ac:dyDescent="0.25">
      <c r="A171" t="s">
        <v>67</v>
      </c>
      <c r="B171" t="s">
        <v>13</v>
      </c>
      <c r="C171">
        <v>1</v>
      </c>
      <c r="D171" s="9">
        <v>1400</v>
      </c>
      <c r="E171" s="9">
        <f>+Tablo3[[#This Row],[Birim Fiyat]]*Tablo3[[#This Row],[Satış Adet]]</f>
        <v>1400</v>
      </c>
      <c r="F171" s="9">
        <v>600</v>
      </c>
      <c r="G171" t="s">
        <v>58</v>
      </c>
      <c r="H171" t="s">
        <v>24</v>
      </c>
    </row>
    <row r="172" spans="1:8" x14ac:dyDescent="0.25">
      <c r="A172" t="s">
        <v>36</v>
      </c>
      <c r="B172" t="s">
        <v>49</v>
      </c>
      <c r="C172">
        <v>1</v>
      </c>
      <c r="D172" s="9">
        <v>10590</v>
      </c>
      <c r="E172" s="9">
        <f>+Tablo3[[#This Row],[Birim Fiyat]]*Tablo3[[#This Row],[Satış Adet]]</f>
        <v>10590</v>
      </c>
      <c r="F172" s="9">
        <v>4590</v>
      </c>
      <c r="G172" t="s">
        <v>58</v>
      </c>
      <c r="H172" t="s">
        <v>52</v>
      </c>
    </row>
    <row r="173" spans="1:8" x14ac:dyDescent="0.25">
      <c r="A173" t="s">
        <v>38</v>
      </c>
      <c r="B173" t="s">
        <v>19</v>
      </c>
      <c r="C173">
        <v>2</v>
      </c>
      <c r="D173" s="9">
        <v>1350</v>
      </c>
      <c r="E173" s="9">
        <f>+Tablo3[[#This Row],[Birim Fiyat]]*Tablo3[[#This Row],[Satış Adet]]</f>
        <v>2700</v>
      </c>
      <c r="F173" s="9">
        <v>1100</v>
      </c>
      <c r="G173" t="s">
        <v>58</v>
      </c>
      <c r="H173" t="s">
        <v>35</v>
      </c>
    </row>
    <row r="174" spans="1:8" x14ac:dyDescent="0.25">
      <c r="A174" t="s">
        <v>30</v>
      </c>
      <c r="B174" t="s">
        <v>13</v>
      </c>
      <c r="C174">
        <v>2</v>
      </c>
      <c r="D174" s="9">
        <v>1400</v>
      </c>
      <c r="E174" s="9">
        <f>+Tablo3[[#This Row],[Birim Fiyat]]*Tablo3[[#This Row],[Satış Adet]]</f>
        <v>2800</v>
      </c>
      <c r="F174" s="9">
        <v>1200</v>
      </c>
      <c r="G174" t="s">
        <v>58</v>
      </c>
      <c r="H174" t="s">
        <v>29</v>
      </c>
    </row>
    <row r="175" spans="1:8" x14ac:dyDescent="0.25">
      <c r="A175" t="s">
        <v>18</v>
      </c>
      <c r="B175" t="s">
        <v>9</v>
      </c>
      <c r="C175">
        <v>1</v>
      </c>
      <c r="D175" s="9">
        <v>6000</v>
      </c>
      <c r="E175" s="9">
        <f>+Tablo3[[#This Row],[Birim Fiyat]]*Tablo3[[#This Row],[Satış Adet]]</f>
        <v>6000</v>
      </c>
      <c r="F175" s="9">
        <v>2000</v>
      </c>
      <c r="G175" t="s">
        <v>58</v>
      </c>
      <c r="H175" t="s">
        <v>20</v>
      </c>
    </row>
    <row r="176" spans="1:8" x14ac:dyDescent="0.25">
      <c r="A176" t="s">
        <v>36</v>
      </c>
      <c r="B176" t="s">
        <v>26</v>
      </c>
      <c r="C176">
        <v>2</v>
      </c>
      <c r="D176" s="9">
        <v>1100</v>
      </c>
      <c r="E176" s="9">
        <f>+Tablo3[[#This Row],[Birim Fiyat]]*Tablo3[[#This Row],[Satış Adet]]</f>
        <v>2200</v>
      </c>
      <c r="F176" s="9">
        <v>600</v>
      </c>
      <c r="G176" t="s">
        <v>58</v>
      </c>
      <c r="H176" t="s">
        <v>42</v>
      </c>
    </row>
    <row r="177" spans="1:8" x14ac:dyDescent="0.25">
      <c r="A177" t="s">
        <v>15</v>
      </c>
      <c r="B177" t="s">
        <v>9</v>
      </c>
      <c r="C177">
        <v>2</v>
      </c>
      <c r="D177" s="9">
        <v>6000</v>
      </c>
      <c r="E177" s="9">
        <f>+Tablo3[[#This Row],[Birim Fiyat]]*Tablo3[[#This Row],[Satış Adet]]</f>
        <v>12000</v>
      </c>
      <c r="F177" s="9">
        <v>4000</v>
      </c>
      <c r="G177" t="s">
        <v>58</v>
      </c>
      <c r="H177" t="s">
        <v>35</v>
      </c>
    </row>
    <row r="178" spans="1:8" x14ac:dyDescent="0.25">
      <c r="A178" t="s">
        <v>38</v>
      </c>
      <c r="B178" t="s">
        <v>41</v>
      </c>
      <c r="C178">
        <v>1</v>
      </c>
      <c r="D178" s="9">
        <v>1490</v>
      </c>
      <c r="E178" s="9">
        <f>+Tablo3[[#This Row],[Birim Fiyat]]*Tablo3[[#This Row],[Satış Adet]]</f>
        <v>1490</v>
      </c>
      <c r="F178" s="9">
        <v>690</v>
      </c>
      <c r="G178" t="s">
        <v>58</v>
      </c>
      <c r="H178" t="s">
        <v>11</v>
      </c>
    </row>
    <row r="179" spans="1:8" x14ac:dyDescent="0.25">
      <c r="A179" t="s">
        <v>36</v>
      </c>
      <c r="B179" t="s">
        <v>37</v>
      </c>
      <c r="C179">
        <v>2</v>
      </c>
      <c r="D179" s="9">
        <v>10590</v>
      </c>
      <c r="E179" s="9">
        <f>+Tablo3[[#This Row],[Birim Fiyat]]*Tablo3[[#This Row],[Satış Adet]]</f>
        <v>21180</v>
      </c>
      <c r="F179" s="9">
        <v>9180</v>
      </c>
      <c r="G179" t="s">
        <v>58</v>
      </c>
      <c r="H179" t="s">
        <v>27</v>
      </c>
    </row>
    <row r="180" spans="1:8" x14ac:dyDescent="0.25">
      <c r="A180" t="s">
        <v>15</v>
      </c>
      <c r="B180" t="s">
        <v>34</v>
      </c>
      <c r="C180">
        <v>3</v>
      </c>
      <c r="D180" s="9">
        <v>8000</v>
      </c>
      <c r="E180" s="9">
        <f>+Tablo3[[#This Row],[Birim Fiyat]]*Tablo3[[#This Row],[Satış Adet]]</f>
        <v>24000</v>
      </c>
      <c r="F180" s="9">
        <v>6000</v>
      </c>
      <c r="G180" t="s">
        <v>58</v>
      </c>
      <c r="H180" t="s">
        <v>11</v>
      </c>
    </row>
    <row r="181" spans="1:8" x14ac:dyDescent="0.25">
      <c r="A181" t="s">
        <v>30</v>
      </c>
      <c r="B181" t="s">
        <v>26</v>
      </c>
      <c r="C181">
        <v>1</v>
      </c>
      <c r="D181" s="9">
        <v>1100</v>
      </c>
      <c r="E181" s="9">
        <f>+Tablo3[[#This Row],[Birim Fiyat]]*Tablo3[[#This Row],[Satış Adet]]</f>
        <v>1100</v>
      </c>
      <c r="F181" s="9">
        <v>300</v>
      </c>
      <c r="G181" t="s">
        <v>58</v>
      </c>
      <c r="H181" t="s">
        <v>52</v>
      </c>
    </row>
    <row r="182" spans="1:8" x14ac:dyDescent="0.25">
      <c r="A182" t="s">
        <v>38</v>
      </c>
      <c r="B182" t="s">
        <v>28</v>
      </c>
      <c r="C182">
        <v>1</v>
      </c>
      <c r="D182" s="9">
        <v>1200</v>
      </c>
      <c r="E182" s="9">
        <f>+Tablo3[[#This Row],[Birim Fiyat]]*Tablo3[[#This Row],[Satış Adet]]</f>
        <v>1200</v>
      </c>
      <c r="F182" s="9">
        <v>400</v>
      </c>
      <c r="G182" t="s">
        <v>58</v>
      </c>
      <c r="H182" t="s">
        <v>11</v>
      </c>
    </row>
    <row r="183" spans="1:8" x14ac:dyDescent="0.25">
      <c r="A183" t="s">
        <v>22</v>
      </c>
      <c r="B183" t="s">
        <v>43</v>
      </c>
      <c r="C183">
        <v>2</v>
      </c>
      <c r="D183" s="9">
        <v>4200</v>
      </c>
      <c r="E183" s="9">
        <f>+Tablo3[[#This Row],[Birim Fiyat]]*Tablo3[[#This Row],[Satış Adet]]</f>
        <v>8400</v>
      </c>
      <c r="F183" s="9">
        <v>2400</v>
      </c>
      <c r="G183" t="s">
        <v>58</v>
      </c>
      <c r="H183" t="s">
        <v>20</v>
      </c>
    </row>
    <row r="184" spans="1:8" x14ac:dyDescent="0.25">
      <c r="A184" t="s">
        <v>12</v>
      </c>
      <c r="B184" t="s">
        <v>45</v>
      </c>
      <c r="C184">
        <v>3</v>
      </c>
      <c r="D184" s="9">
        <v>5775</v>
      </c>
      <c r="E184" s="9">
        <f>+Tablo3[[#This Row],[Birim Fiyat]]*Tablo3[[#This Row],[Satış Adet]]</f>
        <v>17325</v>
      </c>
      <c r="F184" s="9">
        <v>5325</v>
      </c>
      <c r="G184" t="s">
        <v>58</v>
      </c>
      <c r="H184" t="s">
        <v>52</v>
      </c>
    </row>
    <row r="185" spans="1:8" x14ac:dyDescent="0.25">
      <c r="A185" t="s">
        <v>46</v>
      </c>
      <c r="B185" t="s">
        <v>23</v>
      </c>
      <c r="C185">
        <v>3</v>
      </c>
      <c r="D185" s="9">
        <v>7600</v>
      </c>
      <c r="E185" s="9">
        <f>+Tablo3[[#This Row],[Birim Fiyat]]*Tablo3[[#This Row],[Satış Adet]]</f>
        <v>22800</v>
      </c>
      <c r="F185" s="9">
        <v>4800</v>
      </c>
      <c r="G185" t="s">
        <v>58</v>
      </c>
      <c r="H185" t="s">
        <v>27</v>
      </c>
    </row>
    <row r="186" spans="1:8" x14ac:dyDescent="0.25">
      <c r="A186" t="s">
        <v>12</v>
      </c>
      <c r="B186" t="s">
        <v>25</v>
      </c>
      <c r="C186">
        <v>3</v>
      </c>
      <c r="D186" s="9">
        <v>7250</v>
      </c>
      <c r="E186" s="9">
        <f>+Tablo3[[#This Row],[Birim Fiyat]]*Tablo3[[#This Row],[Satış Adet]]</f>
        <v>21750</v>
      </c>
      <c r="F186" s="9">
        <v>6750</v>
      </c>
      <c r="G186" t="s">
        <v>58</v>
      </c>
      <c r="H186" t="s">
        <v>35</v>
      </c>
    </row>
    <row r="187" spans="1:8" x14ac:dyDescent="0.25">
      <c r="A187" t="s">
        <v>8</v>
      </c>
      <c r="B187" t="s">
        <v>25</v>
      </c>
      <c r="C187">
        <v>3</v>
      </c>
      <c r="D187" s="9">
        <v>7250</v>
      </c>
      <c r="E187" s="9">
        <f>+Tablo3[[#This Row],[Birim Fiyat]]*Tablo3[[#This Row],[Satış Adet]]</f>
        <v>21750</v>
      </c>
      <c r="F187" s="9">
        <v>6750</v>
      </c>
      <c r="G187" t="s">
        <v>58</v>
      </c>
      <c r="H187" t="s">
        <v>24</v>
      </c>
    </row>
    <row r="188" spans="1:8" x14ac:dyDescent="0.25">
      <c r="A188" t="s">
        <v>36</v>
      </c>
      <c r="B188" t="s">
        <v>25</v>
      </c>
      <c r="C188">
        <v>3</v>
      </c>
      <c r="D188" s="9">
        <v>7250</v>
      </c>
      <c r="E188" s="9">
        <f>+Tablo3[[#This Row],[Birim Fiyat]]*Tablo3[[#This Row],[Satış Adet]]</f>
        <v>21750</v>
      </c>
      <c r="F188" s="9">
        <v>6750</v>
      </c>
      <c r="G188" t="s">
        <v>58</v>
      </c>
      <c r="H188" t="s">
        <v>14</v>
      </c>
    </row>
    <row r="189" spans="1:8" x14ac:dyDescent="0.25">
      <c r="A189" t="s">
        <v>67</v>
      </c>
      <c r="B189" t="s">
        <v>19</v>
      </c>
      <c r="C189">
        <v>1</v>
      </c>
      <c r="D189" s="9">
        <v>1350</v>
      </c>
      <c r="E189" s="9">
        <f>+Tablo3[[#This Row],[Birim Fiyat]]*Tablo3[[#This Row],[Satış Adet]]</f>
        <v>1350</v>
      </c>
      <c r="F189" s="9">
        <v>550</v>
      </c>
      <c r="G189" t="s">
        <v>58</v>
      </c>
      <c r="H189" t="s">
        <v>40</v>
      </c>
    </row>
    <row r="190" spans="1:8" x14ac:dyDescent="0.25">
      <c r="A190" t="s">
        <v>12</v>
      </c>
      <c r="B190" t="s">
        <v>25</v>
      </c>
      <c r="C190">
        <v>2</v>
      </c>
      <c r="D190" s="9">
        <v>7250</v>
      </c>
      <c r="E190" s="9">
        <f>+Tablo3[[#This Row],[Birim Fiyat]]*Tablo3[[#This Row],[Satış Adet]]</f>
        <v>14500</v>
      </c>
      <c r="F190" s="9">
        <v>4500</v>
      </c>
      <c r="G190" t="s">
        <v>58</v>
      </c>
      <c r="H190" t="s">
        <v>52</v>
      </c>
    </row>
    <row r="191" spans="1:8" x14ac:dyDescent="0.25">
      <c r="A191" t="s">
        <v>30</v>
      </c>
      <c r="B191" t="s">
        <v>23</v>
      </c>
      <c r="C191">
        <v>1</v>
      </c>
      <c r="D191" s="9">
        <v>7600</v>
      </c>
      <c r="E191" s="9">
        <f>+Tablo3[[#This Row],[Birim Fiyat]]*Tablo3[[#This Row],[Satış Adet]]</f>
        <v>7600</v>
      </c>
      <c r="F191" s="9">
        <v>1600</v>
      </c>
      <c r="G191" t="s">
        <v>58</v>
      </c>
      <c r="H191" t="s">
        <v>24</v>
      </c>
    </row>
    <row r="192" spans="1:8" x14ac:dyDescent="0.25">
      <c r="A192" t="s">
        <v>48</v>
      </c>
      <c r="B192" t="s">
        <v>23</v>
      </c>
      <c r="C192">
        <v>3</v>
      </c>
      <c r="D192" s="9">
        <v>7600</v>
      </c>
      <c r="E192" s="9">
        <f>+Tablo3[[#This Row],[Birim Fiyat]]*Tablo3[[#This Row],[Satış Adet]]</f>
        <v>22800</v>
      </c>
      <c r="F192" s="9">
        <v>4800</v>
      </c>
      <c r="G192" t="s">
        <v>58</v>
      </c>
      <c r="H192" t="s">
        <v>52</v>
      </c>
    </row>
    <row r="193" spans="1:8" x14ac:dyDescent="0.25">
      <c r="A193" t="s">
        <v>12</v>
      </c>
      <c r="B193" t="s">
        <v>41</v>
      </c>
      <c r="C193">
        <v>3</v>
      </c>
      <c r="D193" s="9">
        <v>1490</v>
      </c>
      <c r="E193" s="9">
        <f>+Tablo3[[#This Row],[Birim Fiyat]]*Tablo3[[#This Row],[Satış Adet]]</f>
        <v>4470</v>
      </c>
      <c r="F193" s="9">
        <v>2070</v>
      </c>
      <c r="G193" t="s">
        <v>58</v>
      </c>
      <c r="H193" t="s">
        <v>24</v>
      </c>
    </row>
    <row r="194" spans="1:8" x14ac:dyDescent="0.25">
      <c r="A194" t="s">
        <v>67</v>
      </c>
      <c r="B194" t="s">
        <v>49</v>
      </c>
      <c r="C194">
        <v>2</v>
      </c>
      <c r="D194" s="9">
        <v>2900</v>
      </c>
      <c r="E194" s="9">
        <f>+Tablo3[[#This Row],[Birim Fiyat]]*Tablo3[[#This Row],[Satış Adet]]</f>
        <v>5800</v>
      </c>
      <c r="F194" s="9">
        <v>1800</v>
      </c>
      <c r="G194" t="s">
        <v>58</v>
      </c>
      <c r="H194" t="s">
        <v>24</v>
      </c>
    </row>
    <row r="195" spans="1:8" x14ac:dyDescent="0.25">
      <c r="A195" t="s">
        <v>38</v>
      </c>
      <c r="B195" t="s">
        <v>41</v>
      </c>
      <c r="C195">
        <v>1</v>
      </c>
      <c r="D195" s="9">
        <v>1490</v>
      </c>
      <c r="E195" s="9">
        <f>+Tablo3[[#This Row],[Birim Fiyat]]*Tablo3[[#This Row],[Satış Adet]]</f>
        <v>1490</v>
      </c>
      <c r="F195" s="9">
        <v>690</v>
      </c>
      <c r="G195" t="s">
        <v>58</v>
      </c>
      <c r="H195" t="s">
        <v>20</v>
      </c>
    </row>
    <row r="196" spans="1:8" x14ac:dyDescent="0.25">
      <c r="A196" t="s">
        <v>38</v>
      </c>
      <c r="B196" t="s">
        <v>32</v>
      </c>
      <c r="C196">
        <v>2</v>
      </c>
      <c r="D196" s="9">
        <v>1090</v>
      </c>
      <c r="E196" s="9">
        <f>+Tablo3[[#This Row],[Birim Fiyat]]*Tablo3[[#This Row],[Satış Adet]]</f>
        <v>2180</v>
      </c>
      <c r="F196" s="9">
        <v>580</v>
      </c>
      <c r="G196" t="s">
        <v>58</v>
      </c>
      <c r="H196" t="s">
        <v>40</v>
      </c>
    </row>
    <row r="197" spans="1:8" x14ac:dyDescent="0.25">
      <c r="A197" t="s">
        <v>67</v>
      </c>
      <c r="B197" t="s">
        <v>28</v>
      </c>
      <c r="C197">
        <v>2</v>
      </c>
      <c r="D197" s="9">
        <v>1200</v>
      </c>
      <c r="E197" s="9">
        <f>+Tablo3[[#This Row],[Birim Fiyat]]*Tablo3[[#This Row],[Satış Adet]]</f>
        <v>2400</v>
      </c>
      <c r="F197" s="9">
        <v>800</v>
      </c>
      <c r="G197" t="s">
        <v>58</v>
      </c>
      <c r="H197" t="s">
        <v>35</v>
      </c>
    </row>
    <row r="198" spans="1:8" x14ac:dyDescent="0.25">
      <c r="A198" t="s">
        <v>36</v>
      </c>
      <c r="B198" t="s">
        <v>37</v>
      </c>
      <c r="C198">
        <v>2</v>
      </c>
      <c r="D198" s="9">
        <v>10590</v>
      </c>
      <c r="E198" s="9">
        <f>+Tablo3[[#This Row],[Birim Fiyat]]*Tablo3[[#This Row],[Satış Adet]]</f>
        <v>21180</v>
      </c>
      <c r="F198" s="9">
        <v>9180</v>
      </c>
      <c r="G198" t="s">
        <v>58</v>
      </c>
      <c r="H198" t="s">
        <v>29</v>
      </c>
    </row>
    <row r="199" spans="1:8" x14ac:dyDescent="0.25">
      <c r="A199" t="s">
        <v>30</v>
      </c>
      <c r="B199" t="s">
        <v>43</v>
      </c>
      <c r="C199">
        <v>3</v>
      </c>
      <c r="D199" s="9">
        <v>4200</v>
      </c>
      <c r="E199" s="9">
        <f>+Tablo3[[#This Row],[Birim Fiyat]]*Tablo3[[#This Row],[Satış Adet]]</f>
        <v>12600</v>
      </c>
      <c r="F199" s="9">
        <v>3600</v>
      </c>
      <c r="G199" t="s">
        <v>58</v>
      </c>
      <c r="H199" t="s">
        <v>14</v>
      </c>
    </row>
    <row r="200" spans="1:8" x14ac:dyDescent="0.25">
      <c r="A200" t="s">
        <v>18</v>
      </c>
      <c r="B200" t="s">
        <v>49</v>
      </c>
      <c r="C200">
        <v>3</v>
      </c>
      <c r="D200" s="9">
        <v>4200</v>
      </c>
      <c r="E200" s="9">
        <f>+Tablo3[[#This Row],[Birim Fiyat]]*Tablo3[[#This Row],[Satış Adet]]</f>
        <v>12600</v>
      </c>
      <c r="F200" s="9">
        <v>3600</v>
      </c>
      <c r="G200" t="s">
        <v>58</v>
      </c>
      <c r="H200" t="s">
        <v>20</v>
      </c>
    </row>
    <row r="201" spans="1:8" x14ac:dyDescent="0.25">
      <c r="A201" t="s">
        <v>33</v>
      </c>
      <c r="B201" t="s">
        <v>37</v>
      </c>
      <c r="C201">
        <v>2</v>
      </c>
      <c r="D201" s="9">
        <v>10590</v>
      </c>
      <c r="E201" s="9">
        <f>+Tablo3[[#This Row],[Birim Fiyat]]*Tablo3[[#This Row],[Satış Adet]]</f>
        <v>21180</v>
      </c>
      <c r="F201" s="9">
        <v>9180</v>
      </c>
      <c r="G201" t="s">
        <v>58</v>
      </c>
      <c r="H201" t="s">
        <v>35</v>
      </c>
    </row>
    <row r="202" spans="1:8" x14ac:dyDescent="0.25">
      <c r="A202" t="s">
        <v>48</v>
      </c>
      <c r="B202" t="s">
        <v>50</v>
      </c>
      <c r="C202">
        <v>1</v>
      </c>
      <c r="D202" s="9">
        <v>1250</v>
      </c>
      <c r="E202" s="9">
        <f>+Tablo3[[#This Row],[Birim Fiyat]]*Tablo3[[#This Row],[Satış Adet]]</f>
        <v>1250</v>
      </c>
      <c r="F202" s="9">
        <v>450</v>
      </c>
      <c r="G202" t="s">
        <v>58</v>
      </c>
      <c r="H202" t="s">
        <v>52</v>
      </c>
    </row>
    <row r="203" spans="1:8" x14ac:dyDescent="0.25">
      <c r="A203" t="s">
        <v>8</v>
      </c>
      <c r="B203" t="s">
        <v>41</v>
      </c>
      <c r="C203">
        <v>3</v>
      </c>
      <c r="D203" s="9">
        <v>1490</v>
      </c>
      <c r="E203" s="9">
        <f>+Tablo3[[#This Row],[Birim Fiyat]]*Tablo3[[#This Row],[Satış Adet]]</f>
        <v>4470</v>
      </c>
      <c r="F203" s="9">
        <v>2070</v>
      </c>
      <c r="G203" t="s">
        <v>58</v>
      </c>
      <c r="H203" t="s">
        <v>20</v>
      </c>
    </row>
    <row r="204" spans="1:8" x14ac:dyDescent="0.25">
      <c r="A204" t="s">
        <v>30</v>
      </c>
      <c r="B204" t="s">
        <v>28</v>
      </c>
      <c r="C204">
        <v>2</v>
      </c>
      <c r="D204" s="9">
        <v>1200</v>
      </c>
      <c r="E204" s="9">
        <f>+Tablo3[[#This Row],[Birim Fiyat]]*Tablo3[[#This Row],[Satış Adet]]</f>
        <v>2400</v>
      </c>
      <c r="F204" s="9">
        <v>800</v>
      </c>
      <c r="G204" t="s">
        <v>58</v>
      </c>
      <c r="H204" t="s">
        <v>11</v>
      </c>
    </row>
    <row r="205" spans="1:8" x14ac:dyDescent="0.25">
      <c r="A205" t="s">
        <v>15</v>
      </c>
      <c r="B205" t="s">
        <v>21</v>
      </c>
      <c r="C205">
        <v>3</v>
      </c>
      <c r="D205" s="9">
        <v>2180</v>
      </c>
      <c r="E205" s="9">
        <f>+Tablo3[[#This Row],[Birim Fiyat]]*Tablo3[[#This Row],[Satış Adet]]</f>
        <v>6540</v>
      </c>
      <c r="F205" s="9">
        <v>2040</v>
      </c>
      <c r="G205" t="s">
        <v>58</v>
      </c>
      <c r="H205" t="s">
        <v>29</v>
      </c>
    </row>
    <row r="206" spans="1:8" x14ac:dyDescent="0.25">
      <c r="A206" t="s">
        <v>38</v>
      </c>
      <c r="B206" t="s">
        <v>51</v>
      </c>
      <c r="C206">
        <v>3</v>
      </c>
      <c r="D206" s="9">
        <v>1200</v>
      </c>
      <c r="E206" s="9">
        <f>+Tablo3[[#This Row],[Birim Fiyat]]*Tablo3[[#This Row],[Satış Adet]]</f>
        <v>3600</v>
      </c>
      <c r="F206" s="9">
        <v>1200</v>
      </c>
      <c r="G206" t="s">
        <v>58</v>
      </c>
      <c r="H206" t="s">
        <v>27</v>
      </c>
    </row>
    <row r="207" spans="1:8" x14ac:dyDescent="0.25">
      <c r="A207" t="s">
        <v>8</v>
      </c>
      <c r="B207" t="s">
        <v>31</v>
      </c>
      <c r="C207">
        <v>1</v>
      </c>
      <c r="D207" s="9">
        <v>1800</v>
      </c>
      <c r="E207" s="9">
        <f>+Tablo3[[#This Row],[Birim Fiyat]]*Tablo3[[#This Row],[Satış Adet]]</f>
        <v>1800</v>
      </c>
      <c r="F207" s="9">
        <v>1000</v>
      </c>
      <c r="G207" t="s">
        <v>58</v>
      </c>
      <c r="H207" t="s">
        <v>52</v>
      </c>
    </row>
    <row r="208" spans="1:8" x14ac:dyDescent="0.25">
      <c r="A208" t="s">
        <v>15</v>
      </c>
      <c r="B208" t="s">
        <v>23</v>
      </c>
      <c r="C208">
        <v>1</v>
      </c>
      <c r="D208" s="9">
        <v>7600</v>
      </c>
      <c r="E208" s="9">
        <f>+Tablo3[[#This Row],[Birim Fiyat]]*Tablo3[[#This Row],[Satış Adet]]</f>
        <v>7600</v>
      </c>
      <c r="F208" s="9">
        <v>1600</v>
      </c>
      <c r="G208" t="s">
        <v>58</v>
      </c>
      <c r="H208" t="s">
        <v>11</v>
      </c>
    </row>
    <row r="209" spans="1:8" x14ac:dyDescent="0.25">
      <c r="A209" t="s">
        <v>33</v>
      </c>
      <c r="B209" t="s">
        <v>53</v>
      </c>
      <c r="C209">
        <v>1</v>
      </c>
      <c r="D209" s="9">
        <v>7530</v>
      </c>
      <c r="E209" s="9">
        <f>+Tablo3[[#This Row],[Birim Fiyat]]*Tablo3[[#This Row],[Satış Adet]]</f>
        <v>7530</v>
      </c>
      <c r="F209" s="9">
        <v>1530</v>
      </c>
      <c r="G209" t="s">
        <v>58</v>
      </c>
      <c r="H209" t="s">
        <v>14</v>
      </c>
    </row>
    <row r="210" spans="1:8" x14ac:dyDescent="0.25">
      <c r="A210" t="s">
        <v>48</v>
      </c>
      <c r="B210" t="s">
        <v>41</v>
      </c>
      <c r="C210">
        <v>2</v>
      </c>
      <c r="D210" s="9">
        <v>1490</v>
      </c>
      <c r="E210" s="9">
        <f>+Tablo3[[#This Row],[Birim Fiyat]]*Tablo3[[#This Row],[Satış Adet]]</f>
        <v>2980</v>
      </c>
      <c r="F210" s="9">
        <v>1380</v>
      </c>
      <c r="G210" t="s">
        <v>58</v>
      </c>
      <c r="H210" t="s">
        <v>29</v>
      </c>
    </row>
    <row r="211" spans="1:8" x14ac:dyDescent="0.25">
      <c r="A211" t="s">
        <v>8</v>
      </c>
      <c r="B211" t="s">
        <v>54</v>
      </c>
      <c r="C211">
        <v>1</v>
      </c>
      <c r="D211" s="9">
        <v>5300</v>
      </c>
      <c r="E211" s="9">
        <f>+Tablo3[[#This Row],[Birim Fiyat]]*Tablo3[[#This Row],[Satış Adet]]</f>
        <v>5300</v>
      </c>
      <c r="F211" s="9">
        <v>1300</v>
      </c>
      <c r="G211" t="s">
        <v>58</v>
      </c>
      <c r="H211" t="s">
        <v>11</v>
      </c>
    </row>
    <row r="212" spans="1:8" x14ac:dyDescent="0.25">
      <c r="A212" t="s">
        <v>22</v>
      </c>
      <c r="B212" t="s">
        <v>28</v>
      </c>
      <c r="C212">
        <v>2</v>
      </c>
      <c r="D212" s="9">
        <v>1200</v>
      </c>
      <c r="E212" s="9">
        <f>+Tablo3[[#This Row],[Birim Fiyat]]*Tablo3[[#This Row],[Satış Adet]]</f>
        <v>2400</v>
      </c>
      <c r="F212" s="9">
        <v>800</v>
      </c>
      <c r="G212" t="s">
        <v>58</v>
      </c>
      <c r="H212" t="s">
        <v>42</v>
      </c>
    </row>
    <row r="213" spans="1:8" x14ac:dyDescent="0.25">
      <c r="A213" t="s">
        <v>38</v>
      </c>
      <c r="B213" t="s">
        <v>32</v>
      </c>
      <c r="C213">
        <v>1</v>
      </c>
      <c r="D213" s="9">
        <v>1090</v>
      </c>
      <c r="E213" s="9">
        <f>+Tablo3[[#This Row],[Birim Fiyat]]*Tablo3[[#This Row],[Satış Adet]]</f>
        <v>1090</v>
      </c>
      <c r="F213" s="9">
        <v>290</v>
      </c>
      <c r="G213" t="s">
        <v>58</v>
      </c>
      <c r="H213" t="s">
        <v>14</v>
      </c>
    </row>
    <row r="214" spans="1:8" x14ac:dyDescent="0.25">
      <c r="A214" t="s">
        <v>22</v>
      </c>
      <c r="B214" t="s">
        <v>25</v>
      </c>
      <c r="C214">
        <v>1</v>
      </c>
      <c r="D214" s="9">
        <v>7250</v>
      </c>
      <c r="E214" s="9">
        <f>+Tablo3[[#This Row],[Birim Fiyat]]*Tablo3[[#This Row],[Satış Adet]]</f>
        <v>7250</v>
      </c>
      <c r="F214" s="9">
        <v>2250</v>
      </c>
      <c r="G214" t="s">
        <v>58</v>
      </c>
      <c r="H214" t="s">
        <v>14</v>
      </c>
    </row>
    <row r="215" spans="1:8" x14ac:dyDescent="0.25">
      <c r="A215" t="s">
        <v>46</v>
      </c>
      <c r="B215" t="s">
        <v>13</v>
      </c>
      <c r="C215">
        <v>3</v>
      </c>
      <c r="D215" s="9">
        <v>1400</v>
      </c>
      <c r="E215" s="9">
        <f>+Tablo3[[#This Row],[Birim Fiyat]]*Tablo3[[#This Row],[Satış Adet]]</f>
        <v>4200</v>
      </c>
      <c r="F215" s="9">
        <v>1800</v>
      </c>
      <c r="G215" t="s">
        <v>58</v>
      </c>
      <c r="H215" t="s">
        <v>42</v>
      </c>
    </row>
    <row r="216" spans="1:8" x14ac:dyDescent="0.25">
      <c r="A216" t="s">
        <v>15</v>
      </c>
      <c r="B216" t="s">
        <v>55</v>
      </c>
      <c r="C216">
        <v>1</v>
      </c>
      <c r="D216" s="9">
        <v>1500</v>
      </c>
      <c r="E216" s="9">
        <f>+Tablo3[[#This Row],[Birim Fiyat]]*Tablo3[[#This Row],[Satış Adet]]</f>
        <v>1500</v>
      </c>
      <c r="F216" s="9">
        <v>700</v>
      </c>
      <c r="G216" t="s">
        <v>58</v>
      </c>
      <c r="H216" t="s">
        <v>11</v>
      </c>
    </row>
    <row r="217" spans="1:8" x14ac:dyDescent="0.25">
      <c r="A217" t="s">
        <v>33</v>
      </c>
      <c r="B217" t="s">
        <v>19</v>
      </c>
      <c r="C217">
        <v>1</v>
      </c>
      <c r="D217" s="9">
        <v>1350</v>
      </c>
      <c r="E217" s="9">
        <f>+Tablo3[[#This Row],[Birim Fiyat]]*Tablo3[[#This Row],[Satış Adet]]</f>
        <v>1350</v>
      </c>
      <c r="F217" s="9">
        <v>550</v>
      </c>
      <c r="G217" t="s">
        <v>58</v>
      </c>
      <c r="H217" t="s">
        <v>44</v>
      </c>
    </row>
    <row r="218" spans="1:8" x14ac:dyDescent="0.25">
      <c r="A218" t="s">
        <v>33</v>
      </c>
      <c r="B218" t="s">
        <v>49</v>
      </c>
      <c r="C218">
        <v>3</v>
      </c>
      <c r="D218" s="9">
        <v>1200</v>
      </c>
      <c r="E218" s="9">
        <f>+Tablo3[[#This Row],[Birim Fiyat]]*Tablo3[[#This Row],[Satış Adet]]</f>
        <v>3600</v>
      </c>
      <c r="F218" s="9">
        <v>1200</v>
      </c>
      <c r="G218" t="s">
        <v>58</v>
      </c>
      <c r="H218" t="s">
        <v>27</v>
      </c>
    </row>
    <row r="219" spans="1:8" x14ac:dyDescent="0.25">
      <c r="A219" t="s">
        <v>12</v>
      </c>
      <c r="B219" t="s">
        <v>53</v>
      </c>
      <c r="C219">
        <v>3</v>
      </c>
      <c r="D219" s="9">
        <v>7530</v>
      </c>
      <c r="E219" s="9">
        <f>+Tablo3[[#This Row],[Birim Fiyat]]*Tablo3[[#This Row],[Satış Adet]]</f>
        <v>22590</v>
      </c>
      <c r="F219" s="9">
        <v>4590</v>
      </c>
      <c r="G219" t="s">
        <v>58</v>
      </c>
      <c r="H219" t="s">
        <v>29</v>
      </c>
    </row>
    <row r="220" spans="1:8" x14ac:dyDescent="0.25">
      <c r="A220" t="s">
        <v>46</v>
      </c>
      <c r="B220" t="s">
        <v>28</v>
      </c>
      <c r="C220">
        <v>1</v>
      </c>
      <c r="D220" s="9">
        <v>1200</v>
      </c>
      <c r="E220" s="9">
        <f>+Tablo3[[#This Row],[Birim Fiyat]]*Tablo3[[#This Row],[Satış Adet]]</f>
        <v>1200</v>
      </c>
      <c r="F220" s="9">
        <v>400</v>
      </c>
      <c r="G220" t="s">
        <v>58</v>
      </c>
      <c r="H220" t="s">
        <v>42</v>
      </c>
    </row>
    <row r="221" spans="1:8" x14ac:dyDescent="0.25">
      <c r="A221" t="s">
        <v>36</v>
      </c>
      <c r="B221" t="s">
        <v>31</v>
      </c>
      <c r="C221">
        <v>3</v>
      </c>
      <c r="D221" s="9">
        <v>1800</v>
      </c>
      <c r="E221" s="9">
        <f>+Tablo3[[#This Row],[Birim Fiyat]]*Tablo3[[#This Row],[Satış Adet]]</f>
        <v>5400</v>
      </c>
      <c r="F221" s="9">
        <v>3000</v>
      </c>
      <c r="G221" t="s">
        <v>58</v>
      </c>
      <c r="H221" t="s">
        <v>14</v>
      </c>
    </row>
    <row r="222" spans="1:8" x14ac:dyDescent="0.25">
      <c r="A222" t="s">
        <v>8</v>
      </c>
      <c r="B222" t="s">
        <v>25</v>
      </c>
      <c r="C222">
        <v>1</v>
      </c>
      <c r="D222" s="9">
        <v>7250</v>
      </c>
      <c r="E222" s="9">
        <f>+Tablo3[[#This Row],[Birim Fiyat]]*Tablo3[[#This Row],[Satış Adet]]</f>
        <v>7250</v>
      </c>
      <c r="F222" s="9">
        <v>2250</v>
      </c>
      <c r="G222" t="s">
        <v>58</v>
      </c>
      <c r="H222" t="s">
        <v>11</v>
      </c>
    </row>
    <row r="223" spans="1:8" x14ac:dyDescent="0.25">
      <c r="A223" t="s">
        <v>38</v>
      </c>
      <c r="B223" t="s">
        <v>41</v>
      </c>
      <c r="C223">
        <v>3</v>
      </c>
      <c r="D223" s="9">
        <v>1490</v>
      </c>
      <c r="E223" s="9">
        <f>+Tablo3[[#This Row],[Birim Fiyat]]*Tablo3[[#This Row],[Satış Adet]]</f>
        <v>4470</v>
      </c>
      <c r="F223" s="9">
        <v>2070</v>
      </c>
      <c r="G223" t="s">
        <v>58</v>
      </c>
      <c r="H223" t="s">
        <v>27</v>
      </c>
    </row>
    <row r="224" spans="1:8" x14ac:dyDescent="0.25">
      <c r="A224" t="s">
        <v>38</v>
      </c>
      <c r="B224" t="s">
        <v>51</v>
      </c>
      <c r="C224">
        <v>1</v>
      </c>
      <c r="D224" s="9">
        <v>1200</v>
      </c>
      <c r="E224" s="9">
        <f>+Tablo3[[#This Row],[Birim Fiyat]]*Tablo3[[#This Row],[Satış Adet]]</f>
        <v>1200</v>
      </c>
      <c r="F224" s="9">
        <v>400</v>
      </c>
      <c r="G224" t="s">
        <v>58</v>
      </c>
      <c r="H224" t="s">
        <v>35</v>
      </c>
    </row>
    <row r="225" spans="1:8" x14ac:dyDescent="0.25">
      <c r="A225" t="s">
        <v>12</v>
      </c>
      <c r="B225" t="s">
        <v>34</v>
      </c>
      <c r="C225">
        <v>1</v>
      </c>
      <c r="D225" s="9">
        <v>8000</v>
      </c>
      <c r="E225" s="9">
        <f>+Tablo3[[#This Row],[Birim Fiyat]]*Tablo3[[#This Row],[Satış Adet]]</f>
        <v>8000</v>
      </c>
      <c r="F225" s="9">
        <v>2000</v>
      </c>
      <c r="G225" t="s">
        <v>58</v>
      </c>
      <c r="H225" t="s">
        <v>35</v>
      </c>
    </row>
    <row r="226" spans="1:8" x14ac:dyDescent="0.25">
      <c r="A226" t="s">
        <v>30</v>
      </c>
      <c r="B226" t="s">
        <v>13</v>
      </c>
      <c r="C226">
        <v>1</v>
      </c>
      <c r="D226" s="9">
        <v>1400</v>
      </c>
      <c r="E226" s="9">
        <f>+Tablo3[[#This Row],[Birim Fiyat]]*Tablo3[[#This Row],[Satış Adet]]</f>
        <v>1400</v>
      </c>
      <c r="F226" s="9">
        <v>600</v>
      </c>
      <c r="G226" t="s">
        <v>58</v>
      </c>
      <c r="H226" t="s">
        <v>20</v>
      </c>
    </row>
    <row r="227" spans="1:8" x14ac:dyDescent="0.25">
      <c r="A227" t="s">
        <v>67</v>
      </c>
      <c r="B227" t="s">
        <v>19</v>
      </c>
      <c r="C227">
        <v>1</v>
      </c>
      <c r="D227" s="9">
        <v>1350</v>
      </c>
      <c r="E227" s="9">
        <f>+Tablo3[[#This Row],[Birim Fiyat]]*Tablo3[[#This Row],[Satış Adet]]</f>
        <v>1350</v>
      </c>
      <c r="F227" s="9">
        <v>550</v>
      </c>
      <c r="G227" t="s">
        <v>58</v>
      </c>
      <c r="H227" t="s">
        <v>42</v>
      </c>
    </row>
    <row r="228" spans="1:8" x14ac:dyDescent="0.25">
      <c r="A228" t="s">
        <v>36</v>
      </c>
      <c r="B228" t="s">
        <v>51</v>
      </c>
      <c r="C228">
        <v>1</v>
      </c>
      <c r="D228" s="9">
        <v>1200</v>
      </c>
      <c r="E228" s="9">
        <f>+Tablo3[[#This Row],[Birim Fiyat]]*Tablo3[[#This Row],[Satış Adet]]</f>
        <v>1200</v>
      </c>
      <c r="F228" s="9">
        <v>400</v>
      </c>
      <c r="G228" t="s">
        <v>58</v>
      </c>
      <c r="H228" t="s">
        <v>40</v>
      </c>
    </row>
    <row r="229" spans="1:8" x14ac:dyDescent="0.25">
      <c r="A229" t="s">
        <v>30</v>
      </c>
      <c r="B229" t="s">
        <v>54</v>
      </c>
      <c r="C229">
        <v>1</v>
      </c>
      <c r="D229" s="9">
        <v>5300</v>
      </c>
      <c r="E229" s="9">
        <f>+Tablo3[[#This Row],[Birim Fiyat]]*Tablo3[[#This Row],[Satış Adet]]</f>
        <v>5300</v>
      </c>
      <c r="F229" s="9">
        <v>1300</v>
      </c>
      <c r="G229" t="s">
        <v>58</v>
      </c>
      <c r="H229" t="s">
        <v>11</v>
      </c>
    </row>
    <row r="230" spans="1:8" x14ac:dyDescent="0.25">
      <c r="A230" t="s">
        <v>38</v>
      </c>
      <c r="B230" t="s">
        <v>37</v>
      </c>
      <c r="C230">
        <v>3</v>
      </c>
      <c r="D230" s="9">
        <v>10590</v>
      </c>
      <c r="E230" s="9">
        <f>+Tablo3[[#This Row],[Birim Fiyat]]*Tablo3[[#This Row],[Satış Adet]]</f>
        <v>31770</v>
      </c>
      <c r="F230" s="9">
        <v>13770</v>
      </c>
      <c r="G230" t="s">
        <v>58</v>
      </c>
      <c r="H230" t="s">
        <v>52</v>
      </c>
    </row>
    <row r="231" spans="1:8" x14ac:dyDescent="0.25">
      <c r="A231" t="s">
        <v>22</v>
      </c>
      <c r="B231" t="s">
        <v>50</v>
      </c>
      <c r="C231">
        <v>1</v>
      </c>
      <c r="D231" s="9">
        <v>1250</v>
      </c>
      <c r="E231" s="9">
        <f>+Tablo3[[#This Row],[Birim Fiyat]]*Tablo3[[#This Row],[Satış Adet]]</f>
        <v>1250</v>
      </c>
      <c r="F231" s="9">
        <v>450</v>
      </c>
      <c r="G231" t="s">
        <v>58</v>
      </c>
      <c r="H231" t="s">
        <v>24</v>
      </c>
    </row>
    <row r="232" spans="1:8" x14ac:dyDescent="0.25">
      <c r="A232" t="s">
        <v>48</v>
      </c>
      <c r="B232" t="s">
        <v>51</v>
      </c>
      <c r="C232">
        <v>1</v>
      </c>
      <c r="D232" s="9">
        <v>1200</v>
      </c>
      <c r="E232" s="9">
        <f>+Tablo3[[#This Row],[Birim Fiyat]]*Tablo3[[#This Row],[Satış Adet]]</f>
        <v>1200</v>
      </c>
      <c r="F232" s="9">
        <v>400</v>
      </c>
      <c r="G232" t="s">
        <v>58</v>
      </c>
      <c r="H232" t="s">
        <v>39</v>
      </c>
    </row>
    <row r="233" spans="1:8" x14ac:dyDescent="0.25">
      <c r="A233" t="s">
        <v>22</v>
      </c>
      <c r="B233" t="s">
        <v>13</v>
      </c>
      <c r="C233">
        <v>3</v>
      </c>
      <c r="D233" s="9">
        <v>1400</v>
      </c>
      <c r="E233" s="9">
        <f>+Tablo3[[#This Row],[Birim Fiyat]]*Tablo3[[#This Row],[Satış Adet]]</f>
        <v>4200</v>
      </c>
      <c r="F233" s="9">
        <v>1800</v>
      </c>
      <c r="G233" t="s">
        <v>58</v>
      </c>
      <c r="H233" t="s">
        <v>14</v>
      </c>
    </row>
    <row r="234" spans="1:8" x14ac:dyDescent="0.25">
      <c r="A234" t="s">
        <v>48</v>
      </c>
      <c r="B234" t="s">
        <v>53</v>
      </c>
      <c r="C234">
        <v>2</v>
      </c>
      <c r="D234" s="9">
        <v>7530</v>
      </c>
      <c r="E234" s="9">
        <f>+Tablo3[[#This Row],[Birim Fiyat]]*Tablo3[[#This Row],[Satış Adet]]</f>
        <v>15060</v>
      </c>
      <c r="F234" s="9">
        <v>3060</v>
      </c>
      <c r="G234" t="s">
        <v>58</v>
      </c>
      <c r="H234" t="s">
        <v>11</v>
      </c>
    </row>
    <row r="235" spans="1:8" x14ac:dyDescent="0.25">
      <c r="A235" t="s">
        <v>30</v>
      </c>
      <c r="B235" t="s">
        <v>23</v>
      </c>
      <c r="C235">
        <v>1</v>
      </c>
      <c r="D235" s="9">
        <v>7600</v>
      </c>
      <c r="E235" s="9">
        <f>+Tablo3[[#This Row],[Birim Fiyat]]*Tablo3[[#This Row],[Satış Adet]]</f>
        <v>7600</v>
      </c>
      <c r="F235" s="9">
        <v>1600</v>
      </c>
      <c r="G235" t="s">
        <v>58</v>
      </c>
      <c r="H235" t="s">
        <v>24</v>
      </c>
    </row>
    <row r="236" spans="1:8" x14ac:dyDescent="0.25">
      <c r="A236" t="s">
        <v>48</v>
      </c>
      <c r="B236" t="s">
        <v>55</v>
      </c>
      <c r="C236">
        <v>1</v>
      </c>
      <c r="D236" s="9">
        <v>1500</v>
      </c>
      <c r="E236" s="9">
        <f>+Tablo3[[#This Row],[Birim Fiyat]]*Tablo3[[#This Row],[Satış Adet]]</f>
        <v>1500</v>
      </c>
      <c r="F236" s="9">
        <v>700</v>
      </c>
      <c r="G236" t="s">
        <v>58</v>
      </c>
      <c r="H236" t="s">
        <v>11</v>
      </c>
    </row>
    <row r="237" spans="1:8" x14ac:dyDescent="0.25">
      <c r="A237" t="s">
        <v>38</v>
      </c>
      <c r="B237" t="s">
        <v>21</v>
      </c>
      <c r="C237">
        <v>2</v>
      </c>
      <c r="D237" s="9">
        <v>2180</v>
      </c>
      <c r="E237" s="9">
        <f>+Tablo3[[#This Row],[Birim Fiyat]]*Tablo3[[#This Row],[Satış Adet]]</f>
        <v>4360</v>
      </c>
      <c r="F237" s="9">
        <v>1360</v>
      </c>
      <c r="G237" t="s">
        <v>58</v>
      </c>
      <c r="H237" t="s">
        <v>14</v>
      </c>
    </row>
    <row r="238" spans="1:8" x14ac:dyDescent="0.25">
      <c r="A238" t="s">
        <v>18</v>
      </c>
      <c r="B238" t="s">
        <v>21</v>
      </c>
      <c r="C238">
        <v>1</v>
      </c>
      <c r="D238" s="9">
        <v>2180</v>
      </c>
      <c r="E238" s="9">
        <f>+Tablo3[[#This Row],[Birim Fiyat]]*Tablo3[[#This Row],[Satış Adet]]</f>
        <v>2180</v>
      </c>
      <c r="F238" s="9">
        <v>680</v>
      </c>
      <c r="G238" t="s">
        <v>58</v>
      </c>
      <c r="H238" t="s">
        <v>52</v>
      </c>
    </row>
    <row r="239" spans="1:8" x14ac:dyDescent="0.25">
      <c r="A239" t="s">
        <v>38</v>
      </c>
      <c r="B239" t="s">
        <v>45</v>
      </c>
      <c r="C239">
        <v>1</v>
      </c>
      <c r="D239" s="9">
        <v>5775</v>
      </c>
      <c r="E239" s="9">
        <f>+Tablo3[[#This Row],[Birim Fiyat]]*Tablo3[[#This Row],[Satış Adet]]</f>
        <v>5775</v>
      </c>
      <c r="F239" s="9">
        <v>1775</v>
      </c>
      <c r="G239" t="s">
        <v>58</v>
      </c>
      <c r="H239" t="s">
        <v>40</v>
      </c>
    </row>
    <row r="240" spans="1:8" x14ac:dyDescent="0.25">
      <c r="A240" t="s">
        <v>38</v>
      </c>
      <c r="B240" t="s">
        <v>26</v>
      </c>
      <c r="C240">
        <v>3</v>
      </c>
      <c r="D240" s="9">
        <v>1100</v>
      </c>
      <c r="E240" s="9">
        <f>+Tablo3[[#This Row],[Birim Fiyat]]*Tablo3[[#This Row],[Satış Adet]]</f>
        <v>3300</v>
      </c>
      <c r="F240" s="9">
        <v>900</v>
      </c>
      <c r="G240" t="s">
        <v>58</v>
      </c>
      <c r="H240" t="s">
        <v>17</v>
      </c>
    </row>
    <row r="241" spans="1:8" x14ac:dyDescent="0.25">
      <c r="A241" t="s">
        <v>46</v>
      </c>
      <c r="B241" t="s">
        <v>45</v>
      </c>
      <c r="C241">
        <v>1</v>
      </c>
      <c r="D241" s="9">
        <v>5775</v>
      </c>
      <c r="E241" s="9">
        <f>+Tablo3[[#This Row],[Birim Fiyat]]*Tablo3[[#This Row],[Satış Adet]]</f>
        <v>5775</v>
      </c>
      <c r="F241" s="9">
        <v>1775</v>
      </c>
      <c r="G241" t="s">
        <v>58</v>
      </c>
      <c r="H241" t="s">
        <v>20</v>
      </c>
    </row>
    <row r="242" spans="1:8" x14ac:dyDescent="0.25">
      <c r="A242" t="s">
        <v>33</v>
      </c>
      <c r="B242" t="s">
        <v>19</v>
      </c>
      <c r="C242">
        <v>1</v>
      </c>
      <c r="D242" s="9">
        <v>1350</v>
      </c>
      <c r="E242" s="9">
        <f>+Tablo3[[#This Row],[Birim Fiyat]]*Tablo3[[#This Row],[Satış Adet]]</f>
        <v>1350</v>
      </c>
      <c r="F242" s="9">
        <v>550</v>
      </c>
      <c r="G242" t="s">
        <v>58</v>
      </c>
      <c r="H242" t="s">
        <v>42</v>
      </c>
    </row>
    <row r="243" spans="1:8" x14ac:dyDescent="0.25">
      <c r="A243" t="s">
        <v>8</v>
      </c>
      <c r="B243" t="s">
        <v>23</v>
      </c>
      <c r="C243">
        <v>3</v>
      </c>
      <c r="D243" s="9">
        <v>7600</v>
      </c>
      <c r="E243" s="9">
        <f>+Tablo3[[#This Row],[Birim Fiyat]]*Tablo3[[#This Row],[Satış Adet]]</f>
        <v>22800</v>
      </c>
      <c r="F243" s="9">
        <v>4800</v>
      </c>
      <c r="G243" t="s">
        <v>58</v>
      </c>
      <c r="H243" t="s">
        <v>14</v>
      </c>
    </row>
    <row r="244" spans="1:8" x14ac:dyDescent="0.25">
      <c r="A244" t="s">
        <v>15</v>
      </c>
      <c r="B244" t="s">
        <v>25</v>
      </c>
      <c r="C244">
        <v>3</v>
      </c>
      <c r="D244" s="9">
        <v>7250</v>
      </c>
      <c r="E244" s="9">
        <f>+Tablo3[[#This Row],[Birim Fiyat]]*Tablo3[[#This Row],[Satış Adet]]</f>
        <v>21750</v>
      </c>
      <c r="F244" s="9">
        <v>6750</v>
      </c>
      <c r="G244" t="s">
        <v>58</v>
      </c>
      <c r="H244" t="s">
        <v>40</v>
      </c>
    </row>
    <row r="245" spans="1:8" x14ac:dyDescent="0.25">
      <c r="A245" t="s">
        <v>48</v>
      </c>
      <c r="B245" t="s">
        <v>41</v>
      </c>
      <c r="C245">
        <v>2</v>
      </c>
      <c r="D245" s="9">
        <v>1490</v>
      </c>
      <c r="E245" s="9">
        <f>+Tablo3[[#This Row],[Birim Fiyat]]*Tablo3[[#This Row],[Satış Adet]]</f>
        <v>2980</v>
      </c>
      <c r="F245" s="9">
        <v>1380</v>
      </c>
      <c r="G245" t="s">
        <v>58</v>
      </c>
      <c r="H245" t="s">
        <v>35</v>
      </c>
    </row>
    <row r="246" spans="1:8" x14ac:dyDescent="0.25">
      <c r="A246" t="s">
        <v>18</v>
      </c>
      <c r="B246" t="s">
        <v>41</v>
      </c>
      <c r="C246">
        <v>2</v>
      </c>
      <c r="D246" s="9">
        <v>1490</v>
      </c>
      <c r="E246" s="9">
        <f>+Tablo3[[#This Row],[Birim Fiyat]]*Tablo3[[#This Row],[Satış Adet]]</f>
        <v>2980</v>
      </c>
      <c r="F246" s="9">
        <v>1380</v>
      </c>
      <c r="G246" t="s">
        <v>58</v>
      </c>
      <c r="H246" t="s">
        <v>39</v>
      </c>
    </row>
    <row r="247" spans="1:8" x14ac:dyDescent="0.25">
      <c r="A247" t="s">
        <v>36</v>
      </c>
      <c r="B247" t="s">
        <v>32</v>
      </c>
      <c r="C247">
        <v>2</v>
      </c>
      <c r="D247" s="9">
        <v>1090</v>
      </c>
      <c r="E247" s="9">
        <f>+Tablo3[[#This Row],[Birim Fiyat]]*Tablo3[[#This Row],[Satış Adet]]</f>
        <v>2180</v>
      </c>
      <c r="F247" s="9">
        <v>580</v>
      </c>
      <c r="G247" t="s">
        <v>58</v>
      </c>
      <c r="H247" t="s">
        <v>42</v>
      </c>
    </row>
    <row r="248" spans="1:8" x14ac:dyDescent="0.25">
      <c r="A248" t="s">
        <v>36</v>
      </c>
      <c r="B248" t="s">
        <v>28</v>
      </c>
      <c r="C248">
        <v>3</v>
      </c>
      <c r="D248" s="9">
        <v>1200</v>
      </c>
      <c r="E248" s="9">
        <f>+Tablo3[[#This Row],[Birim Fiyat]]*Tablo3[[#This Row],[Satış Adet]]</f>
        <v>3600</v>
      </c>
      <c r="F248" s="9">
        <v>1200</v>
      </c>
      <c r="G248" t="s">
        <v>58</v>
      </c>
      <c r="H248" t="s">
        <v>17</v>
      </c>
    </row>
    <row r="249" spans="1:8" x14ac:dyDescent="0.25">
      <c r="A249" t="s">
        <v>48</v>
      </c>
      <c r="B249" t="s">
        <v>32</v>
      </c>
      <c r="C249">
        <v>2</v>
      </c>
      <c r="D249" s="9">
        <v>1090</v>
      </c>
      <c r="E249" s="9">
        <f>+Tablo3[[#This Row],[Birim Fiyat]]*Tablo3[[#This Row],[Satış Adet]]</f>
        <v>2180</v>
      </c>
      <c r="F249" s="9">
        <v>580</v>
      </c>
      <c r="G249" t="s">
        <v>58</v>
      </c>
      <c r="H249" t="s">
        <v>52</v>
      </c>
    </row>
    <row r="250" spans="1:8" x14ac:dyDescent="0.25">
      <c r="A250" t="s">
        <v>48</v>
      </c>
      <c r="B250" t="s">
        <v>21</v>
      </c>
      <c r="C250">
        <v>3</v>
      </c>
      <c r="D250" s="9">
        <v>2180</v>
      </c>
      <c r="E250" s="9">
        <f>+Tablo3[[#This Row],[Birim Fiyat]]*Tablo3[[#This Row],[Satış Adet]]</f>
        <v>6540</v>
      </c>
      <c r="F250" s="9">
        <v>2040</v>
      </c>
      <c r="G250" t="s">
        <v>58</v>
      </c>
      <c r="H250" t="s">
        <v>14</v>
      </c>
    </row>
    <row r="251" spans="1:8" x14ac:dyDescent="0.25">
      <c r="A251" t="s">
        <v>15</v>
      </c>
      <c r="B251" t="s">
        <v>54</v>
      </c>
      <c r="C251">
        <v>3</v>
      </c>
      <c r="D251" s="9">
        <v>5300</v>
      </c>
      <c r="E251" s="9">
        <f>+Tablo3[[#This Row],[Birim Fiyat]]*Tablo3[[#This Row],[Satış Adet]]</f>
        <v>15900</v>
      </c>
      <c r="F251" s="9">
        <v>3900</v>
      </c>
      <c r="G251" t="s">
        <v>58</v>
      </c>
      <c r="H251" t="s">
        <v>17</v>
      </c>
    </row>
    <row r="252" spans="1:8" x14ac:dyDescent="0.25">
      <c r="A252" t="s">
        <v>48</v>
      </c>
      <c r="B252" t="s">
        <v>54</v>
      </c>
      <c r="C252">
        <v>2</v>
      </c>
      <c r="D252" s="9">
        <v>5300</v>
      </c>
      <c r="E252" s="9">
        <f>+Tablo3[[#This Row],[Birim Fiyat]]*Tablo3[[#This Row],[Satış Adet]]</f>
        <v>10600</v>
      </c>
      <c r="F252" s="9">
        <v>2600</v>
      </c>
      <c r="G252" t="s">
        <v>58</v>
      </c>
      <c r="H252" t="s">
        <v>24</v>
      </c>
    </row>
    <row r="253" spans="1:8" x14ac:dyDescent="0.25">
      <c r="A253" t="s">
        <v>67</v>
      </c>
      <c r="B253" t="s">
        <v>25</v>
      </c>
      <c r="C253">
        <v>2</v>
      </c>
      <c r="D253" s="9">
        <v>7250</v>
      </c>
      <c r="E253" s="9">
        <f>+Tablo3[[#This Row],[Birim Fiyat]]*Tablo3[[#This Row],[Satış Adet]]</f>
        <v>14500</v>
      </c>
      <c r="F253" s="9">
        <v>4500</v>
      </c>
      <c r="G253" t="s">
        <v>58</v>
      </c>
      <c r="H253" t="s">
        <v>29</v>
      </c>
    </row>
    <row r="254" spans="1:8" x14ac:dyDescent="0.25">
      <c r="A254" t="s">
        <v>67</v>
      </c>
      <c r="B254" t="s">
        <v>51</v>
      </c>
      <c r="C254">
        <v>3</v>
      </c>
      <c r="D254" s="9">
        <v>1200</v>
      </c>
      <c r="E254" s="9">
        <f>+Tablo3[[#This Row],[Birim Fiyat]]*Tablo3[[#This Row],[Satış Adet]]</f>
        <v>3600</v>
      </c>
      <c r="F254" s="9">
        <v>1200</v>
      </c>
      <c r="G254" t="s">
        <v>58</v>
      </c>
      <c r="H254" t="s">
        <v>20</v>
      </c>
    </row>
    <row r="255" spans="1:8" x14ac:dyDescent="0.25">
      <c r="A255" t="s">
        <v>18</v>
      </c>
      <c r="B255" t="s">
        <v>9</v>
      </c>
      <c r="C255">
        <v>1</v>
      </c>
      <c r="D255" s="9">
        <v>6000</v>
      </c>
      <c r="E255" s="9">
        <f>+Tablo3[[#This Row],[Birim Fiyat]]*Tablo3[[#This Row],[Satış Adet]]</f>
        <v>6000</v>
      </c>
      <c r="F255" s="9">
        <v>2000</v>
      </c>
      <c r="G255" t="s">
        <v>58</v>
      </c>
      <c r="H255" t="s">
        <v>20</v>
      </c>
    </row>
    <row r="256" spans="1:8" x14ac:dyDescent="0.25">
      <c r="A256" t="s">
        <v>15</v>
      </c>
      <c r="B256" t="s">
        <v>16</v>
      </c>
      <c r="C256">
        <v>3</v>
      </c>
      <c r="D256" s="9">
        <v>8450</v>
      </c>
      <c r="E256" s="9">
        <f>+Tablo3[[#This Row],[Birim Fiyat]]*Tablo3[[#This Row],[Satış Adet]]</f>
        <v>25350</v>
      </c>
      <c r="F256" s="9">
        <v>7350</v>
      </c>
      <c r="G256" t="s">
        <v>58</v>
      </c>
      <c r="H256" t="s">
        <v>27</v>
      </c>
    </row>
    <row r="257" spans="1:8" x14ac:dyDescent="0.25">
      <c r="A257" t="s">
        <v>30</v>
      </c>
      <c r="B257" t="s">
        <v>43</v>
      </c>
      <c r="C257">
        <v>1</v>
      </c>
      <c r="D257" s="9">
        <v>4200</v>
      </c>
      <c r="E257" s="9">
        <f>+Tablo3[[#This Row],[Birim Fiyat]]*Tablo3[[#This Row],[Satış Adet]]</f>
        <v>4200</v>
      </c>
      <c r="F257" s="9">
        <v>1200</v>
      </c>
      <c r="G257" t="s">
        <v>59</v>
      </c>
      <c r="H257" t="s">
        <v>24</v>
      </c>
    </row>
    <row r="258" spans="1:8" x14ac:dyDescent="0.25">
      <c r="A258" t="s">
        <v>30</v>
      </c>
      <c r="B258" t="s">
        <v>37</v>
      </c>
      <c r="C258">
        <v>3</v>
      </c>
      <c r="D258" s="9">
        <v>10590</v>
      </c>
      <c r="E258" s="9">
        <f>+Tablo3[[#This Row],[Birim Fiyat]]*Tablo3[[#This Row],[Satış Adet]]</f>
        <v>31770</v>
      </c>
      <c r="F258" s="9">
        <v>13770</v>
      </c>
      <c r="G258" t="s">
        <v>59</v>
      </c>
      <c r="H258" t="s">
        <v>39</v>
      </c>
    </row>
    <row r="259" spans="1:8" x14ac:dyDescent="0.25">
      <c r="A259" t="s">
        <v>67</v>
      </c>
      <c r="B259" t="s">
        <v>51</v>
      </c>
      <c r="C259">
        <v>1</v>
      </c>
      <c r="D259" s="9">
        <v>1200</v>
      </c>
      <c r="E259" s="9">
        <f>+Tablo3[[#This Row],[Birim Fiyat]]*Tablo3[[#This Row],[Satış Adet]]</f>
        <v>1200</v>
      </c>
      <c r="F259" s="9">
        <v>400</v>
      </c>
      <c r="G259" t="s">
        <v>59</v>
      </c>
      <c r="H259" t="s">
        <v>17</v>
      </c>
    </row>
    <row r="260" spans="1:8" x14ac:dyDescent="0.25">
      <c r="A260" t="s">
        <v>46</v>
      </c>
      <c r="B260" t="s">
        <v>26</v>
      </c>
      <c r="C260">
        <v>2</v>
      </c>
      <c r="D260" s="9">
        <v>1100</v>
      </c>
      <c r="E260" s="9">
        <f>+Tablo3[[#This Row],[Birim Fiyat]]*Tablo3[[#This Row],[Satış Adet]]</f>
        <v>2200</v>
      </c>
      <c r="F260" s="9">
        <v>600</v>
      </c>
      <c r="G260" t="s">
        <v>59</v>
      </c>
      <c r="H260" t="s">
        <v>20</v>
      </c>
    </row>
    <row r="261" spans="1:8" x14ac:dyDescent="0.25">
      <c r="A261" t="s">
        <v>38</v>
      </c>
      <c r="B261" t="s">
        <v>56</v>
      </c>
      <c r="C261">
        <v>2</v>
      </c>
      <c r="D261" s="9">
        <v>3700</v>
      </c>
      <c r="E261" s="9">
        <f>+Tablo3[[#This Row],[Birim Fiyat]]*Tablo3[[#This Row],[Satış Adet]]</f>
        <v>7400</v>
      </c>
      <c r="F261" s="9">
        <v>1400</v>
      </c>
      <c r="G261" t="s">
        <v>59</v>
      </c>
      <c r="H261" t="s">
        <v>39</v>
      </c>
    </row>
    <row r="262" spans="1:8" x14ac:dyDescent="0.25">
      <c r="A262" t="s">
        <v>12</v>
      </c>
      <c r="B262" t="s">
        <v>56</v>
      </c>
      <c r="C262">
        <v>1</v>
      </c>
      <c r="D262" s="9">
        <v>3700</v>
      </c>
      <c r="E262" s="9">
        <f>+Tablo3[[#This Row],[Birim Fiyat]]*Tablo3[[#This Row],[Satış Adet]]</f>
        <v>3700</v>
      </c>
      <c r="F262" s="9">
        <v>700</v>
      </c>
      <c r="G262" t="s">
        <v>59</v>
      </c>
      <c r="H262" t="s">
        <v>42</v>
      </c>
    </row>
    <row r="263" spans="1:8" x14ac:dyDescent="0.25">
      <c r="A263" t="s">
        <v>30</v>
      </c>
      <c r="B263" t="s">
        <v>26</v>
      </c>
      <c r="C263">
        <v>3</v>
      </c>
      <c r="D263" s="9">
        <v>1100</v>
      </c>
      <c r="E263" s="9">
        <f>+Tablo3[[#This Row],[Birim Fiyat]]*Tablo3[[#This Row],[Satış Adet]]</f>
        <v>3300</v>
      </c>
      <c r="F263" s="9">
        <v>900</v>
      </c>
      <c r="G263" t="s">
        <v>59</v>
      </c>
      <c r="H263" t="s">
        <v>40</v>
      </c>
    </row>
    <row r="264" spans="1:8" x14ac:dyDescent="0.25">
      <c r="A264" t="s">
        <v>67</v>
      </c>
      <c r="B264" t="s">
        <v>56</v>
      </c>
      <c r="C264">
        <v>1</v>
      </c>
      <c r="D264" s="9">
        <v>3700</v>
      </c>
      <c r="E264" s="9">
        <f>+Tablo3[[#This Row],[Birim Fiyat]]*Tablo3[[#This Row],[Satış Adet]]</f>
        <v>3700</v>
      </c>
      <c r="F264" s="9">
        <v>700</v>
      </c>
      <c r="G264" t="s">
        <v>59</v>
      </c>
      <c r="H264" t="s">
        <v>39</v>
      </c>
    </row>
    <row r="265" spans="1:8" x14ac:dyDescent="0.25">
      <c r="A265" t="s">
        <v>46</v>
      </c>
      <c r="B265" t="s">
        <v>41</v>
      </c>
      <c r="C265">
        <v>1</v>
      </c>
      <c r="D265" s="9">
        <v>1490</v>
      </c>
      <c r="E265" s="9">
        <f>+Tablo3[[#This Row],[Birim Fiyat]]*Tablo3[[#This Row],[Satış Adet]]</f>
        <v>1490</v>
      </c>
      <c r="F265" s="9">
        <v>690</v>
      </c>
      <c r="G265" t="s">
        <v>59</v>
      </c>
      <c r="H265" t="s">
        <v>24</v>
      </c>
    </row>
    <row r="266" spans="1:8" x14ac:dyDescent="0.25">
      <c r="A266" t="s">
        <v>38</v>
      </c>
      <c r="B266" t="s">
        <v>55</v>
      </c>
      <c r="C266">
        <v>1</v>
      </c>
      <c r="D266" s="9">
        <v>1500</v>
      </c>
      <c r="E266" s="9">
        <f>+Tablo3[[#This Row],[Birim Fiyat]]*Tablo3[[#This Row],[Satış Adet]]</f>
        <v>1500</v>
      </c>
      <c r="F266" s="9">
        <v>700</v>
      </c>
      <c r="G266" t="s">
        <v>59</v>
      </c>
      <c r="H266" t="s">
        <v>35</v>
      </c>
    </row>
    <row r="267" spans="1:8" x14ac:dyDescent="0.25">
      <c r="A267" t="s">
        <v>36</v>
      </c>
      <c r="B267" t="s">
        <v>32</v>
      </c>
      <c r="C267">
        <v>2</v>
      </c>
      <c r="D267" s="9">
        <v>1090</v>
      </c>
      <c r="E267" s="9">
        <f>+Tablo3[[#This Row],[Birim Fiyat]]*Tablo3[[#This Row],[Satış Adet]]</f>
        <v>2180</v>
      </c>
      <c r="F267" s="9">
        <v>580</v>
      </c>
      <c r="G267" t="s">
        <v>59</v>
      </c>
      <c r="H267" t="s">
        <v>14</v>
      </c>
    </row>
    <row r="268" spans="1:8" x14ac:dyDescent="0.25">
      <c r="A268" t="s">
        <v>46</v>
      </c>
      <c r="B268" t="s">
        <v>31</v>
      </c>
      <c r="C268">
        <v>3</v>
      </c>
      <c r="D268" s="9">
        <v>1800</v>
      </c>
      <c r="E268" s="9">
        <f>+Tablo3[[#This Row],[Birim Fiyat]]*Tablo3[[#This Row],[Satış Adet]]</f>
        <v>5400</v>
      </c>
      <c r="F268" s="9">
        <v>3000</v>
      </c>
      <c r="G268" t="s">
        <v>59</v>
      </c>
      <c r="H268" t="s">
        <v>24</v>
      </c>
    </row>
    <row r="269" spans="1:8" x14ac:dyDescent="0.25">
      <c r="A269" t="s">
        <v>33</v>
      </c>
      <c r="B269" t="s">
        <v>53</v>
      </c>
      <c r="C269">
        <v>2</v>
      </c>
      <c r="D269" s="9">
        <v>7530</v>
      </c>
      <c r="E269" s="9">
        <f>+Tablo3[[#This Row],[Birim Fiyat]]*Tablo3[[#This Row],[Satış Adet]]</f>
        <v>15060</v>
      </c>
      <c r="F269" s="9">
        <v>3060</v>
      </c>
      <c r="G269" t="s">
        <v>59</v>
      </c>
      <c r="H269" t="s">
        <v>42</v>
      </c>
    </row>
    <row r="270" spans="1:8" x14ac:dyDescent="0.25">
      <c r="A270" t="s">
        <v>30</v>
      </c>
      <c r="B270" t="s">
        <v>26</v>
      </c>
      <c r="C270">
        <v>3</v>
      </c>
      <c r="D270" s="9">
        <v>1100</v>
      </c>
      <c r="E270" s="9">
        <f>+Tablo3[[#This Row],[Birim Fiyat]]*Tablo3[[#This Row],[Satış Adet]]</f>
        <v>3300</v>
      </c>
      <c r="F270" s="9">
        <v>900</v>
      </c>
      <c r="G270" t="s">
        <v>59</v>
      </c>
      <c r="H270" t="s">
        <v>52</v>
      </c>
    </row>
    <row r="271" spans="1:8" x14ac:dyDescent="0.25">
      <c r="A271" t="s">
        <v>38</v>
      </c>
      <c r="B271" t="s">
        <v>19</v>
      </c>
      <c r="C271">
        <v>3</v>
      </c>
      <c r="D271" s="9">
        <v>1350</v>
      </c>
      <c r="E271" s="9">
        <f>+Tablo3[[#This Row],[Birim Fiyat]]*Tablo3[[#This Row],[Satış Adet]]</f>
        <v>4050</v>
      </c>
      <c r="F271" s="9">
        <v>1650</v>
      </c>
      <c r="G271" t="s">
        <v>59</v>
      </c>
      <c r="H271" t="s">
        <v>52</v>
      </c>
    </row>
    <row r="272" spans="1:8" x14ac:dyDescent="0.25">
      <c r="A272" t="s">
        <v>36</v>
      </c>
      <c r="B272" t="s">
        <v>19</v>
      </c>
      <c r="C272">
        <v>1</v>
      </c>
      <c r="D272" s="9">
        <v>1350</v>
      </c>
      <c r="E272" s="9">
        <f>+Tablo3[[#This Row],[Birim Fiyat]]*Tablo3[[#This Row],[Satış Adet]]</f>
        <v>1350</v>
      </c>
      <c r="F272" s="9">
        <v>550</v>
      </c>
      <c r="G272" t="s">
        <v>59</v>
      </c>
      <c r="H272" t="s">
        <v>52</v>
      </c>
    </row>
    <row r="273" spans="1:8" x14ac:dyDescent="0.25">
      <c r="A273" t="s">
        <v>33</v>
      </c>
      <c r="B273" t="s">
        <v>32</v>
      </c>
      <c r="C273">
        <v>2</v>
      </c>
      <c r="D273" s="9">
        <v>1090</v>
      </c>
      <c r="E273" s="9">
        <f>+Tablo3[[#This Row],[Birim Fiyat]]*Tablo3[[#This Row],[Satış Adet]]</f>
        <v>2180</v>
      </c>
      <c r="F273" s="9">
        <v>580</v>
      </c>
      <c r="G273" t="s">
        <v>59</v>
      </c>
      <c r="H273" t="s">
        <v>52</v>
      </c>
    </row>
    <row r="274" spans="1:8" x14ac:dyDescent="0.25">
      <c r="A274" t="s">
        <v>33</v>
      </c>
      <c r="B274" t="s">
        <v>43</v>
      </c>
      <c r="C274">
        <v>1</v>
      </c>
      <c r="D274" s="9">
        <v>4200</v>
      </c>
      <c r="E274" s="9">
        <f>+Tablo3[[#This Row],[Birim Fiyat]]*Tablo3[[#This Row],[Satış Adet]]</f>
        <v>4200</v>
      </c>
      <c r="F274" s="9">
        <v>1200</v>
      </c>
      <c r="G274" t="s">
        <v>59</v>
      </c>
      <c r="H274" t="s">
        <v>35</v>
      </c>
    </row>
    <row r="275" spans="1:8" x14ac:dyDescent="0.25">
      <c r="A275" t="s">
        <v>38</v>
      </c>
      <c r="B275" t="s">
        <v>31</v>
      </c>
      <c r="C275">
        <v>2</v>
      </c>
      <c r="D275" s="9">
        <v>1800</v>
      </c>
      <c r="E275" s="9">
        <f>+Tablo3[[#This Row],[Birim Fiyat]]*Tablo3[[#This Row],[Satış Adet]]</f>
        <v>3600</v>
      </c>
      <c r="F275" s="9">
        <v>2000</v>
      </c>
      <c r="G275" t="s">
        <v>59</v>
      </c>
      <c r="H275" t="s">
        <v>35</v>
      </c>
    </row>
    <row r="276" spans="1:8" x14ac:dyDescent="0.25">
      <c r="A276" t="s">
        <v>48</v>
      </c>
      <c r="B276" t="s">
        <v>32</v>
      </c>
      <c r="C276">
        <v>1</v>
      </c>
      <c r="D276" s="9">
        <v>1090</v>
      </c>
      <c r="E276" s="9">
        <f>+Tablo3[[#This Row],[Birim Fiyat]]*Tablo3[[#This Row],[Satış Adet]]</f>
        <v>1090</v>
      </c>
      <c r="F276" s="9">
        <v>290</v>
      </c>
      <c r="G276" t="s">
        <v>59</v>
      </c>
      <c r="H276" t="s">
        <v>17</v>
      </c>
    </row>
    <row r="277" spans="1:8" x14ac:dyDescent="0.25">
      <c r="A277" t="s">
        <v>8</v>
      </c>
      <c r="B277" t="s">
        <v>23</v>
      </c>
      <c r="C277">
        <v>1</v>
      </c>
      <c r="D277" s="9">
        <v>7600</v>
      </c>
      <c r="E277" s="9">
        <f>+Tablo3[[#This Row],[Birim Fiyat]]*Tablo3[[#This Row],[Satış Adet]]</f>
        <v>7600</v>
      </c>
      <c r="F277" s="9">
        <v>1600</v>
      </c>
      <c r="G277" t="s">
        <v>59</v>
      </c>
      <c r="H277" t="s">
        <v>17</v>
      </c>
    </row>
    <row r="278" spans="1:8" x14ac:dyDescent="0.25">
      <c r="A278" t="s">
        <v>36</v>
      </c>
      <c r="B278" t="s">
        <v>23</v>
      </c>
      <c r="C278">
        <v>3</v>
      </c>
      <c r="D278" s="9">
        <v>7600</v>
      </c>
      <c r="E278" s="9">
        <f>+Tablo3[[#This Row],[Birim Fiyat]]*Tablo3[[#This Row],[Satış Adet]]</f>
        <v>22800</v>
      </c>
      <c r="F278" s="9">
        <v>4800</v>
      </c>
      <c r="G278" t="s">
        <v>59</v>
      </c>
      <c r="H278" t="s">
        <v>17</v>
      </c>
    </row>
    <row r="279" spans="1:8" x14ac:dyDescent="0.25">
      <c r="A279" t="s">
        <v>15</v>
      </c>
      <c r="B279" t="s">
        <v>56</v>
      </c>
      <c r="C279">
        <v>1</v>
      </c>
      <c r="D279" s="9">
        <v>3700</v>
      </c>
      <c r="E279" s="9">
        <f>+Tablo3[[#This Row],[Birim Fiyat]]*Tablo3[[#This Row],[Satış Adet]]</f>
        <v>3700</v>
      </c>
      <c r="F279" s="9">
        <v>700</v>
      </c>
      <c r="G279" t="s">
        <v>59</v>
      </c>
      <c r="H279" t="s">
        <v>40</v>
      </c>
    </row>
    <row r="280" spans="1:8" x14ac:dyDescent="0.25">
      <c r="A280" t="s">
        <v>22</v>
      </c>
      <c r="B280" t="s">
        <v>25</v>
      </c>
      <c r="C280">
        <v>3</v>
      </c>
      <c r="D280" s="9">
        <v>7250</v>
      </c>
      <c r="E280" s="9">
        <f>+Tablo3[[#This Row],[Birim Fiyat]]*Tablo3[[#This Row],[Satış Adet]]</f>
        <v>21750</v>
      </c>
      <c r="F280" s="9">
        <v>6750</v>
      </c>
      <c r="G280" t="s">
        <v>59</v>
      </c>
      <c r="H280" t="s">
        <v>44</v>
      </c>
    </row>
    <row r="281" spans="1:8" x14ac:dyDescent="0.25">
      <c r="A281" t="s">
        <v>12</v>
      </c>
      <c r="B281" t="s">
        <v>23</v>
      </c>
      <c r="C281">
        <v>3</v>
      </c>
      <c r="D281" s="9">
        <v>7600</v>
      </c>
      <c r="E281" s="9">
        <f>+Tablo3[[#This Row],[Birim Fiyat]]*Tablo3[[#This Row],[Satış Adet]]</f>
        <v>22800</v>
      </c>
      <c r="F281" s="9">
        <v>4800</v>
      </c>
      <c r="G281" t="s">
        <v>59</v>
      </c>
      <c r="H281" t="s">
        <v>24</v>
      </c>
    </row>
    <row r="282" spans="1:8" x14ac:dyDescent="0.25">
      <c r="A282" t="s">
        <v>46</v>
      </c>
      <c r="B282" t="s">
        <v>43</v>
      </c>
      <c r="C282">
        <v>1</v>
      </c>
      <c r="D282" s="9">
        <v>4200</v>
      </c>
      <c r="E282" s="9">
        <f>+Tablo3[[#This Row],[Birim Fiyat]]*Tablo3[[#This Row],[Satış Adet]]</f>
        <v>4200</v>
      </c>
      <c r="F282" s="9">
        <v>1200</v>
      </c>
      <c r="G282" t="s">
        <v>59</v>
      </c>
      <c r="H282" t="s">
        <v>42</v>
      </c>
    </row>
    <row r="283" spans="1:8" x14ac:dyDescent="0.25">
      <c r="A283" t="s">
        <v>30</v>
      </c>
      <c r="B283" t="s">
        <v>50</v>
      </c>
      <c r="C283">
        <v>3</v>
      </c>
      <c r="D283" s="9">
        <v>1250</v>
      </c>
      <c r="E283" s="9">
        <f>+Tablo3[[#This Row],[Birim Fiyat]]*Tablo3[[#This Row],[Satış Adet]]</f>
        <v>3750</v>
      </c>
      <c r="F283" s="9">
        <v>1350</v>
      </c>
      <c r="G283" t="s">
        <v>59</v>
      </c>
      <c r="H283" t="s">
        <v>42</v>
      </c>
    </row>
    <row r="284" spans="1:8" x14ac:dyDescent="0.25">
      <c r="A284" t="s">
        <v>36</v>
      </c>
      <c r="B284" t="s">
        <v>32</v>
      </c>
      <c r="C284">
        <v>1</v>
      </c>
      <c r="D284" s="9">
        <v>1090</v>
      </c>
      <c r="E284" s="9">
        <f>+Tablo3[[#This Row],[Birim Fiyat]]*Tablo3[[#This Row],[Satış Adet]]</f>
        <v>1090</v>
      </c>
      <c r="F284" s="9">
        <v>290</v>
      </c>
      <c r="G284" t="s">
        <v>59</v>
      </c>
      <c r="H284" t="s">
        <v>20</v>
      </c>
    </row>
    <row r="285" spans="1:8" x14ac:dyDescent="0.25">
      <c r="A285" t="s">
        <v>18</v>
      </c>
      <c r="B285" t="s">
        <v>21</v>
      </c>
      <c r="C285">
        <v>1</v>
      </c>
      <c r="D285" s="9">
        <v>2180</v>
      </c>
      <c r="E285" s="9">
        <f>+Tablo3[[#This Row],[Birim Fiyat]]*Tablo3[[#This Row],[Satış Adet]]</f>
        <v>2180</v>
      </c>
      <c r="F285" s="9">
        <v>680</v>
      </c>
      <c r="G285" t="s">
        <v>59</v>
      </c>
      <c r="H285" t="s">
        <v>20</v>
      </c>
    </row>
    <row r="286" spans="1:8" x14ac:dyDescent="0.25">
      <c r="A286" t="s">
        <v>48</v>
      </c>
      <c r="B286" t="s">
        <v>56</v>
      </c>
      <c r="C286">
        <v>2</v>
      </c>
      <c r="D286" s="9">
        <v>3700</v>
      </c>
      <c r="E286" s="9">
        <f>+Tablo3[[#This Row],[Birim Fiyat]]*Tablo3[[#This Row],[Satış Adet]]</f>
        <v>7400</v>
      </c>
      <c r="F286" s="9">
        <v>1400</v>
      </c>
      <c r="G286" t="s">
        <v>59</v>
      </c>
      <c r="H286" t="s">
        <v>29</v>
      </c>
    </row>
    <row r="287" spans="1:8" x14ac:dyDescent="0.25">
      <c r="A287" t="s">
        <v>38</v>
      </c>
      <c r="B287" t="s">
        <v>9</v>
      </c>
      <c r="C287">
        <v>2</v>
      </c>
      <c r="D287" s="9">
        <v>6000</v>
      </c>
      <c r="E287" s="9">
        <f>+Tablo3[[#This Row],[Birim Fiyat]]*Tablo3[[#This Row],[Satış Adet]]</f>
        <v>12000</v>
      </c>
      <c r="F287" s="9">
        <v>4000</v>
      </c>
      <c r="G287" t="s">
        <v>59</v>
      </c>
      <c r="H287" t="s">
        <v>35</v>
      </c>
    </row>
    <row r="288" spans="1:8" x14ac:dyDescent="0.25">
      <c r="A288" t="s">
        <v>46</v>
      </c>
      <c r="B288" t="s">
        <v>50</v>
      </c>
      <c r="C288">
        <v>2</v>
      </c>
      <c r="D288" s="9">
        <v>1250</v>
      </c>
      <c r="E288" s="9">
        <f>+Tablo3[[#This Row],[Birim Fiyat]]*Tablo3[[#This Row],[Satış Adet]]</f>
        <v>2500</v>
      </c>
      <c r="F288" s="9">
        <v>900</v>
      </c>
      <c r="G288" t="s">
        <v>59</v>
      </c>
      <c r="H288" t="s">
        <v>35</v>
      </c>
    </row>
    <row r="289" spans="1:8" x14ac:dyDescent="0.25">
      <c r="A289" t="s">
        <v>48</v>
      </c>
      <c r="B289" t="s">
        <v>23</v>
      </c>
      <c r="C289">
        <v>1</v>
      </c>
      <c r="D289" s="9">
        <v>7600</v>
      </c>
      <c r="E289" s="9">
        <f>+Tablo3[[#This Row],[Birim Fiyat]]*Tablo3[[#This Row],[Satış Adet]]</f>
        <v>7600</v>
      </c>
      <c r="F289" s="9">
        <v>1600</v>
      </c>
      <c r="G289" t="s">
        <v>59</v>
      </c>
      <c r="H289" t="s">
        <v>42</v>
      </c>
    </row>
    <row r="290" spans="1:8" x14ac:dyDescent="0.25">
      <c r="A290" t="s">
        <v>8</v>
      </c>
      <c r="B290" t="s">
        <v>13</v>
      </c>
      <c r="C290">
        <v>2</v>
      </c>
      <c r="D290" s="9">
        <v>1400</v>
      </c>
      <c r="E290" s="9">
        <f>+Tablo3[[#This Row],[Birim Fiyat]]*Tablo3[[#This Row],[Satış Adet]]</f>
        <v>2800</v>
      </c>
      <c r="F290" s="9">
        <v>1200</v>
      </c>
      <c r="G290" t="s">
        <v>59</v>
      </c>
      <c r="H290" t="s">
        <v>24</v>
      </c>
    </row>
    <row r="291" spans="1:8" x14ac:dyDescent="0.25">
      <c r="A291" t="s">
        <v>22</v>
      </c>
      <c r="B291" t="s">
        <v>21</v>
      </c>
      <c r="C291">
        <v>2</v>
      </c>
      <c r="D291" s="9">
        <v>2180</v>
      </c>
      <c r="E291" s="9">
        <f>+Tablo3[[#This Row],[Birim Fiyat]]*Tablo3[[#This Row],[Satış Adet]]</f>
        <v>4360</v>
      </c>
      <c r="F291" s="9">
        <v>1360</v>
      </c>
      <c r="G291" t="s">
        <v>59</v>
      </c>
      <c r="H291" t="s">
        <v>52</v>
      </c>
    </row>
    <row r="292" spans="1:8" x14ac:dyDescent="0.25">
      <c r="A292" t="s">
        <v>8</v>
      </c>
      <c r="B292" t="s">
        <v>31</v>
      </c>
      <c r="C292">
        <v>3</v>
      </c>
      <c r="D292" s="9">
        <v>1800</v>
      </c>
      <c r="E292" s="9">
        <f>+Tablo3[[#This Row],[Birim Fiyat]]*Tablo3[[#This Row],[Satış Adet]]</f>
        <v>5400</v>
      </c>
      <c r="F292" s="9">
        <v>3000</v>
      </c>
      <c r="G292" t="s">
        <v>59</v>
      </c>
      <c r="H292" t="s">
        <v>29</v>
      </c>
    </row>
    <row r="293" spans="1:8" x14ac:dyDescent="0.25">
      <c r="A293" t="s">
        <v>15</v>
      </c>
      <c r="B293" t="s">
        <v>55</v>
      </c>
      <c r="C293">
        <v>1</v>
      </c>
      <c r="D293" s="9">
        <v>1500</v>
      </c>
      <c r="E293" s="9">
        <f>+Tablo3[[#This Row],[Birim Fiyat]]*Tablo3[[#This Row],[Satış Adet]]</f>
        <v>1500</v>
      </c>
      <c r="F293" s="9">
        <v>700</v>
      </c>
      <c r="G293" t="s">
        <v>59</v>
      </c>
      <c r="H293" t="s">
        <v>42</v>
      </c>
    </row>
    <row r="294" spans="1:8" x14ac:dyDescent="0.25">
      <c r="A294" t="s">
        <v>30</v>
      </c>
      <c r="B294" t="s">
        <v>16</v>
      </c>
      <c r="C294">
        <v>3</v>
      </c>
      <c r="D294" s="9">
        <v>8450</v>
      </c>
      <c r="E294" s="9">
        <f>+Tablo3[[#This Row],[Birim Fiyat]]*Tablo3[[#This Row],[Satış Adet]]</f>
        <v>25350</v>
      </c>
      <c r="F294" s="9">
        <v>7350</v>
      </c>
      <c r="G294" t="s">
        <v>59</v>
      </c>
      <c r="H294" t="s">
        <v>40</v>
      </c>
    </row>
    <row r="295" spans="1:8" x14ac:dyDescent="0.25">
      <c r="A295" t="s">
        <v>38</v>
      </c>
      <c r="B295" t="s">
        <v>55</v>
      </c>
      <c r="C295">
        <v>3</v>
      </c>
      <c r="D295" s="9">
        <v>1500</v>
      </c>
      <c r="E295" s="9">
        <f>+Tablo3[[#This Row],[Birim Fiyat]]*Tablo3[[#This Row],[Satış Adet]]</f>
        <v>4500</v>
      </c>
      <c r="F295" s="9">
        <v>2100</v>
      </c>
      <c r="G295" t="s">
        <v>59</v>
      </c>
      <c r="H295" t="s">
        <v>40</v>
      </c>
    </row>
    <row r="296" spans="1:8" x14ac:dyDescent="0.25">
      <c r="A296" t="s">
        <v>67</v>
      </c>
      <c r="B296" t="s">
        <v>9</v>
      </c>
      <c r="C296">
        <v>3</v>
      </c>
      <c r="D296" s="9">
        <v>6000</v>
      </c>
      <c r="E296" s="9">
        <f>+Tablo3[[#This Row],[Birim Fiyat]]*Tablo3[[#This Row],[Satış Adet]]</f>
        <v>18000</v>
      </c>
      <c r="F296" s="9">
        <v>6000</v>
      </c>
      <c r="G296" t="s">
        <v>59</v>
      </c>
      <c r="H296" t="s">
        <v>27</v>
      </c>
    </row>
    <row r="297" spans="1:8" x14ac:dyDescent="0.25">
      <c r="A297" t="s">
        <v>48</v>
      </c>
      <c r="B297" t="s">
        <v>51</v>
      </c>
      <c r="C297">
        <v>1</v>
      </c>
      <c r="D297" s="9">
        <v>1200</v>
      </c>
      <c r="E297" s="9">
        <f>+Tablo3[[#This Row],[Birim Fiyat]]*Tablo3[[#This Row],[Satış Adet]]</f>
        <v>1200</v>
      </c>
      <c r="F297" s="9">
        <v>400</v>
      </c>
      <c r="G297" t="s">
        <v>59</v>
      </c>
      <c r="H297" t="s">
        <v>29</v>
      </c>
    </row>
    <row r="298" spans="1:8" x14ac:dyDescent="0.25">
      <c r="A298" t="s">
        <v>8</v>
      </c>
      <c r="B298" t="s">
        <v>43</v>
      </c>
      <c r="C298">
        <v>3</v>
      </c>
      <c r="D298" s="9">
        <v>4200</v>
      </c>
      <c r="E298" s="9">
        <f>+Tablo3[[#This Row],[Birim Fiyat]]*Tablo3[[#This Row],[Satış Adet]]</f>
        <v>12600</v>
      </c>
      <c r="F298" s="9">
        <v>3600</v>
      </c>
      <c r="G298" t="s">
        <v>59</v>
      </c>
      <c r="H298" t="s">
        <v>44</v>
      </c>
    </row>
    <row r="299" spans="1:8" x14ac:dyDescent="0.25">
      <c r="A299" t="s">
        <v>46</v>
      </c>
      <c r="B299" t="s">
        <v>23</v>
      </c>
      <c r="C299">
        <v>3</v>
      </c>
      <c r="D299" s="9">
        <v>7600</v>
      </c>
      <c r="E299" s="9">
        <f>+Tablo3[[#This Row],[Birim Fiyat]]*Tablo3[[#This Row],[Satış Adet]]</f>
        <v>22800</v>
      </c>
      <c r="F299" s="9">
        <v>4800</v>
      </c>
      <c r="G299" t="s">
        <v>59</v>
      </c>
      <c r="H299" t="s">
        <v>52</v>
      </c>
    </row>
    <row r="300" spans="1:8" x14ac:dyDescent="0.25">
      <c r="A300" t="s">
        <v>67</v>
      </c>
      <c r="B300" t="s">
        <v>25</v>
      </c>
      <c r="C300">
        <v>2</v>
      </c>
      <c r="D300" s="9">
        <v>7250</v>
      </c>
      <c r="E300" s="9">
        <f>+Tablo3[[#This Row],[Birim Fiyat]]*Tablo3[[#This Row],[Satış Adet]]</f>
        <v>14500</v>
      </c>
      <c r="F300" s="9">
        <v>4500</v>
      </c>
      <c r="G300" t="s">
        <v>59</v>
      </c>
      <c r="H300" t="s">
        <v>42</v>
      </c>
    </row>
    <row r="301" spans="1:8" x14ac:dyDescent="0.25">
      <c r="A301" t="s">
        <v>12</v>
      </c>
      <c r="B301" t="s">
        <v>53</v>
      </c>
      <c r="C301">
        <v>2</v>
      </c>
      <c r="D301" s="9">
        <v>7530</v>
      </c>
      <c r="E301" s="9">
        <f>+Tablo3[[#This Row],[Birim Fiyat]]*Tablo3[[#This Row],[Satış Adet]]</f>
        <v>15060</v>
      </c>
      <c r="F301" s="9">
        <v>3060</v>
      </c>
      <c r="G301" t="s">
        <v>59</v>
      </c>
      <c r="H301" t="s">
        <v>24</v>
      </c>
    </row>
    <row r="302" spans="1:8" x14ac:dyDescent="0.25">
      <c r="A302" t="s">
        <v>15</v>
      </c>
      <c r="B302" t="s">
        <v>25</v>
      </c>
      <c r="C302">
        <v>2</v>
      </c>
      <c r="D302" s="9">
        <v>7250</v>
      </c>
      <c r="E302" s="9">
        <f>+Tablo3[[#This Row],[Birim Fiyat]]*Tablo3[[#This Row],[Satış Adet]]</f>
        <v>14500</v>
      </c>
      <c r="F302" s="9">
        <v>4500</v>
      </c>
      <c r="G302" t="s">
        <v>59</v>
      </c>
      <c r="H302" t="s">
        <v>42</v>
      </c>
    </row>
    <row r="303" spans="1:8" x14ac:dyDescent="0.25">
      <c r="A303" t="s">
        <v>12</v>
      </c>
      <c r="B303" t="s">
        <v>9</v>
      </c>
      <c r="C303">
        <v>1</v>
      </c>
      <c r="D303" s="9">
        <v>6000</v>
      </c>
      <c r="E303" s="9">
        <f>+Tablo3[[#This Row],[Birim Fiyat]]*Tablo3[[#This Row],[Satış Adet]]</f>
        <v>6000</v>
      </c>
      <c r="F303" s="9">
        <v>2000</v>
      </c>
      <c r="G303" t="s">
        <v>59</v>
      </c>
      <c r="H303" t="s">
        <v>17</v>
      </c>
    </row>
    <row r="304" spans="1:8" x14ac:dyDescent="0.25">
      <c r="A304" t="s">
        <v>67</v>
      </c>
      <c r="B304" t="s">
        <v>51</v>
      </c>
      <c r="C304">
        <v>3</v>
      </c>
      <c r="D304" s="9">
        <v>1200</v>
      </c>
      <c r="E304" s="9">
        <f>+Tablo3[[#This Row],[Birim Fiyat]]*Tablo3[[#This Row],[Satış Adet]]</f>
        <v>3600</v>
      </c>
      <c r="F304" s="9">
        <v>1200</v>
      </c>
      <c r="G304" t="s">
        <v>59</v>
      </c>
      <c r="H304" t="s">
        <v>42</v>
      </c>
    </row>
    <row r="305" spans="1:8" x14ac:dyDescent="0.25">
      <c r="A305" t="s">
        <v>48</v>
      </c>
      <c r="B305" t="s">
        <v>54</v>
      </c>
      <c r="C305">
        <v>2</v>
      </c>
      <c r="D305" s="9">
        <v>5300</v>
      </c>
      <c r="E305" s="9">
        <f>+Tablo3[[#This Row],[Birim Fiyat]]*Tablo3[[#This Row],[Satış Adet]]</f>
        <v>10600</v>
      </c>
      <c r="F305" s="9">
        <v>2600</v>
      </c>
      <c r="G305" t="s">
        <v>59</v>
      </c>
      <c r="H305" t="s">
        <v>29</v>
      </c>
    </row>
    <row r="306" spans="1:8" x14ac:dyDescent="0.25">
      <c r="A306" t="s">
        <v>36</v>
      </c>
      <c r="B306" t="s">
        <v>16</v>
      </c>
      <c r="C306">
        <v>2</v>
      </c>
      <c r="D306" s="9">
        <v>8450</v>
      </c>
      <c r="E306" s="9">
        <f>+Tablo3[[#This Row],[Birim Fiyat]]*Tablo3[[#This Row],[Satış Adet]]</f>
        <v>16900</v>
      </c>
      <c r="F306" s="9">
        <v>4900</v>
      </c>
      <c r="G306" t="s">
        <v>59</v>
      </c>
      <c r="H306" t="s">
        <v>52</v>
      </c>
    </row>
    <row r="307" spans="1:8" x14ac:dyDescent="0.25">
      <c r="A307" t="s">
        <v>22</v>
      </c>
      <c r="B307" t="s">
        <v>19</v>
      </c>
      <c r="C307">
        <v>1</v>
      </c>
      <c r="D307" s="9">
        <v>1350</v>
      </c>
      <c r="E307" s="9">
        <f>+Tablo3[[#This Row],[Birim Fiyat]]*Tablo3[[#This Row],[Satış Adet]]</f>
        <v>1350</v>
      </c>
      <c r="F307" s="9">
        <v>550</v>
      </c>
      <c r="G307" t="s">
        <v>59</v>
      </c>
      <c r="H307" t="s">
        <v>40</v>
      </c>
    </row>
    <row r="308" spans="1:8" x14ac:dyDescent="0.25">
      <c r="A308" t="s">
        <v>30</v>
      </c>
      <c r="B308" t="s">
        <v>32</v>
      </c>
      <c r="C308">
        <v>1</v>
      </c>
      <c r="D308" s="9">
        <v>1090</v>
      </c>
      <c r="E308" s="9">
        <f>+Tablo3[[#This Row],[Birim Fiyat]]*Tablo3[[#This Row],[Satış Adet]]</f>
        <v>1090</v>
      </c>
      <c r="F308" s="9">
        <v>290</v>
      </c>
      <c r="G308" t="s">
        <v>59</v>
      </c>
      <c r="H308" t="s">
        <v>35</v>
      </c>
    </row>
    <row r="309" spans="1:8" x14ac:dyDescent="0.25">
      <c r="A309" t="s">
        <v>22</v>
      </c>
      <c r="B309" t="s">
        <v>21</v>
      </c>
      <c r="C309">
        <v>1</v>
      </c>
      <c r="D309" s="9">
        <v>2180</v>
      </c>
      <c r="E309" s="9">
        <f>+Tablo3[[#This Row],[Birim Fiyat]]*Tablo3[[#This Row],[Satış Adet]]</f>
        <v>2180</v>
      </c>
      <c r="F309" s="9">
        <v>680</v>
      </c>
      <c r="G309" t="s">
        <v>59</v>
      </c>
      <c r="H309" t="s">
        <v>52</v>
      </c>
    </row>
    <row r="310" spans="1:8" x14ac:dyDescent="0.25">
      <c r="A310" t="s">
        <v>12</v>
      </c>
      <c r="B310" t="s">
        <v>56</v>
      </c>
      <c r="C310">
        <v>1</v>
      </c>
      <c r="D310" s="9">
        <v>3700</v>
      </c>
      <c r="E310" s="9">
        <f>+Tablo3[[#This Row],[Birim Fiyat]]*Tablo3[[#This Row],[Satış Adet]]</f>
        <v>3700</v>
      </c>
      <c r="F310" s="9">
        <v>700</v>
      </c>
      <c r="G310" t="s">
        <v>59</v>
      </c>
      <c r="H310" t="s">
        <v>24</v>
      </c>
    </row>
    <row r="311" spans="1:8" x14ac:dyDescent="0.25">
      <c r="A311" t="s">
        <v>30</v>
      </c>
      <c r="B311" t="s">
        <v>26</v>
      </c>
      <c r="C311">
        <v>3</v>
      </c>
      <c r="D311" s="9">
        <v>1100</v>
      </c>
      <c r="E311" s="9">
        <f>+Tablo3[[#This Row],[Birim Fiyat]]*Tablo3[[#This Row],[Satış Adet]]</f>
        <v>3300</v>
      </c>
      <c r="F311" s="9">
        <v>900</v>
      </c>
      <c r="G311" t="s">
        <v>59</v>
      </c>
      <c r="H311" t="s">
        <v>44</v>
      </c>
    </row>
    <row r="312" spans="1:8" x14ac:dyDescent="0.25">
      <c r="A312" t="s">
        <v>67</v>
      </c>
      <c r="B312" t="s">
        <v>56</v>
      </c>
      <c r="C312">
        <v>1</v>
      </c>
      <c r="D312" s="9">
        <v>3700</v>
      </c>
      <c r="E312" s="9">
        <f>+Tablo3[[#This Row],[Birim Fiyat]]*Tablo3[[#This Row],[Satış Adet]]</f>
        <v>3700</v>
      </c>
      <c r="F312" s="9">
        <v>700</v>
      </c>
      <c r="G312" t="s">
        <v>59</v>
      </c>
      <c r="H312" t="s">
        <v>14</v>
      </c>
    </row>
    <row r="313" spans="1:8" x14ac:dyDescent="0.25">
      <c r="A313" t="s">
        <v>46</v>
      </c>
      <c r="B313" t="s">
        <v>41</v>
      </c>
      <c r="C313">
        <v>1</v>
      </c>
      <c r="D313" s="9">
        <v>1490</v>
      </c>
      <c r="E313" s="9">
        <f>+Tablo3[[#This Row],[Birim Fiyat]]*Tablo3[[#This Row],[Satış Adet]]</f>
        <v>1490</v>
      </c>
      <c r="F313" s="9">
        <v>690</v>
      </c>
      <c r="G313" t="s">
        <v>59</v>
      </c>
      <c r="H313" t="s">
        <v>42</v>
      </c>
    </row>
    <row r="314" spans="1:8" x14ac:dyDescent="0.25">
      <c r="A314" t="s">
        <v>38</v>
      </c>
      <c r="B314" t="s">
        <v>55</v>
      </c>
      <c r="C314">
        <v>1</v>
      </c>
      <c r="D314" s="9">
        <v>1500</v>
      </c>
      <c r="E314" s="9">
        <f>+Tablo3[[#This Row],[Birim Fiyat]]*Tablo3[[#This Row],[Satış Adet]]</f>
        <v>1500</v>
      </c>
      <c r="F314" s="9">
        <v>700</v>
      </c>
      <c r="G314" t="s">
        <v>59</v>
      </c>
      <c r="H314" t="s">
        <v>42</v>
      </c>
    </row>
    <row r="315" spans="1:8" x14ac:dyDescent="0.25">
      <c r="A315" t="s">
        <v>36</v>
      </c>
      <c r="B315" t="s">
        <v>32</v>
      </c>
      <c r="C315">
        <v>2</v>
      </c>
      <c r="D315" s="9">
        <v>1090</v>
      </c>
      <c r="E315" s="9">
        <f>+Tablo3[[#This Row],[Birim Fiyat]]*Tablo3[[#This Row],[Satış Adet]]</f>
        <v>2180</v>
      </c>
      <c r="F315" s="9">
        <v>580</v>
      </c>
      <c r="G315" t="s">
        <v>59</v>
      </c>
      <c r="H315" t="s">
        <v>17</v>
      </c>
    </row>
    <row r="316" spans="1:8" x14ac:dyDescent="0.25">
      <c r="A316" t="s">
        <v>46</v>
      </c>
      <c r="B316" t="s">
        <v>31</v>
      </c>
      <c r="C316">
        <v>3</v>
      </c>
      <c r="D316" s="9">
        <v>1800</v>
      </c>
      <c r="E316" s="9">
        <f>+Tablo3[[#This Row],[Birim Fiyat]]*Tablo3[[#This Row],[Satış Adet]]</f>
        <v>5400</v>
      </c>
      <c r="F316" s="9">
        <v>3000</v>
      </c>
      <c r="G316" t="s">
        <v>59</v>
      </c>
      <c r="H316" t="s">
        <v>14</v>
      </c>
    </row>
    <row r="317" spans="1:8" x14ac:dyDescent="0.25">
      <c r="A317" t="s">
        <v>33</v>
      </c>
      <c r="B317" t="s">
        <v>53</v>
      </c>
      <c r="C317">
        <v>2</v>
      </c>
      <c r="D317" s="9">
        <v>7530</v>
      </c>
      <c r="E317" s="9">
        <f>+Tablo3[[#This Row],[Birim Fiyat]]*Tablo3[[#This Row],[Satış Adet]]</f>
        <v>15060</v>
      </c>
      <c r="F317" s="9">
        <v>3060</v>
      </c>
      <c r="G317" t="s">
        <v>59</v>
      </c>
      <c r="H317" t="s">
        <v>14</v>
      </c>
    </row>
    <row r="318" spans="1:8" x14ac:dyDescent="0.25">
      <c r="A318" t="s">
        <v>30</v>
      </c>
      <c r="B318" t="s">
        <v>26</v>
      </c>
      <c r="C318">
        <v>3</v>
      </c>
      <c r="D318" s="9">
        <v>1100</v>
      </c>
      <c r="E318" s="9">
        <f>+Tablo3[[#This Row],[Birim Fiyat]]*Tablo3[[#This Row],[Satış Adet]]</f>
        <v>3300</v>
      </c>
      <c r="F318" s="9">
        <v>900</v>
      </c>
      <c r="G318" t="s">
        <v>59</v>
      </c>
      <c r="H318" t="s">
        <v>11</v>
      </c>
    </row>
    <row r="319" spans="1:8" x14ac:dyDescent="0.25">
      <c r="A319" t="s">
        <v>38</v>
      </c>
      <c r="B319" t="s">
        <v>19</v>
      </c>
      <c r="C319">
        <v>3</v>
      </c>
      <c r="D319" s="9">
        <v>1350</v>
      </c>
      <c r="E319" s="9">
        <f>+Tablo3[[#This Row],[Birim Fiyat]]*Tablo3[[#This Row],[Satış Adet]]</f>
        <v>4050</v>
      </c>
      <c r="F319" s="9">
        <v>1650</v>
      </c>
      <c r="G319" t="s">
        <v>59</v>
      </c>
      <c r="H319" t="s">
        <v>20</v>
      </c>
    </row>
    <row r="320" spans="1:8" x14ac:dyDescent="0.25">
      <c r="A320" t="s">
        <v>36</v>
      </c>
      <c r="B320" t="s">
        <v>19</v>
      </c>
      <c r="C320">
        <v>1</v>
      </c>
      <c r="D320" s="9">
        <v>1350</v>
      </c>
      <c r="E320" s="9">
        <f>+Tablo3[[#This Row],[Birim Fiyat]]*Tablo3[[#This Row],[Satış Adet]]</f>
        <v>1350</v>
      </c>
      <c r="F320" s="9">
        <v>550</v>
      </c>
      <c r="G320" t="s">
        <v>59</v>
      </c>
      <c r="H320" t="s">
        <v>39</v>
      </c>
    </row>
    <row r="321" spans="1:8" x14ac:dyDescent="0.25">
      <c r="A321" t="s">
        <v>33</v>
      </c>
      <c r="B321" t="s">
        <v>32</v>
      </c>
      <c r="C321">
        <v>2</v>
      </c>
      <c r="D321" s="9">
        <v>1090</v>
      </c>
      <c r="E321" s="9">
        <f>+Tablo3[[#This Row],[Birim Fiyat]]*Tablo3[[#This Row],[Satış Adet]]</f>
        <v>2180</v>
      </c>
      <c r="F321" s="9">
        <v>580</v>
      </c>
      <c r="G321" t="s">
        <v>59</v>
      </c>
      <c r="H321" t="s">
        <v>24</v>
      </c>
    </row>
    <row r="322" spans="1:8" x14ac:dyDescent="0.25">
      <c r="A322" t="s">
        <v>33</v>
      </c>
      <c r="B322" t="s">
        <v>43</v>
      </c>
      <c r="C322">
        <v>1</v>
      </c>
      <c r="D322" s="9">
        <v>4200</v>
      </c>
      <c r="E322" s="9">
        <f>+Tablo3[[#This Row],[Birim Fiyat]]*Tablo3[[#This Row],[Satış Adet]]</f>
        <v>4200</v>
      </c>
      <c r="F322" s="9">
        <v>1200</v>
      </c>
      <c r="G322" t="s">
        <v>59</v>
      </c>
      <c r="H322" t="s">
        <v>42</v>
      </c>
    </row>
    <row r="323" spans="1:8" x14ac:dyDescent="0.25">
      <c r="A323" t="s">
        <v>38</v>
      </c>
      <c r="B323" t="s">
        <v>31</v>
      </c>
      <c r="C323">
        <v>2</v>
      </c>
      <c r="D323" s="9">
        <v>1800</v>
      </c>
      <c r="E323" s="9">
        <f>+Tablo3[[#This Row],[Birim Fiyat]]*Tablo3[[#This Row],[Satış Adet]]</f>
        <v>3600</v>
      </c>
      <c r="F323" s="9">
        <v>2000</v>
      </c>
      <c r="G323" t="s">
        <v>59</v>
      </c>
      <c r="H323" t="s">
        <v>27</v>
      </c>
    </row>
    <row r="324" spans="1:8" x14ac:dyDescent="0.25">
      <c r="A324" t="s">
        <v>48</v>
      </c>
      <c r="B324" t="s">
        <v>32</v>
      </c>
      <c r="C324">
        <v>1</v>
      </c>
      <c r="D324" s="9">
        <v>1090</v>
      </c>
      <c r="E324" s="9">
        <f>+Tablo3[[#This Row],[Birim Fiyat]]*Tablo3[[#This Row],[Satış Adet]]</f>
        <v>1090</v>
      </c>
      <c r="F324" s="9">
        <v>290</v>
      </c>
      <c r="G324" t="s">
        <v>59</v>
      </c>
      <c r="H324" t="s">
        <v>40</v>
      </c>
    </row>
    <row r="325" spans="1:8" x14ac:dyDescent="0.25">
      <c r="A325" t="s">
        <v>8</v>
      </c>
      <c r="B325" t="s">
        <v>23</v>
      </c>
      <c r="C325">
        <v>1</v>
      </c>
      <c r="D325" s="9">
        <v>7600</v>
      </c>
      <c r="E325" s="9">
        <f>+Tablo3[[#This Row],[Birim Fiyat]]*Tablo3[[#This Row],[Satış Adet]]</f>
        <v>7600</v>
      </c>
      <c r="F325" s="9">
        <v>1600</v>
      </c>
      <c r="G325" t="s">
        <v>59</v>
      </c>
      <c r="H325" t="s">
        <v>40</v>
      </c>
    </row>
    <row r="326" spans="1:8" x14ac:dyDescent="0.25">
      <c r="A326" t="s">
        <v>36</v>
      </c>
      <c r="B326" t="s">
        <v>23</v>
      </c>
      <c r="C326">
        <v>3</v>
      </c>
      <c r="D326" s="9">
        <v>7600</v>
      </c>
      <c r="E326" s="9">
        <f>+Tablo3[[#This Row],[Birim Fiyat]]*Tablo3[[#This Row],[Satış Adet]]</f>
        <v>22800</v>
      </c>
      <c r="F326" s="9">
        <v>4800</v>
      </c>
      <c r="G326" t="s">
        <v>59</v>
      </c>
      <c r="H326" t="s">
        <v>39</v>
      </c>
    </row>
    <row r="327" spans="1:8" x14ac:dyDescent="0.25">
      <c r="A327" t="s">
        <v>15</v>
      </c>
      <c r="B327" t="s">
        <v>56</v>
      </c>
      <c r="C327">
        <v>1</v>
      </c>
      <c r="D327" s="9">
        <v>3700</v>
      </c>
      <c r="E327" s="9">
        <f>+Tablo3[[#This Row],[Birim Fiyat]]*Tablo3[[#This Row],[Satış Adet]]</f>
        <v>3700</v>
      </c>
      <c r="F327" s="9">
        <v>700</v>
      </c>
      <c r="G327" t="s">
        <v>59</v>
      </c>
      <c r="H327" t="s">
        <v>39</v>
      </c>
    </row>
    <row r="328" spans="1:8" x14ac:dyDescent="0.25">
      <c r="A328" t="s">
        <v>22</v>
      </c>
      <c r="B328" t="s">
        <v>25</v>
      </c>
      <c r="C328">
        <v>3</v>
      </c>
      <c r="D328" s="9">
        <v>7250</v>
      </c>
      <c r="E328" s="9">
        <f>+Tablo3[[#This Row],[Birim Fiyat]]*Tablo3[[#This Row],[Satış Adet]]</f>
        <v>21750</v>
      </c>
      <c r="F328" s="9">
        <v>6750</v>
      </c>
      <c r="G328" t="s">
        <v>59</v>
      </c>
      <c r="H328" t="s">
        <v>52</v>
      </c>
    </row>
    <row r="329" spans="1:8" x14ac:dyDescent="0.25">
      <c r="A329" t="s">
        <v>12</v>
      </c>
      <c r="B329" t="s">
        <v>23</v>
      </c>
      <c r="C329">
        <v>3</v>
      </c>
      <c r="D329" s="9">
        <v>7600</v>
      </c>
      <c r="E329" s="9">
        <f>+Tablo3[[#This Row],[Birim Fiyat]]*Tablo3[[#This Row],[Satış Adet]]</f>
        <v>22800</v>
      </c>
      <c r="F329" s="9">
        <v>4800</v>
      </c>
      <c r="G329" t="s">
        <v>59</v>
      </c>
      <c r="H329" t="s">
        <v>44</v>
      </c>
    </row>
    <row r="330" spans="1:8" x14ac:dyDescent="0.25">
      <c r="A330" t="s">
        <v>46</v>
      </c>
      <c r="B330" t="s">
        <v>43</v>
      </c>
      <c r="C330">
        <v>1</v>
      </c>
      <c r="D330" s="9">
        <v>4200</v>
      </c>
      <c r="E330" s="9">
        <f>+Tablo3[[#This Row],[Birim Fiyat]]*Tablo3[[#This Row],[Satış Adet]]</f>
        <v>4200</v>
      </c>
      <c r="F330" s="9">
        <v>1200</v>
      </c>
      <c r="G330" t="s">
        <v>59</v>
      </c>
      <c r="H330" t="s">
        <v>27</v>
      </c>
    </row>
    <row r="331" spans="1:8" x14ac:dyDescent="0.25">
      <c r="A331" t="s">
        <v>30</v>
      </c>
      <c r="B331" t="s">
        <v>50</v>
      </c>
      <c r="C331">
        <v>3</v>
      </c>
      <c r="D331" s="9">
        <v>1250</v>
      </c>
      <c r="E331" s="9">
        <f>+Tablo3[[#This Row],[Birim Fiyat]]*Tablo3[[#This Row],[Satış Adet]]</f>
        <v>3750</v>
      </c>
      <c r="F331" s="9">
        <v>1350</v>
      </c>
      <c r="G331" t="s">
        <v>59</v>
      </c>
      <c r="H331" t="s">
        <v>44</v>
      </c>
    </row>
    <row r="332" spans="1:8" x14ac:dyDescent="0.25">
      <c r="A332" t="s">
        <v>36</v>
      </c>
      <c r="B332" t="s">
        <v>32</v>
      </c>
      <c r="C332">
        <v>1</v>
      </c>
      <c r="D332" s="9">
        <v>1090</v>
      </c>
      <c r="E332" s="9">
        <f>+Tablo3[[#This Row],[Birim Fiyat]]*Tablo3[[#This Row],[Satış Adet]]</f>
        <v>1090</v>
      </c>
      <c r="F332" s="9">
        <v>290</v>
      </c>
      <c r="G332" t="s">
        <v>59</v>
      </c>
      <c r="H332" t="s">
        <v>27</v>
      </c>
    </row>
    <row r="333" spans="1:8" x14ac:dyDescent="0.25">
      <c r="A333" t="s">
        <v>18</v>
      </c>
      <c r="B333" t="s">
        <v>21</v>
      </c>
      <c r="C333">
        <v>1</v>
      </c>
      <c r="D333" s="9">
        <v>2180</v>
      </c>
      <c r="E333" s="9">
        <f>+Tablo3[[#This Row],[Birim Fiyat]]*Tablo3[[#This Row],[Satış Adet]]</f>
        <v>2180</v>
      </c>
      <c r="F333" s="9">
        <v>680</v>
      </c>
      <c r="G333" t="s">
        <v>59</v>
      </c>
      <c r="H333" t="s">
        <v>24</v>
      </c>
    </row>
    <row r="334" spans="1:8" x14ac:dyDescent="0.25">
      <c r="A334" t="s">
        <v>48</v>
      </c>
      <c r="B334" t="s">
        <v>56</v>
      </c>
      <c r="C334">
        <v>2</v>
      </c>
      <c r="D334" s="9">
        <v>3700</v>
      </c>
      <c r="E334" s="9">
        <f>+Tablo3[[#This Row],[Birim Fiyat]]*Tablo3[[#This Row],[Satış Adet]]</f>
        <v>7400</v>
      </c>
      <c r="F334" s="9">
        <v>1400</v>
      </c>
      <c r="G334" t="s">
        <v>59</v>
      </c>
      <c r="H334" t="s">
        <v>24</v>
      </c>
    </row>
    <row r="335" spans="1:8" x14ac:dyDescent="0.25">
      <c r="A335" t="s">
        <v>38</v>
      </c>
      <c r="B335" t="s">
        <v>9</v>
      </c>
      <c r="C335">
        <v>2</v>
      </c>
      <c r="D335" s="9">
        <v>6000</v>
      </c>
      <c r="E335" s="9">
        <f>+Tablo3[[#This Row],[Birim Fiyat]]*Tablo3[[#This Row],[Satış Adet]]</f>
        <v>12000</v>
      </c>
      <c r="F335" s="9">
        <v>4000</v>
      </c>
      <c r="G335" t="s">
        <v>59</v>
      </c>
      <c r="H335" t="s">
        <v>24</v>
      </c>
    </row>
    <row r="336" spans="1:8" x14ac:dyDescent="0.25">
      <c r="A336" t="s">
        <v>46</v>
      </c>
      <c r="B336" t="s">
        <v>50</v>
      </c>
      <c r="C336">
        <v>2</v>
      </c>
      <c r="D336" s="9">
        <v>1250</v>
      </c>
      <c r="E336" s="9">
        <f>+Tablo3[[#This Row],[Birim Fiyat]]*Tablo3[[#This Row],[Satış Adet]]</f>
        <v>2500</v>
      </c>
      <c r="F336" s="9">
        <v>900</v>
      </c>
      <c r="G336" t="s">
        <v>59</v>
      </c>
      <c r="H336" t="s">
        <v>52</v>
      </c>
    </row>
    <row r="337" spans="1:8" x14ac:dyDescent="0.25">
      <c r="A337" t="s">
        <v>48</v>
      </c>
      <c r="B337" t="s">
        <v>23</v>
      </c>
      <c r="C337">
        <v>1</v>
      </c>
      <c r="D337" s="9">
        <v>7600</v>
      </c>
      <c r="E337" s="9">
        <f>+Tablo3[[#This Row],[Birim Fiyat]]*Tablo3[[#This Row],[Satış Adet]]</f>
        <v>7600</v>
      </c>
      <c r="F337" s="9">
        <v>1600</v>
      </c>
      <c r="G337" t="s">
        <v>59</v>
      </c>
      <c r="H337" t="s">
        <v>40</v>
      </c>
    </row>
    <row r="338" spans="1:8" x14ac:dyDescent="0.25">
      <c r="A338" t="s">
        <v>8</v>
      </c>
      <c r="B338" t="s">
        <v>13</v>
      </c>
      <c r="C338">
        <v>2</v>
      </c>
      <c r="D338" s="9">
        <v>1400</v>
      </c>
      <c r="E338" s="9">
        <f>+Tablo3[[#This Row],[Birim Fiyat]]*Tablo3[[#This Row],[Satış Adet]]</f>
        <v>2800</v>
      </c>
      <c r="F338" s="9">
        <v>1200</v>
      </c>
      <c r="G338" t="s">
        <v>59</v>
      </c>
      <c r="H338" t="s">
        <v>27</v>
      </c>
    </row>
    <row r="339" spans="1:8" x14ac:dyDescent="0.25">
      <c r="A339" t="s">
        <v>22</v>
      </c>
      <c r="B339" t="s">
        <v>21</v>
      </c>
      <c r="C339">
        <v>2</v>
      </c>
      <c r="D339" s="9">
        <v>2180</v>
      </c>
      <c r="E339" s="9">
        <f>+Tablo3[[#This Row],[Birim Fiyat]]*Tablo3[[#This Row],[Satış Adet]]</f>
        <v>4360</v>
      </c>
      <c r="F339" s="9">
        <v>1360</v>
      </c>
      <c r="G339" t="s">
        <v>59</v>
      </c>
      <c r="H339" t="s">
        <v>35</v>
      </c>
    </row>
    <row r="340" spans="1:8" x14ac:dyDescent="0.25">
      <c r="A340" t="s">
        <v>8</v>
      </c>
      <c r="B340" t="s">
        <v>31</v>
      </c>
      <c r="C340">
        <v>3</v>
      </c>
      <c r="D340" s="9">
        <v>1800</v>
      </c>
      <c r="E340" s="9">
        <f>+Tablo3[[#This Row],[Birim Fiyat]]*Tablo3[[#This Row],[Satış Adet]]</f>
        <v>5400</v>
      </c>
      <c r="F340" s="9">
        <v>3000</v>
      </c>
      <c r="G340" t="s">
        <v>59</v>
      </c>
      <c r="H340" t="s">
        <v>29</v>
      </c>
    </row>
    <row r="341" spans="1:8" x14ac:dyDescent="0.25">
      <c r="A341" t="s">
        <v>15</v>
      </c>
      <c r="B341" t="s">
        <v>55</v>
      </c>
      <c r="C341">
        <v>1</v>
      </c>
      <c r="D341" s="9">
        <v>1500</v>
      </c>
      <c r="E341" s="9">
        <f>+Tablo3[[#This Row],[Birim Fiyat]]*Tablo3[[#This Row],[Satış Adet]]</f>
        <v>1500</v>
      </c>
      <c r="F341" s="9">
        <v>700</v>
      </c>
      <c r="G341" t="s">
        <v>59</v>
      </c>
      <c r="H341" t="s">
        <v>17</v>
      </c>
    </row>
    <row r="342" spans="1:8" x14ac:dyDescent="0.25">
      <c r="A342" t="s">
        <v>30</v>
      </c>
      <c r="B342" t="s">
        <v>16</v>
      </c>
      <c r="C342">
        <v>3</v>
      </c>
      <c r="D342" s="9">
        <v>8450</v>
      </c>
      <c r="E342" s="9">
        <f>+Tablo3[[#This Row],[Birim Fiyat]]*Tablo3[[#This Row],[Satış Adet]]</f>
        <v>25350</v>
      </c>
      <c r="F342" s="9">
        <v>7350</v>
      </c>
      <c r="G342" t="s">
        <v>59</v>
      </c>
      <c r="H342" t="s">
        <v>14</v>
      </c>
    </row>
    <row r="343" spans="1:8" x14ac:dyDescent="0.25">
      <c r="A343" t="s">
        <v>38</v>
      </c>
      <c r="B343" t="s">
        <v>55</v>
      </c>
      <c r="C343">
        <v>3</v>
      </c>
      <c r="D343" s="9">
        <v>1500</v>
      </c>
      <c r="E343" s="9">
        <f>+Tablo3[[#This Row],[Birim Fiyat]]*Tablo3[[#This Row],[Satış Adet]]</f>
        <v>4500</v>
      </c>
      <c r="F343" s="9">
        <v>2100</v>
      </c>
      <c r="G343" t="s">
        <v>59</v>
      </c>
      <c r="H343" t="s">
        <v>44</v>
      </c>
    </row>
    <row r="344" spans="1:8" x14ac:dyDescent="0.25">
      <c r="A344" t="s">
        <v>67</v>
      </c>
      <c r="B344" t="s">
        <v>9</v>
      </c>
      <c r="C344">
        <v>3</v>
      </c>
      <c r="D344" s="9">
        <v>6000</v>
      </c>
      <c r="E344" s="9">
        <f>+Tablo3[[#This Row],[Birim Fiyat]]*Tablo3[[#This Row],[Satış Adet]]</f>
        <v>18000</v>
      </c>
      <c r="F344" s="9">
        <v>6000</v>
      </c>
      <c r="G344" t="s">
        <v>59</v>
      </c>
      <c r="H344" t="s">
        <v>20</v>
      </c>
    </row>
    <row r="345" spans="1:8" x14ac:dyDescent="0.25">
      <c r="A345" t="s">
        <v>48</v>
      </c>
      <c r="B345" t="s">
        <v>51</v>
      </c>
      <c r="C345">
        <v>1</v>
      </c>
      <c r="D345" s="9">
        <v>1200</v>
      </c>
      <c r="E345" s="9">
        <f>+Tablo3[[#This Row],[Birim Fiyat]]*Tablo3[[#This Row],[Satış Adet]]</f>
        <v>1200</v>
      </c>
      <c r="F345" s="9">
        <v>400</v>
      </c>
      <c r="G345" t="s">
        <v>59</v>
      </c>
      <c r="H345" t="s">
        <v>52</v>
      </c>
    </row>
    <row r="346" spans="1:8" x14ac:dyDescent="0.25">
      <c r="A346" t="s">
        <v>8</v>
      </c>
      <c r="B346" t="s">
        <v>43</v>
      </c>
      <c r="C346">
        <v>3</v>
      </c>
      <c r="D346" s="9">
        <v>4200</v>
      </c>
      <c r="E346" s="9">
        <f>+Tablo3[[#This Row],[Birim Fiyat]]*Tablo3[[#This Row],[Satış Adet]]</f>
        <v>12600</v>
      </c>
      <c r="F346" s="9">
        <v>3600</v>
      </c>
      <c r="G346" t="s">
        <v>59</v>
      </c>
      <c r="H346" t="s">
        <v>27</v>
      </c>
    </row>
    <row r="347" spans="1:8" x14ac:dyDescent="0.25">
      <c r="A347" t="s">
        <v>46</v>
      </c>
      <c r="B347" t="s">
        <v>23</v>
      </c>
      <c r="C347">
        <v>3</v>
      </c>
      <c r="D347" s="9">
        <v>7600</v>
      </c>
      <c r="E347" s="9">
        <f>+Tablo3[[#This Row],[Birim Fiyat]]*Tablo3[[#This Row],[Satış Adet]]</f>
        <v>22800</v>
      </c>
      <c r="F347" s="9">
        <v>4800</v>
      </c>
      <c r="G347" t="s">
        <v>59</v>
      </c>
      <c r="H347" t="s">
        <v>39</v>
      </c>
    </row>
    <row r="348" spans="1:8" x14ac:dyDescent="0.25">
      <c r="A348" t="s">
        <v>67</v>
      </c>
      <c r="B348" t="s">
        <v>25</v>
      </c>
      <c r="C348">
        <v>2</v>
      </c>
      <c r="D348" s="9">
        <v>7250</v>
      </c>
      <c r="E348" s="9">
        <f>+Tablo3[[#This Row],[Birim Fiyat]]*Tablo3[[#This Row],[Satış Adet]]</f>
        <v>14500</v>
      </c>
      <c r="F348" s="9">
        <v>4500</v>
      </c>
      <c r="G348" t="s">
        <v>59</v>
      </c>
      <c r="H348" t="s">
        <v>14</v>
      </c>
    </row>
    <row r="349" spans="1:8" x14ac:dyDescent="0.25">
      <c r="A349" t="s">
        <v>12</v>
      </c>
      <c r="B349" t="s">
        <v>53</v>
      </c>
      <c r="C349">
        <v>2</v>
      </c>
      <c r="D349" s="9">
        <v>7530</v>
      </c>
      <c r="E349" s="9">
        <f>+Tablo3[[#This Row],[Birim Fiyat]]*Tablo3[[#This Row],[Satış Adet]]</f>
        <v>15060</v>
      </c>
      <c r="F349" s="9">
        <v>3060</v>
      </c>
      <c r="G349" t="s">
        <v>59</v>
      </c>
      <c r="H349" t="s">
        <v>35</v>
      </c>
    </row>
    <row r="350" spans="1:8" x14ac:dyDescent="0.25">
      <c r="A350" t="s">
        <v>15</v>
      </c>
      <c r="B350" t="s">
        <v>25</v>
      </c>
      <c r="C350">
        <v>2</v>
      </c>
      <c r="D350" s="9">
        <v>7250</v>
      </c>
      <c r="E350" s="9">
        <f>+Tablo3[[#This Row],[Birim Fiyat]]*Tablo3[[#This Row],[Satış Adet]]</f>
        <v>14500</v>
      </c>
      <c r="F350" s="9">
        <v>4500</v>
      </c>
      <c r="G350" t="s">
        <v>59</v>
      </c>
      <c r="H350" t="s">
        <v>39</v>
      </c>
    </row>
    <row r="351" spans="1:8" x14ac:dyDescent="0.25">
      <c r="A351" t="s">
        <v>12</v>
      </c>
      <c r="B351" t="s">
        <v>9</v>
      </c>
      <c r="C351">
        <v>1</v>
      </c>
      <c r="D351" s="9">
        <v>6000</v>
      </c>
      <c r="E351" s="9">
        <f>+Tablo3[[#This Row],[Birim Fiyat]]*Tablo3[[#This Row],[Satış Adet]]</f>
        <v>6000</v>
      </c>
      <c r="F351" s="9">
        <v>2000</v>
      </c>
      <c r="G351" t="s">
        <v>59</v>
      </c>
      <c r="H351" t="s">
        <v>29</v>
      </c>
    </row>
    <row r="352" spans="1:8" x14ac:dyDescent="0.25">
      <c r="A352" t="s">
        <v>67</v>
      </c>
      <c r="B352" t="s">
        <v>51</v>
      </c>
      <c r="C352">
        <v>3</v>
      </c>
      <c r="D352" s="9">
        <v>1200</v>
      </c>
      <c r="E352" s="9">
        <f>+Tablo3[[#This Row],[Birim Fiyat]]*Tablo3[[#This Row],[Satış Adet]]</f>
        <v>3600</v>
      </c>
      <c r="F352" s="9">
        <v>1200</v>
      </c>
      <c r="G352" t="s">
        <v>59</v>
      </c>
      <c r="H352" t="s">
        <v>52</v>
      </c>
    </row>
    <row r="353" spans="1:8" x14ac:dyDescent="0.25">
      <c r="A353" t="s">
        <v>48</v>
      </c>
      <c r="B353" t="s">
        <v>54</v>
      </c>
      <c r="C353">
        <v>2</v>
      </c>
      <c r="D353" s="9">
        <v>5300</v>
      </c>
      <c r="E353" s="9">
        <f>+Tablo3[[#This Row],[Birim Fiyat]]*Tablo3[[#This Row],[Satış Adet]]</f>
        <v>10600</v>
      </c>
      <c r="F353" s="9">
        <v>2600</v>
      </c>
      <c r="G353" t="s">
        <v>59</v>
      </c>
      <c r="H353" t="s">
        <v>29</v>
      </c>
    </row>
    <row r="354" spans="1:8" x14ac:dyDescent="0.25">
      <c r="A354" t="s">
        <v>36</v>
      </c>
      <c r="B354" t="s">
        <v>16</v>
      </c>
      <c r="C354">
        <v>2</v>
      </c>
      <c r="D354" s="9">
        <v>8450</v>
      </c>
      <c r="E354" s="9">
        <f>+Tablo3[[#This Row],[Birim Fiyat]]*Tablo3[[#This Row],[Satış Adet]]</f>
        <v>16900</v>
      </c>
      <c r="F354" s="9">
        <v>4900</v>
      </c>
      <c r="G354" t="s">
        <v>59</v>
      </c>
      <c r="H354" t="s">
        <v>17</v>
      </c>
    </row>
    <row r="355" spans="1:8" x14ac:dyDescent="0.25">
      <c r="A355" t="s">
        <v>22</v>
      </c>
      <c r="B355" t="s">
        <v>19</v>
      </c>
      <c r="C355">
        <v>1</v>
      </c>
      <c r="D355" s="9">
        <v>1350</v>
      </c>
      <c r="E355" s="9">
        <f>+Tablo3[[#This Row],[Birim Fiyat]]*Tablo3[[#This Row],[Satış Adet]]</f>
        <v>1350</v>
      </c>
      <c r="F355" s="9">
        <v>550</v>
      </c>
      <c r="G355" t="s">
        <v>59</v>
      </c>
      <c r="H355" t="s">
        <v>40</v>
      </c>
    </row>
    <row r="356" spans="1:8" x14ac:dyDescent="0.25">
      <c r="A356" t="s">
        <v>30</v>
      </c>
      <c r="B356" t="s">
        <v>32</v>
      </c>
      <c r="C356">
        <v>1</v>
      </c>
      <c r="D356" s="9">
        <v>1090</v>
      </c>
      <c r="E356" s="9">
        <f>+Tablo3[[#This Row],[Birim Fiyat]]*Tablo3[[#This Row],[Satış Adet]]</f>
        <v>1090</v>
      </c>
      <c r="F356" s="9">
        <v>290</v>
      </c>
      <c r="G356" t="s">
        <v>59</v>
      </c>
      <c r="H356" t="s">
        <v>27</v>
      </c>
    </row>
    <row r="357" spans="1:8" x14ac:dyDescent="0.25">
      <c r="A357" t="s">
        <v>22</v>
      </c>
      <c r="B357" t="s">
        <v>21</v>
      </c>
      <c r="C357">
        <v>1</v>
      </c>
      <c r="D357" s="9">
        <v>2180</v>
      </c>
      <c r="E357" s="9">
        <f>+Tablo3[[#This Row],[Birim Fiyat]]*Tablo3[[#This Row],[Satış Adet]]</f>
        <v>2180</v>
      </c>
      <c r="F357" s="9">
        <v>680</v>
      </c>
      <c r="G357" t="s">
        <v>59</v>
      </c>
      <c r="H357" t="s">
        <v>44</v>
      </c>
    </row>
    <row r="358" spans="1:8" x14ac:dyDescent="0.25">
      <c r="A358" t="s">
        <v>8</v>
      </c>
      <c r="B358" t="s">
        <v>9</v>
      </c>
      <c r="C358">
        <v>2</v>
      </c>
      <c r="D358" s="9">
        <v>6000</v>
      </c>
      <c r="E358" s="9">
        <f>+Tablo3[[#This Row],[Birim Fiyat]]*Tablo3[[#This Row],[Satış Adet]]</f>
        <v>12000</v>
      </c>
      <c r="F358" s="9">
        <v>4000</v>
      </c>
      <c r="G358" t="s">
        <v>59</v>
      </c>
      <c r="H358" t="s">
        <v>11</v>
      </c>
    </row>
    <row r="359" spans="1:8" x14ac:dyDescent="0.25">
      <c r="A359" t="s">
        <v>12</v>
      </c>
      <c r="B359" t="s">
        <v>13</v>
      </c>
      <c r="C359">
        <v>2</v>
      </c>
      <c r="D359" s="9">
        <v>1400</v>
      </c>
      <c r="E359" s="9">
        <f>+Tablo3[[#This Row],[Birim Fiyat]]*Tablo3[[#This Row],[Satış Adet]]</f>
        <v>2800</v>
      </c>
      <c r="F359" s="9">
        <v>1200</v>
      </c>
      <c r="G359" t="s">
        <v>59</v>
      </c>
      <c r="H359" t="s">
        <v>17</v>
      </c>
    </row>
    <row r="360" spans="1:8" x14ac:dyDescent="0.25">
      <c r="A360" t="s">
        <v>15</v>
      </c>
      <c r="B360" t="s">
        <v>16</v>
      </c>
      <c r="C360">
        <v>2</v>
      </c>
      <c r="D360" s="9">
        <v>8450</v>
      </c>
      <c r="E360" s="9">
        <f>+Tablo3[[#This Row],[Birim Fiyat]]*Tablo3[[#This Row],[Satış Adet]]</f>
        <v>16900</v>
      </c>
      <c r="F360" s="9">
        <v>4900</v>
      </c>
      <c r="G360" t="s">
        <v>59</v>
      </c>
      <c r="H360" t="s">
        <v>44</v>
      </c>
    </row>
    <row r="361" spans="1:8" x14ac:dyDescent="0.25">
      <c r="A361" t="s">
        <v>18</v>
      </c>
      <c r="B361" t="s">
        <v>19</v>
      </c>
      <c r="C361">
        <v>3</v>
      </c>
      <c r="D361" s="9">
        <v>1350</v>
      </c>
      <c r="E361" s="9">
        <f>+Tablo3[[#This Row],[Birim Fiyat]]*Tablo3[[#This Row],[Satış Adet]]</f>
        <v>4050</v>
      </c>
      <c r="F361" s="9">
        <v>1650</v>
      </c>
      <c r="G361" t="s">
        <v>59</v>
      </c>
      <c r="H361" t="s">
        <v>39</v>
      </c>
    </row>
    <row r="362" spans="1:8" x14ac:dyDescent="0.25">
      <c r="A362" t="s">
        <v>8</v>
      </c>
      <c r="B362" t="s">
        <v>21</v>
      </c>
      <c r="C362">
        <v>2</v>
      </c>
      <c r="D362" s="9">
        <v>2180</v>
      </c>
      <c r="E362" s="9">
        <f>+Tablo3[[#This Row],[Birim Fiyat]]*Tablo3[[#This Row],[Satış Adet]]</f>
        <v>4360</v>
      </c>
      <c r="F362" s="9">
        <v>1360</v>
      </c>
      <c r="G362" t="s">
        <v>59</v>
      </c>
      <c r="H362" t="s">
        <v>52</v>
      </c>
    </row>
    <row r="363" spans="1:8" x14ac:dyDescent="0.25">
      <c r="A363" t="s">
        <v>22</v>
      </c>
      <c r="B363" t="s">
        <v>23</v>
      </c>
      <c r="C363">
        <v>2</v>
      </c>
      <c r="D363" s="9">
        <v>7600</v>
      </c>
      <c r="E363" s="9">
        <f>+Tablo3[[#This Row],[Birim Fiyat]]*Tablo3[[#This Row],[Satış Adet]]</f>
        <v>15200</v>
      </c>
      <c r="F363" s="9">
        <v>3200</v>
      </c>
      <c r="G363" t="s">
        <v>59</v>
      </c>
      <c r="H363" t="s">
        <v>44</v>
      </c>
    </row>
    <row r="364" spans="1:8" x14ac:dyDescent="0.25">
      <c r="A364" t="s">
        <v>12</v>
      </c>
      <c r="B364" t="s">
        <v>25</v>
      </c>
      <c r="C364">
        <v>2</v>
      </c>
      <c r="D364" s="9">
        <v>7250</v>
      </c>
      <c r="E364" s="9">
        <f>+Tablo3[[#This Row],[Birim Fiyat]]*Tablo3[[#This Row],[Satış Adet]]</f>
        <v>14500</v>
      </c>
      <c r="F364" s="9">
        <v>4500</v>
      </c>
      <c r="G364" t="s">
        <v>59</v>
      </c>
      <c r="H364" t="s">
        <v>29</v>
      </c>
    </row>
    <row r="365" spans="1:8" x14ac:dyDescent="0.25">
      <c r="A365" t="s">
        <v>18</v>
      </c>
      <c r="B365" t="s">
        <v>26</v>
      </c>
      <c r="C365">
        <v>3</v>
      </c>
      <c r="D365" s="9">
        <v>1100</v>
      </c>
      <c r="E365" s="9">
        <f>+Tablo3[[#This Row],[Birim Fiyat]]*Tablo3[[#This Row],[Satış Adet]]</f>
        <v>3300</v>
      </c>
      <c r="F365" s="9">
        <v>900</v>
      </c>
      <c r="G365" t="s">
        <v>59</v>
      </c>
      <c r="H365" t="s">
        <v>14</v>
      </c>
    </row>
    <row r="366" spans="1:8" x14ac:dyDescent="0.25">
      <c r="A366" t="s">
        <v>67</v>
      </c>
      <c r="B366" t="s">
        <v>9</v>
      </c>
      <c r="C366">
        <v>2</v>
      </c>
      <c r="D366" s="9">
        <v>6000</v>
      </c>
      <c r="E366" s="9">
        <f>+Tablo3[[#This Row],[Birim Fiyat]]*Tablo3[[#This Row],[Satış Adet]]</f>
        <v>12000</v>
      </c>
      <c r="F366" s="9">
        <v>4000</v>
      </c>
      <c r="G366" t="s">
        <v>59</v>
      </c>
      <c r="H366" t="s">
        <v>11</v>
      </c>
    </row>
    <row r="367" spans="1:8" x14ac:dyDescent="0.25">
      <c r="A367" t="s">
        <v>8</v>
      </c>
      <c r="B367" t="s">
        <v>28</v>
      </c>
      <c r="C367">
        <v>1</v>
      </c>
      <c r="D367" s="9">
        <v>1200</v>
      </c>
      <c r="E367" s="9">
        <f>+Tablo3[[#This Row],[Birim Fiyat]]*Tablo3[[#This Row],[Satış Adet]]</f>
        <v>1200</v>
      </c>
      <c r="F367" s="9">
        <v>400</v>
      </c>
      <c r="G367" t="s">
        <v>59</v>
      </c>
      <c r="H367" t="s">
        <v>39</v>
      </c>
    </row>
    <row r="368" spans="1:8" x14ac:dyDescent="0.25">
      <c r="A368" t="s">
        <v>30</v>
      </c>
      <c r="B368" t="s">
        <v>31</v>
      </c>
      <c r="C368">
        <v>2</v>
      </c>
      <c r="D368" s="9">
        <v>1800</v>
      </c>
      <c r="E368" s="9">
        <f>+Tablo3[[#This Row],[Birim Fiyat]]*Tablo3[[#This Row],[Satış Adet]]</f>
        <v>3600</v>
      </c>
      <c r="F368" s="9">
        <v>2000</v>
      </c>
      <c r="G368" t="s">
        <v>59</v>
      </c>
      <c r="H368" t="s">
        <v>35</v>
      </c>
    </row>
    <row r="369" spans="1:8" x14ac:dyDescent="0.25">
      <c r="A369" t="s">
        <v>30</v>
      </c>
      <c r="B369" t="s">
        <v>32</v>
      </c>
      <c r="C369">
        <v>2</v>
      </c>
      <c r="D369" s="9">
        <v>1090</v>
      </c>
      <c r="E369" s="9">
        <f>+Tablo3[[#This Row],[Birim Fiyat]]*Tablo3[[#This Row],[Satış Adet]]</f>
        <v>2180</v>
      </c>
      <c r="F369" s="9">
        <v>580</v>
      </c>
      <c r="G369" t="s">
        <v>59</v>
      </c>
      <c r="H369" t="s">
        <v>42</v>
      </c>
    </row>
    <row r="370" spans="1:8" x14ac:dyDescent="0.25">
      <c r="A370" t="s">
        <v>67</v>
      </c>
      <c r="B370" t="s">
        <v>21</v>
      </c>
      <c r="C370">
        <v>3</v>
      </c>
      <c r="D370" s="9">
        <v>2180</v>
      </c>
      <c r="E370" s="9">
        <f>+Tablo3[[#This Row],[Birim Fiyat]]*Tablo3[[#This Row],[Satış Adet]]</f>
        <v>6540</v>
      </c>
      <c r="F370" s="9">
        <v>2040</v>
      </c>
      <c r="G370" t="s">
        <v>59</v>
      </c>
      <c r="H370" t="s">
        <v>11</v>
      </c>
    </row>
    <row r="371" spans="1:8" x14ac:dyDescent="0.25">
      <c r="A371" t="s">
        <v>33</v>
      </c>
      <c r="B371" t="s">
        <v>31</v>
      </c>
      <c r="C371">
        <v>3</v>
      </c>
      <c r="D371" s="9">
        <v>1800</v>
      </c>
      <c r="E371" s="9">
        <f>+Tablo3[[#This Row],[Birim Fiyat]]*Tablo3[[#This Row],[Satış Adet]]</f>
        <v>5400</v>
      </c>
      <c r="F371" s="9">
        <v>3000</v>
      </c>
      <c r="G371" t="s">
        <v>59</v>
      </c>
      <c r="H371" t="s">
        <v>27</v>
      </c>
    </row>
    <row r="372" spans="1:8" x14ac:dyDescent="0.25">
      <c r="A372" t="s">
        <v>22</v>
      </c>
      <c r="B372" t="s">
        <v>34</v>
      </c>
      <c r="C372">
        <v>3</v>
      </c>
      <c r="D372" s="9">
        <v>8000</v>
      </c>
      <c r="E372" s="9">
        <f>+Tablo3[[#This Row],[Birim Fiyat]]*Tablo3[[#This Row],[Satış Adet]]</f>
        <v>24000</v>
      </c>
      <c r="F372" s="9">
        <v>6000</v>
      </c>
      <c r="G372" t="s">
        <v>59</v>
      </c>
      <c r="H372" t="s">
        <v>40</v>
      </c>
    </row>
    <row r="373" spans="1:8" x14ac:dyDescent="0.25">
      <c r="A373" t="s">
        <v>67</v>
      </c>
      <c r="B373" t="s">
        <v>13</v>
      </c>
      <c r="C373">
        <v>1</v>
      </c>
      <c r="D373" s="9">
        <v>1400</v>
      </c>
      <c r="E373" s="9">
        <f>+Tablo3[[#This Row],[Birim Fiyat]]*Tablo3[[#This Row],[Satış Adet]]</f>
        <v>1400</v>
      </c>
      <c r="F373" s="9">
        <v>600</v>
      </c>
      <c r="G373" t="s">
        <v>59</v>
      </c>
      <c r="H373" t="s">
        <v>27</v>
      </c>
    </row>
    <row r="374" spans="1:8" x14ac:dyDescent="0.25">
      <c r="A374" t="s">
        <v>36</v>
      </c>
      <c r="B374" t="s">
        <v>37</v>
      </c>
      <c r="C374">
        <v>1</v>
      </c>
      <c r="D374" s="9">
        <v>10590</v>
      </c>
      <c r="E374" s="9">
        <f>+Tablo3[[#This Row],[Birim Fiyat]]*Tablo3[[#This Row],[Satış Adet]]</f>
        <v>10590</v>
      </c>
      <c r="F374" s="9">
        <v>4590</v>
      </c>
      <c r="G374" t="s">
        <v>59</v>
      </c>
      <c r="H374" t="s">
        <v>35</v>
      </c>
    </row>
    <row r="375" spans="1:8" x14ac:dyDescent="0.25">
      <c r="A375" t="s">
        <v>38</v>
      </c>
      <c r="B375" t="s">
        <v>19</v>
      </c>
      <c r="C375">
        <v>2</v>
      </c>
      <c r="D375" s="9">
        <v>1350</v>
      </c>
      <c r="E375" s="9">
        <f>+Tablo3[[#This Row],[Birim Fiyat]]*Tablo3[[#This Row],[Satış Adet]]</f>
        <v>2700</v>
      </c>
      <c r="F375" s="9">
        <v>1100</v>
      </c>
      <c r="G375" t="s">
        <v>59</v>
      </c>
      <c r="H375" t="s">
        <v>11</v>
      </c>
    </row>
    <row r="376" spans="1:8" x14ac:dyDescent="0.25">
      <c r="A376" t="s">
        <v>30</v>
      </c>
      <c r="B376" t="s">
        <v>13</v>
      </c>
      <c r="C376">
        <v>2</v>
      </c>
      <c r="D376" s="9">
        <v>1400</v>
      </c>
      <c r="E376" s="9">
        <f>+Tablo3[[#This Row],[Birim Fiyat]]*Tablo3[[#This Row],[Satış Adet]]</f>
        <v>2800</v>
      </c>
      <c r="F376" s="9">
        <v>1200</v>
      </c>
      <c r="G376" t="s">
        <v>59</v>
      </c>
      <c r="H376" t="s">
        <v>35</v>
      </c>
    </row>
    <row r="377" spans="1:8" x14ac:dyDescent="0.25">
      <c r="A377" t="s">
        <v>18</v>
      </c>
      <c r="B377" t="s">
        <v>9</v>
      </c>
      <c r="C377">
        <v>1</v>
      </c>
      <c r="D377" s="9">
        <v>6000</v>
      </c>
      <c r="E377" s="9">
        <f>+Tablo3[[#This Row],[Birim Fiyat]]*Tablo3[[#This Row],[Satış Adet]]</f>
        <v>6000</v>
      </c>
      <c r="F377" s="9">
        <v>2000</v>
      </c>
      <c r="G377" t="s">
        <v>59</v>
      </c>
      <c r="H377" t="s">
        <v>35</v>
      </c>
    </row>
    <row r="378" spans="1:8" x14ac:dyDescent="0.25">
      <c r="A378" t="s">
        <v>36</v>
      </c>
      <c r="B378" t="s">
        <v>26</v>
      </c>
      <c r="C378">
        <v>2</v>
      </c>
      <c r="D378" s="9">
        <v>1100</v>
      </c>
      <c r="E378" s="9">
        <f>+Tablo3[[#This Row],[Birim Fiyat]]*Tablo3[[#This Row],[Satış Adet]]</f>
        <v>2200</v>
      </c>
      <c r="F378" s="9">
        <v>600</v>
      </c>
      <c r="G378" t="s">
        <v>59</v>
      </c>
      <c r="H378" t="s">
        <v>39</v>
      </c>
    </row>
    <row r="379" spans="1:8" x14ac:dyDescent="0.25">
      <c r="A379" t="s">
        <v>15</v>
      </c>
      <c r="B379" t="s">
        <v>9</v>
      </c>
      <c r="C379">
        <v>2</v>
      </c>
      <c r="D379" s="9">
        <v>6000</v>
      </c>
      <c r="E379" s="9">
        <f>+Tablo3[[#This Row],[Birim Fiyat]]*Tablo3[[#This Row],[Satış Adet]]</f>
        <v>12000</v>
      </c>
      <c r="F379" s="9">
        <v>4000</v>
      </c>
      <c r="G379" t="s">
        <v>59</v>
      </c>
      <c r="H379" t="s">
        <v>27</v>
      </c>
    </row>
    <row r="380" spans="1:8" x14ac:dyDescent="0.25">
      <c r="A380" t="s">
        <v>38</v>
      </c>
      <c r="B380" t="s">
        <v>41</v>
      </c>
      <c r="C380">
        <v>1</v>
      </c>
      <c r="D380" s="9">
        <v>1490</v>
      </c>
      <c r="E380" s="9">
        <f>+Tablo3[[#This Row],[Birim Fiyat]]*Tablo3[[#This Row],[Satış Adet]]</f>
        <v>1490</v>
      </c>
      <c r="F380" s="9">
        <v>690</v>
      </c>
      <c r="G380" t="s">
        <v>59</v>
      </c>
      <c r="H380" t="s">
        <v>11</v>
      </c>
    </row>
    <row r="381" spans="1:8" x14ac:dyDescent="0.25">
      <c r="A381" t="s">
        <v>36</v>
      </c>
      <c r="B381" t="s">
        <v>37</v>
      </c>
      <c r="C381">
        <v>2</v>
      </c>
      <c r="D381" s="9">
        <v>10590</v>
      </c>
      <c r="E381" s="9">
        <f>+Tablo3[[#This Row],[Birim Fiyat]]*Tablo3[[#This Row],[Satış Adet]]</f>
        <v>21180</v>
      </c>
      <c r="F381" s="9">
        <v>9180</v>
      </c>
      <c r="G381" t="s">
        <v>59</v>
      </c>
      <c r="H381" t="s">
        <v>35</v>
      </c>
    </row>
    <row r="382" spans="1:8" x14ac:dyDescent="0.25">
      <c r="A382" t="s">
        <v>15</v>
      </c>
      <c r="B382" t="s">
        <v>34</v>
      </c>
      <c r="C382">
        <v>3</v>
      </c>
      <c r="D382" s="9">
        <v>8000</v>
      </c>
      <c r="E382" s="9">
        <f>+Tablo3[[#This Row],[Birim Fiyat]]*Tablo3[[#This Row],[Satış Adet]]</f>
        <v>24000</v>
      </c>
      <c r="F382" s="9">
        <v>6000</v>
      </c>
      <c r="G382" t="s">
        <v>59</v>
      </c>
      <c r="H382" t="s">
        <v>42</v>
      </c>
    </row>
    <row r="383" spans="1:8" x14ac:dyDescent="0.25">
      <c r="A383" t="s">
        <v>30</v>
      </c>
      <c r="B383" t="s">
        <v>26</v>
      </c>
      <c r="C383">
        <v>1</v>
      </c>
      <c r="D383" s="9">
        <v>1100</v>
      </c>
      <c r="E383" s="9">
        <f>+Tablo3[[#This Row],[Birim Fiyat]]*Tablo3[[#This Row],[Satış Adet]]</f>
        <v>1100</v>
      </c>
      <c r="F383" s="9">
        <v>300</v>
      </c>
      <c r="G383" t="s">
        <v>59</v>
      </c>
      <c r="H383" t="s">
        <v>42</v>
      </c>
    </row>
    <row r="384" spans="1:8" x14ac:dyDescent="0.25">
      <c r="A384" t="s">
        <v>38</v>
      </c>
      <c r="B384" t="s">
        <v>28</v>
      </c>
      <c r="C384">
        <v>1</v>
      </c>
      <c r="D384" s="9">
        <v>1200</v>
      </c>
      <c r="E384" s="9">
        <f>+Tablo3[[#This Row],[Birim Fiyat]]*Tablo3[[#This Row],[Satış Adet]]</f>
        <v>1200</v>
      </c>
      <c r="F384" s="9">
        <v>400</v>
      </c>
      <c r="G384" t="s">
        <v>59</v>
      </c>
      <c r="H384" t="s">
        <v>40</v>
      </c>
    </row>
    <row r="385" spans="1:8" x14ac:dyDescent="0.25">
      <c r="A385" t="s">
        <v>22</v>
      </c>
      <c r="B385" t="s">
        <v>43</v>
      </c>
      <c r="C385">
        <v>2</v>
      </c>
      <c r="D385" s="9">
        <v>4200</v>
      </c>
      <c r="E385" s="9">
        <f>+Tablo3[[#This Row],[Birim Fiyat]]*Tablo3[[#This Row],[Satış Adet]]</f>
        <v>8400</v>
      </c>
      <c r="F385" s="9">
        <v>2400</v>
      </c>
      <c r="G385" t="s">
        <v>59</v>
      </c>
      <c r="H385" t="s">
        <v>35</v>
      </c>
    </row>
    <row r="386" spans="1:8" x14ac:dyDescent="0.25">
      <c r="A386" t="s">
        <v>12</v>
      </c>
      <c r="B386" t="s">
        <v>45</v>
      </c>
      <c r="C386">
        <v>3</v>
      </c>
      <c r="D386" s="9">
        <v>5775</v>
      </c>
      <c r="E386" s="9">
        <f>+Tablo3[[#This Row],[Birim Fiyat]]*Tablo3[[#This Row],[Satış Adet]]</f>
        <v>17325</v>
      </c>
      <c r="F386" s="9">
        <v>5325</v>
      </c>
      <c r="G386" t="s">
        <v>59</v>
      </c>
      <c r="H386" t="s">
        <v>39</v>
      </c>
    </row>
    <row r="387" spans="1:8" x14ac:dyDescent="0.25">
      <c r="A387" t="s">
        <v>46</v>
      </c>
      <c r="B387" t="s">
        <v>23</v>
      </c>
      <c r="C387">
        <v>3</v>
      </c>
      <c r="D387" s="9">
        <v>7600</v>
      </c>
      <c r="E387" s="9">
        <f>+Tablo3[[#This Row],[Birim Fiyat]]*Tablo3[[#This Row],[Satış Adet]]</f>
        <v>22800</v>
      </c>
      <c r="F387" s="9">
        <v>4800</v>
      </c>
      <c r="G387" t="s">
        <v>59</v>
      </c>
      <c r="H387" t="s">
        <v>39</v>
      </c>
    </row>
    <row r="388" spans="1:8" x14ac:dyDescent="0.25">
      <c r="A388" t="s">
        <v>12</v>
      </c>
      <c r="B388" t="s">
        <v>25</v>
      </c>
      <c r="C388">
        <v>3</v>
      </c>
      <c r="D388" s="9">
        <v>7250</v>
      </c>
      <c r="E388" s="9">
        <f>+Tablo3[[#This Row],[Birim Fiyat]]*Tablo3[[#This Row],[Satış Adet]]</f>
        <v>21750</v>
      </c>
      <c r="F388" s="9">
        <v>6750</v>
      </c>
      <c r="G388" t="s">
        <v>59</v>
      </c>
      <c r="H388" t="s">
        <v>42</v>
      </c>
    </row>
    <row r="389" spans="1:8" x14ac:dyDescent="0.25">
      <c r="A389" t="s">
        <v>8</v>
      </c>
      <c r="B389" t="s">
        <v>25</v>
      </c>
      <c r="C389">
        <v>3</v>
      </c>
      <c r="D389" s="9">
        <v>7250</v>
      </c>
      <c r="E389" s="9">
        <f>+Tablo3[[#This Row],[Birim Fiyat]]*Tablo3[[#This Row],[Satış Adet]]</f>
        <v>21750</v>
      </c>
      <c r="F389" s="9">
        <v>6750</v>
      </c>
      <c r="G389" t="s">
        <v>59</v>
      </c>
      <c r="H389" t="s">
        <v>14</v>
      </c>
    </row>
    <row r="390" spans="1:8" x14ac:dyDescent="0.25">
      <c r="A390" t="s">
        <v>36</v>
      </c>
      <c r="B390" t="s">
        <v>25</v>
      </c>
      <c r="C390">
        <v>3</v>
      </c>
      <c r="D390" s="9">
        <v>7250</v>
      </c>
      <c r="E390" s="9">
        <f>+Tablo3[[#This Row],[Birim Fiyat]]*Tablo3[[#This Row],[Satış Adet]]</f>
        <v>21750</v>
      </c>
      <c r="F390" s="9">
        <v>6750</v>
      </c>
      <c r="G390" t="s">
        <v>59</v>
      </c>
      <c r="H390" t="s">
        <v>27</v>
      </c>
    </row>
    <row r="391" spans="1:8" x14ac:dyDescent="0.25">
      <c r="A391" t="s">
        <v>67</v>
      </c>
      <c r="B391" t="s">
        <v>19</v>
      </c>
      <c r="C391">
        <v>1</v>
      </c>
      <c r="D391" s="9">
        <v>1350</v>
      </c>
      <c r="E391" s="9">
        <f>+Tablo3[[#This Row],[Birim Fiyat]]*Tablo3[[#This Row],[Satış Adet]]</f>
        <v>1350</v>
      </c>
      <c r="F391" s="9">
        <v>550</v>
      </c>
      <c r="G391" t="s">
        <v>59</v>
      </c>
      <c r="H391" t="s">
        <v>42</v>
      </c>
    </row>
    <row r="392" spans="1:8" x14ac:dyDescent="0.25">
      <c r="A392" t="s">
        <v>12</v>
      </c>
      <c r="B392" t="s">
        <v>25</v>
      </c>
      <c r="C392">
        <v>2</v>
      </c>
      <c r="D392" s="9">
        <v>7250</v>
      </c>
      <c r="E392" s="9">
        <f>+Tablo3[[#This Row],[Birim Fiyat]]*Tablo3[[#This Row],[Satış Adet]]</f>
        <v>14500</v>
      </c>
      <c r="F392" s="9">
        <v>4500</v>
      </c>
      <c r="G392" t="s">
        <v>59</v>
      </c>
      <c r="H392" t="s">
        <v>44</v>
      </c>
    </row>
    <row r="393" spans="1:8" x14ac:dyDescent="0.25">
      <c r="A393" t="s">
        <v>30</v>
      </c>
      <c r="B393" t="s">
        <v>23</v>
      </c>
      <c r="C393">
        <v>1</v>
      </c>
      <c r="D393" s="9">
        <v>7600</v>
      </c>
      <c r="E393" s="9">
        <f>+Tablo3[[#This Row],[Birim Fiyat]]*Tablo3[[#This Row],[Satış Adet]]</f>
        <v>7600</v>
      </c>
      <c r="F393" s="9">
        <v>1600</v>
      </c>
      <c r="G393" t="s">
        <v>59</v>
      </c>
      <c r="H393" t="s">
        <v>11</v>
      </c>
    </row>
    <row r="394" spans="1:8" x14ac:dyDescent="0.25">
      <c r="A394" t="s">
        <v>48</v>
      </c>
      <c r="B394" t="s">
        <v>23</v>
      </c>
      <c r="C394">
        <v>3</v>
      </c>
      <c r="D394" s="9">
        <v>7600</v>
      </c>
      <c r="E394" s="9">
        <f>+Tablo3[[#This Row],[Birim Fiyat]]*Tablo3[[#This Row],[Satış Adet]]</f>
        <v>22800</v>
      </c>
      <c r="F394" s="9">
        <v>4800</v>
      </c>
      <c r="G394" t="s">
        <v>59</v>
      </c>
      <c r="H394" t="s">
        <v>40</v>
      </c>
    </row>
    <row r="395" spans="1:8" x14ac:dyDescent="0.25">
      <c r="A395" t="s">
        <v>12</v>
      </c>
      <c r="B395" t="s">
        <v>41</v>
      </c>
      <c r="C395">
        <v>3</v>
      </c>
      <c r="D395" s="9">
        <v>1490</v>
      </c>
      <c r="E395" s="9">
        <f>+Tablo3[[#This Row],[Birim Fiyat]]*Tablo3[[#This Row],[Satış Adet]]</f>
        <v>4470</v>
      </c>
      <c r="F395" s="9">
        <v>2070</v>
      </c>
      <c r="G395" t="s">
        <v>59</v>
      </c>
      <c r="H395" t="s">
        <v>44</v>
      </c>
    </row>
    <row r="396" spans="1:8" x14ac:dyDescent="0.25">
      <c r="A396" t="s">
        <v>67</v>
      </c>
      <c r="B396" t="s">
        <v>49</v>
      </c>
      <c r="C396">
        <v>2</v>
      </c>
      <c r="D396" s="9">
        <v>2900</v>
      </c>
      <c r="E396" s="9">
        <f>+Tablo3[[#This Row],[Birim Fiyat]]*Tablo3[[#This Row],[Satış Adet]]</f>
        <v>5800</v>
      </c>
      <c r="F396" s="9">
        <v>1800</v>
      </c>
      <c r="G396" t="s">
        <v>59</v>
      </c>
      <c r="H396" t="s">
        <v>24</v>
      </c>
    </row>
    <row r="397" spans="1:8" x14ac:dyDescent="0.25">
      <c r="A397" t="s">
        <v>38</v>
      </c>
      <c r="B397" t="s">
        <v>41</v>
      </c>
      <c r="C397">
        <v>1</v>
      </c>
      <c r="D397" s="9">
        <v>1490</v>
      </c>
      <c r="E397" s="9">
        <f>+Tablo3[[#This Row],[Birim Fiyat]]*Tablo3[[#This Row],[Satış Adet]]</f>
        <v>1490</v>
      </c>
      <c r="F397" s="9">
        <v>690</v>
      </c>
      <c r="G397" t="s">
        <v>59</v>
      </c>
      <c r="H397" t="s">
        <v>11</v>
      </c>
    </row>
    <row r="398" spans="1:8" x14ac:dyDescent="0.25">
      <c r="A398" t="s">
        <v>38</v>
      </c>
      <c r="B398" t="s">
        <v>32</v>
      </c>
      <c r="C398">
        <v>2</v>
      </c>
      <c r="D398" s="9">
        <v>1090</v>
      </c>
      <c r="E398" s="9">
        <f>+Tablo3[[#This Row],[Birim Fiyat]]*Tablo3[[#This Row],[Satış Adet]]</f>
        <v>2180</v>
      </c>
      <c r="F398" s="9">
        <v>580</v>
      </c>
      <c r="G398" t="s">
        <v>59</v>
      </c>
      <c r="H398" t="s">
        <v>35</v>
      </c>
    </row>
    <row r="399" spans="1:8" x14ac:dyDescent="0.25">
      <c r="A399" t="s">
        <v>67</v>
      </c>
      <c r="B399" t="s">
        <v>28</v>
      </c>
      <c r="C399">
        <v>2</v>
      </c>
      <c r="D399" s="9">
        <v>1200</v>
      </c>
      <c r="E399" s="9">
        <f>+Tablo3[[#This Row],[Birim Fiyat]]*Tablo3[[#This Row],[Satış Adet]]</f>
        <v>2400</v>
      </c>
      <c r="F399" s="9">
        <v>800</v>
      </c>
      <c r="G399" t="s">
        <v>59</v>
      </c>
      <c r="H399" t="s">
        <v>35</v>
      </c>
    </row>
    <row r="400" spans="1:8" x14ac:dyDescent="0.25">
      <c r="A400" t="s">
        <v>36</v>
      </c>
      <c r="B400" t="s">
        <v>37</v>
      </c>
      <c r="C400">
        <v>2</v>
      </c>
      <c r="D400" s="9">
        <v>10590</v>
      </c>
      <c r="E400" s="9">
        <f>+Tablo3[[#This Row],[Birim Fiyat]]*Tablo3[[#This Row],[Satış Adet]]</f>
        <v>21180</v>
      </c>
      <c r="F400" s="9">
        <v>9180</v>
      </c>
      <c r="G400" t="s">
        <v>59</v>
      </c>
      <c r="H400" t="s">
        <v>35</v>
      </c>
    </row>
    <row r="401" spans="1:8" x14ac:dyDescent="0.25">
      <c r="A401" t="s">
        <v>30</v>
      </c>
      <c r="B401" t="s">
        <v>43</v>
      </c>
      <c r="C401">
        <v>3</v>
      </c>
      <c r="D401" s="9">
        <v>4200</v>
      </c>
      <c r="E401" s="9">
        <f>+Tablo3[[#This Row],[Birim Fiyat]]*Tablo3[[#This Row],[Satış Adet]]</f>
        <v>12600</v>
      </c>
      <c r="F401" s="9">
        <v>3600</v>
      </c>
      <c r="G401" t="s">
        <v>59</v>
      </c>
      <c r="H401" t="s">
        <v>29</v>
      </c>
    </row>
    <row r="402" spans="1:8" x14ac:dyDescent="0.25">
      <c r="A402" t="s">
        <v>18</v>
      </c>
      <c r="B402" t="s">
        <v>43</v>
      </c>
      <c r="C402">
        <v>3</v>
      </c>
      <c r="D402" s="9">
        <v>4200</v>
      </c>
      <c r="E402" s="9">
        <f>+Tablo3[[#This Row],[Birim Fiyat]]*Tablo3[[#This Row],[Satış Adet]]</f>
        <v>12600</v>
      </c>
      <c r="F402" s="9">
        <v>3600</v>
      </c>
      <c r="G402" t="s">
        <v>59</v>
      </c>
      <c r="H402" t="s">
        <v>40</v>
      </c>
    </row>
    <row r="403" spans="1:8" x14ac:dyDescent="0.25">
      <c r="A403" t="s">
        <v>33</v>
      </c>
      <c r="B403" t="s">
        <v>37</v>
      </c>
      <c r="C403">
        <v>2</v>
      </c>
      <c r="D403" s="9">
        <v>10590</v>
      </c>
      <c r="E403" s="9">
        <f>+Tablo3[[#This Row],[Birim Fiyat]]*Tablo3[[#This Row],[Satış Adet]]</f>
        <v>21180</v>
      </c>
      <c r="F403" s="9">
        <v>9180</v>
      </c>
      <c r="G403" t="s">
        <v>59</v>
      </c>
      <c r="H403" t="s">
        <v>44</v>
      </c>
    </row>
    <row r="404" spans="1:8" x14ac:dyDescent="0.25">
      <c r="A404" t="s">
        <v>48</v>
      </c>
      <c r="B404" t="s">
        <v>50</v>
      </c>
      <c r="C404">
        <v>1</v>
      </c>
      <c r="D404" s="9">
        <v>1250</v>
      </c>
      <c r="E404" s="9">
        <f>+Tablo3[[#This Row],[Birim Fiyat]]*Tablo3[[#This Row],[Satış Adet]]</f>
        <v>1250</v>
      </c>
      <c r="F404" s="9">
        <v>450</v>
      </c>
      <c r="G404" t="s">
        <v>59</v>
      </c>
      <c r="H404" t="s">
        <v>24</v>
      </c>
    </row>
    <row r="405" spans="1:8" x14ac:dyDescent="0.25">
      <c r="A405" t="s">
        <v>8</v>
      </c>
      <c r="B405" t="s">
        <v>41</v>
      </c>
      <c r="C405">
        <v>3</v>
      </c>
      <c r="D405" s="9">
        <v>1490</v>
      </c>
      <c r="E405" s="9">
        <f>+Tablo3[[#This Row],[Birim Fiyat]]*Tablo3[[#This Row],[Satış Adet]]</f>
        <v>4470</v>
      </c>
      <c r="F405" s="9">
        <v>2070</v>
      </c>
      <c r="G405" t="s">
        <v>59</v>
      </c>
      <c r="H405" t="s">
        <v>39</v>
      </c>
    </row>
    <row r="406" spans="1:8" x14ac:dyDescent="0.25">
      <c r="A406" t="s">
        <v>30</v>
      </c>
      <c r="B406" t="s">
        <v>28</v>
      </c>
      <c r="C406">
        <v>2</v>
      </c>
      <c r="D406" s="9">
        <v>1200</v>
      </c>
      <c r="E406" s="9">
        <f>+Tablo3[[#This Row],[Birim Fiyat]]*Tablo3[[#This Row],[Satış Adet]]</f>
        <v>2400</v>
      </c>
      <c r="F406" s="9">
        <v>800</v>
      </c>
      <c r="G406" t="s">
        <v>59</v>
      </c>
      <c r="H406" t="s">
        <v>11</v>
      </c>
    </row>
    <row r="407" spans="1:8" x14ac:dyDescent="0.25">
      <c r="A407" t="s">
        <v>15</v>
      </c>
      <c r="B407" t="s">
        <v>21</v>
      </c>
      <c r="C407">
        <v>3</v>
      </c>
      <c r="D407" s="9">
        <v>2180</v>
      </c>
      <c r="E407" s="9">
        <f>+Tablo3[[#This Row],[Birim Fiyat]]*Tablo3[[#This Row],[Satış Adet]]</f>
        <v>6540</v>
      </c>
      <c r="F407" s="9">
        <v>2040</v>
      </c>
      <c r="G407" t="s">
        <v>59</v>
      </c>
      <c r="H407" t="s">
        <v>42</v>
      </c>
    </row>
    <row r="408" spans="1:8" x14ac:dyDescent="0.25">
      <c r="A408" t="s">
        <v>38</v>
      </c>
      <c r="B408" t="s">
        <v>51</v>
      </c>
      <c r="C408">
        <v>3</v>
      </c>
      <c r="D408" s="9">
        <v>1200</v>
      </c>
      <c r="E408" s="9">
        <f>+Tablo3[[#This Row],[Birim Fiyat]]*Tablo3[[#This Row],[Satış Adet]]</f>
        <v>3600</v>
      </c>
      <c r="F408" s="9">
        <v>1200</v>
      </c>
      <c r="G408" t="s">
        <v>59</v>
      </c>
      <c r="H408" t="s">
        <v>42</v>
      </c>
    </row>
    <row r="409" spans="1:8" x14ac:dyDescent="0.25">
      <c r="A409" t="s">
        <v>8</v>
      </c>
      <c r="B409" t="s">
        <v>31</v>
      </c>
      <c r="C409">
        <v>1</v>
      </c>
      <c r="D409" s="9">
        <v>1800</v>
      </c>
      <c r="E409" s="9">
        <f>+Tablo3[[#This Row],[Birim Fiyat]]*Tablo3[[#This Row],[Satış Adet]]</f>
        <v>1800</v>
      </c>
      <c r="F409" s="9">
        <v>1000</v>
      </c>
      <c r="G409" t="s">
        <v>59</v>
      </c>
      <c r="H409" t="s">
        <v>29</v>
      </c>
    </row>
    <row r="410" spans="1:8" x14ac:dyDescent="0.25">
      <c r="A410" t="s">
        <v>15</v>
      </c>
      <c r="B410" t="s">
        <v>23</v>
      </c>
      <c r="C410">
        <v>1</v>
      </c>
      <c r="D410" s="9">
        <v>7600</v>
      </c>
      <c r="E410" s="9">
        <f>+Tablo3[[#This Row],[Birim Fiyat]]*Tablo3[[#This Row],[Satış Adet]]</f>
        <v>7600</v>
      </c>
      <c r="F410" s="9">
        <v>1600</v>
      </c>
      <c r="G410" t="s">
        <v>59</v>
      </c>
      <c r="H410" t="s">
        <v>11</v>
      </c>
    </row>
    <row r="411" spans="1:8" x14ac:dyDescent="0.25">
      <c r="A411" t="s">
        <v>33</v>
      </c>
      <c r="B411" t="s">
        <v>53</v>
      </c>
      <c r="C411">
        <v>1</v>
      </c>
      <c r="D411" s="9">
        <v>7530</v>
      </c>
      <c r="E411" s="9">
        <f>+Tablo3[[#This Row],[Birim Fiyat]]*Tablo3[[#This Row],[Satış Adet]]</f>
        <v>7530</v>
      </c>
      <c r="F411" s="9">
        <v>1530</v>
      </c>
      <c r="G411" t="s">
        <v>59</v>
      </c>
      <c r="H411" t="s">
        <v>27</v>
      </c>
    </row>
    <row r="412" spans="1:8" x14ac:dyDescent="0.25">
      <c r="A412" t="s">
        <v>48</v>
      </c>
      <c r="B412" t="s">
        <v>41</v>
      </c>
      <c r="C412">
        <v>2</v>
      </c>
      <c r="D412" s="9">
        <v>1490</v>
      </c>
      <c r="E412" s="9">
        <f>+Tablo3[[#This Row],[Birim Fiyat]]*Tablo3[[#This Row],[Satış Adet]]</f>
        <v>2980</v>
      </c>
      <c r="F412" s="9">
        <v>1380</v>
      </c>
      <c r="G412" t="s">
        <v>59</v>
      </c>
      <c r="H412" t="s">
        <v>44</v>
      </c>
    </row>
    <row r="413" spans="1:8" x14ac:dyDescent="0.25">
      <c r="A413" t="s">
        <v>8</v>
      </c>
      <c r="B413" t="s">
        <v>54</v>
      </c>
      <c r="C413">
        <v>1</v>
      </c>
      <c r="D413" s="9">
        <v>5300</v>
      </c>
      <c r="E413" s="9">
        <f>+Tablo3[[#This Row],[Birim Fiyat]]*Tablo3[[#This Row],[Satış Adet]]</f>
        <v>5300</v>
      </c>
      <c r="F413" s="9">
        <v>1300</v>
      </c>
      <c r="G413" t="s">
        <v>59</v>
      </c>
      <c r="H413" t="s">
        <v>17</v>
      </c>
    </row>
    <row r="414" spans="1:8" x14ac:dyDescent="0.25">
      <c r="A414" t="s">
        <v>22</v>
      </c>
      <c r="B414" t="s">
        <v>28</v>
      </c>
      <c r="C414">
        <v>2</v>
      </c>
      <c r="D414" s="9">
        <v>1200</v>
      </c>
      <c r="E414" s="9">
        <f>+Tablo3[[#This Row],[Birim Fiyat]]*Tablo3[[#This Row],[Satış Adet]]</f>
        <v>2400</v>
      </c>
      <c r="F414" s="9">
        <v>800</v>
      </c>
      <c r="G414" t="s">
        <v>59</v>
      </c>
      <c r="H414" t="s">
        <v>27</v>
      </c>
    </row>
    <row r="415" spans="1:8" x14ac:dyDescent="0.25">
      <c r="A415" t="s">
        <v>38</v>
      </c>
      <c r="B415" t="s">
        <v>32</v>
      </c>
      <c r="C415">
        <v>1</v>
      </c>
      <c r="D415" s="9">
        <v>1090</v>
      </c>
      <c r="E415" s="9">
        <f>+Tablo3[[#This Row],[Birim Fiyat]]*Tablo3[[#This Row],[Satış Adet]]</f>
        <v>1090</v>
      </c>
      <c r="F415" s="9">
        <v>290</v>
      </c>
      <c r="G415" t="s">
        <v>59</v>
      </c>
      <c r="H415" t="s">
        <v>24</v>
      </c>
    </row>
    <row r="416" spans="1:8" x14ac:dyDescent="0.25">
      <c r="A416" t="s">
        <v>22</v>
      </c>
      <c r="B416" t="s">
        <v>25</v>
      </c>
      <c r="C416">
        <v>1</v>
      </c>
      <c r="D416" s="9">
        <v>7250</v>
      </c>
      <c r="E416" s="9">
        <f>+Tablo3[[#This Row],[Birim Fiyat]]*Tablo3[[#This Row],[Satış Adet]]</f>
        <v>7250</v>
      </c>
      <c r="F416" s="9">
        <v>2250</v>
      </c>
      <c r="G416" t="s">
        <v>59</v>
      </c>
      <c r="H416" t="s">
        <v>17</v>
      </c>
    </row>
    <row r="417" spans="1:8" x14ac:dyDescent="0.25">
      <c r="A417" t="s">
        <v>46</v>
      </c>
      <c r="B417" t="s">
        <v>13</v>
      </c>
      <c r="C417">
        <v>3</v>
      </c>
      <c r="D417" s="9">
        <v>1400</v>
      </c>
      <c r="E417" s="9">
        <f>+Tablo3[[#This Row],[Birim Fiyat]]*Tablo3[[#This Row],[Satış Adet]]</f>
        <v>4200</v>
      </c>
      <c r="F417" s="9">
        <v>1800</v>
      </c>
      <c r="G417" t="s">
        <v>59</v>
      </c>
      <c r="H417" t="s">
        <v>20</v>
      </c>
    </row>
    <row r="418" spans="1:8" x14ac:dyDescent="0.25">
      <c r="A418" t="s">
        <v>15</v>
      </c>
      <c r="B418" t="s">
        <v>55</v>
      </c>
      <c r="C418">
        <v>1</v>
      </c>
      <c r="D418" s="9">
        <v>1500</v>
      </c>
      <c r="E418" s="9">
        <f>+Tablo3[[#This Row],[Birim Fiyat]]*Tablo3[[#This Row],[Satış Adet]]</f>
        <v>1500</v>
      </c>
      <c r="F418" s="9">
        <v>700</v>
      </c>
      <c r="G418" t="s">
        <v>59</v>
      </c>
      <c r="H418" t="s">
        <v>44</v>
      </c>
    </row>
    <row r="419" spans="1:8" x14ac:dyDescent="0.25">
      <c r="A419" t="s">
        <v>33</v>
      </c>
      <c r="B419" t="s">
        <v>19</v>
      </c>
      <c r="C419">
        <v>1</v>
      </c>
      <c r="D419" s="9">
        <v>1350</v>
      </c>
      <c r="E419" s="9">
        <f>+Tablo3[[#This Row],[Birim Fiyat]]*Tablo3[[#This Row],[Satış Adet]]</f>
        <v>1350</v>
      </c>
      <c r="F419" s="9">
        <v>550</v>
      </c>
      <c r="G419" t="s">
        <v>59</v>
      </c>
      <c r="H419" t="s">
        <v>27</v>
      </c>
    </row>
    <row r="420" spans="1:8" x14ac:dyDescent="0.25">
      <c r="A420" t="s">
        <v>33</v>
      </c>
      <c r="B420" t="s">
        <v>28</v>
      </c>
      <c r="C420">
        <v>3</v>
      </c>
      <c r="D420" s="9">
        <v>1200</v>
      </c>
      <c r="E420" s="9">
        <f>+Tablo3[[#This Row],[Birim Fiyat]]*Tablo3[[#This Row],[Satış Adet]]</f>
        <v>3600</v>
      </c>
      <c r="F420" s="9">
        <v>1200</v>
      </c>
      <c r="G420" t="s">
        <v>59</v>
      </c>
      <c r="H420" t="s">
        <v>11</v>
      </c>
    </row>
    <row r="421" spans="1:8" x14ac:dyDescent="0.25">
      <c r="A421" t="s">
        <v>12</v>
      </c>
      <c r="B421" t="s">
        <v>53</v>
      </c>
      <c r="C421">
        <v>3</v>
      </c>
      <c r="D421" s="9">
        <v>7530</v>
      </c>
      <c r="E421" s="9">
        <f>+Tablo3[[#This Row],[Birim Fiyat]]*Tablo3[[#This Row],[Satış Adet]]</f>
        <v>22590</v>
      </c>
      <c r="F421" s="9">
        <v>4590</v>
      </c>
      <c r="G421" t="s">
        <v>59</v>
      </c>
      <c r="H421" t="s">
        <v>52</v>
      </c>
    </row>
    <row r="422" spans="1:8" x14ac:dyDescent="0.25">
      <c r="A422" t="s">
        <v>46</v>
      </c>
      <c r="B422" t="s">
        <v>28</v>
      </c>
      <c r="C422">
        <v>1</v>
      </c>
      <c r="D422" s="9">
        <v>1200</v>
      </c>
      <c r="E422" s="9">
        <f>+Tablo3[[#This Row],[Birim Fiyat]]*Tablo3[[#This Row],[Satış Adet]]</f>
        <v>1200</v>
      </c>
      <c r="F422" s="9">
        <v>400</v>
      </c>
      <c r="G422" t="s">
        <v>59</v>
      </c>
      <c r="H422" t="s">
        <v>27</v>
      </c>
    </row>
    <row r="423" spans="1:8" x14ac:dyDescent="0.25">
      <c r="A423" t="s">
        <v>36</v>
      </c>
      <c r="B423" t="s">
        <v>31</v>
      </c>
      <c r="C423">
        <v>3</v>
      </c>
      <c r="D423" s="9">
        <v>1800</v>
      </c>
      <c r="E423" s="9">
        <f>+Tablo3[[#This Row],[Birim Fiyat]]*Tablo3[[#This Row],[Satış Adet]]</f>
        <v>5400</v>
      </c>
      <c r="F423" s="9">
        <v>3000</v>
      </c>
      <c r="G423" t="s">
        <v>59</v>
      </c>
      <c r="H423" t="s">
        <v>14</v>
      </c>
    </row>
    <row r="424" spans="1:8" x14ac:dyDescent="0.25">
      <c r="A424" t="s">
        <v>8</v>
      </c>
      <c r="B424" t="s">
        <v>25</v>
      </c>
      <c r="C424">
        <v>1</v>
      </c>
      <c r="D424" s="9">
        <v>7250</v>
      </c>
      <c r="E424" s="9">
        <f>+Tablo3[[#This Row],[Birim Fiyat]]*Tablo3[[#This Row],[Satış Adet]]</f>
        <v>7250</v>
      </c>
      <c r="F424" s="9">
        <v>2250</v>
      </c>
      <c r="G424" t="s">
        <v>59</v>
      </c>
      <c r="H424" t="s">
        <v>11</v>
      </c>
    </row>
    <row r="425" spans="1:8" x14ac:dyDescent="0.25">
      <c r="A425" t="s">
        <v>38</v>
      </c>
      <c r="B425" t="s">
        <v>41</v>
      </c>
      <c r="C425">
        <v>3</v>
      </c>
      <c r="D425" s="9">
        <v>1490</v>
      </c>
      <c r="E425" s="9">
        <f>+Tablo3[[#This Row],[Birim Fiyat]]*Tablo3[[#This Row],[Satış Adet]]</f>
        <v>4470</v>
      </c>
      <c r="F425" s="9">
        <v>2070</v>
      </c>
      <c r="G425" t="s">
        <v>59</v>
      </c>
      <c r="H425" t="s">
        <v>39</v>
      </c>
    </row>
    <row r="426" spans="1:8" x14ac:dyDescent="0.25">
      <c r="A426" t="s">
        <v>38</v>
      </c>
      <c r="B426" t="s">
        <v>51</v>
      </c>
      <c r="C426">
        <v>1</v>
      </c>
      <c r="D426" s="9">
        <v>1200</v>
      </c>
      <c r="E426" s="9">
        <f>+Tablo3[[#This Row],[Birim Fiyat]]*Tablo3[[#This Row],[Satış Adet]]</f>
        <v>1200</v>
      </c>
      <c r="F426" s="9">
        <v>400</v>
      </c>
      <c r="G426" t="s">
        <v>59</v>
      </c>
      <c r="H426" t="s">
        <v>40</v>
      </c>
    </row>
    <row r="427" spans="1:8" x14ac:dyDescent="0.25">
      <c r="A427" t="s">
        <v>12</v>
      </c>
      <c r="B427" t="s">
        <v>34</v>
      </c>
      <c r="C427">
        <v>1</v>
      </c>
      <c r="D427" s="9">
        <v>8000</v>
      </c>
      <c r="E427" s="9">
        <f>+Tablo3[[#This Row],[Birim Fiyat]]*Tablo3[[#This Row],[Satış Adet]]</f>
        <v>8000</v>
      </c>
      <c r="F427" s="9">
        <v>2000</v>
      </c>
      <c r="G427" t="s">
        <v>59</v>
      </c>
      <c r="H427" t="s">
        <v>42</v>
      </c>
    </row>
    <row r="428" spans="1:8" x14ac:dyDescent="0.25">
      <c r="A428" t="s">
        <v>30</v>
      </c>
      <c r="B428" t="s">
        <v>13</v>
      </c>
      <c r="C428">
        <v>1</v>
      </c>
      <c r="D428" s="9">
        <v>1400</v>
      </c>
      <c r="E428" s="9">
        <f>+Tablo3[[#This Row],[Birim Fiyat]]*Tablo3[[#This Row],[Satış Adet]]</f>
        <v>1400</v>
      </c>
      <c r="F428" s="9">
        <v>600</v>
      </c>
      <c r="G428" t="s">
        <v>59</v>
      </c>
      <c r="H428" t="s">
        <v>42</v>
      </c>
    </row>
    <row r="429" spans="1:8" x14ac:dyDescent="0.25">
      <c r="A429" t="s">
        <v>67</v>
      </c>
      <c r="B429" t="s">
        <v>19</v>
      </c>
      <c r="C429">
        <v>1</v>
      </c>
      <c r="D429" s="9">
        <v>1350</v>
      </c>
      <c r="E429" s="9">
        <f>+Tablo3[[#This Row],[Birim Fiyat]]*Tablo3[[#This Row],[Satış Adet]]</f>
        <v>1350</v>
      </c>
      <c r="F429" s="9">
        <v>550</v>
      </c>
      <c r="G429" t="s">
        <v>59</v>
      </c>
      <c r="H429" t="s">
        <v>29</v>
      </c>
    </row>
    <row r="430" spans="1:8" x14ac:dyDescent="0.25">
      <c r="A430" t="s">
        <v>36</v>
      </c>
      <c r="B430" t="s">
        <v>51</v>
      </c>
      <c r="C430">
        <v>1</v>
      </c>
      <c r="D430" s="9">
        <v>1200</v>
      </c>
      <c r="E430" s="9">
        <f>+Tablo3[[#This Row],[Birim Fiyat]]*Tablo3[[#This Row],[Satış Adet]]</f>
        <v>1200</v>
      </c>
      <c r="F430" s="9">
        <v>400</v>
      </c>
      <c r="G430" t="s">
        <v>59</v>
      </c>
      <c r="H430" t="s">
        <v>29</v>
      </c>
    </row>
    <row r="431" spans="1:8" x14ac:dyDescent="0.25">
      <c r="A431" t="s">
        <v>30</v>
      </c>
      <c r="B431" t="s">
        <v>54</v>
      </c>
      <c r="C431">
        <v>1</v>
      </c>
      <c r="D431" s="9">
        <v>5300</v>
      </c>
      <c r="E431" s="9">
        <f>+Tablo3[[#This Row],[Birim Fiyat]]*Tablo3[[#This Row],[Satış Adet]]</f>
        <v>5300</v>
      </c>
      <c r="F431" s="9">
        <v>1300</v>
      </c>
      <c r="G431" t="s">
        <v>59</v>
      </c>
      <c r="H431" t="s">
        <v>24</v>
      </c>
    </row>
    <row r="432" spans="1:8" x14ac:dyDescent="0.25">
      <c r="A432" t="s">
        <v>38</v>
      </c>
      <c r="B432" t="s">
        <v>37</v>
      </c>
      <c r="C432">
        <v>3</v>
      </c>
      <c r="D432" s="9">
        <v>10590</v>
      </c>
      <c r="E432" s="9">
        <f>+Tablo3[[#This Row],[Birim Fiyat]]*Tablo3[[#This Row],[Satış Adet]]</f>
        <v>31770</v>
      </c>
      <c r="F432" s="9">
        <v>13770</v>
      </c>
      <c r="G432" t="s">
        <v>59</v>
      </c>
      <c r="H432" t="s">
        <v>14</v>
      </c>
    </row>
    <row r="433" spans="1:8" x14ac:dyDescent="0.25">
      <c r="A433" t="s">
        <v>22</v>
      </c>
      <c r="B433" t="s">
        <v>50</v>
      </c>
      <c r="C433">
        <v>1</v>
      </c>
      <c r="D433" s="9">
        <v>1250</v>
      </c>
      <c r="E433" s="9">
        <f>+Tablo3[[#This Row],[Birim Fiyat]]*Tablo3[[#This Row],[Satış Adet]]</f>
        <v>1250</v>
      </c>
      <c r="F433" s="9">
        <v>450</v>
      </c>
      <c r="G433" t="s">
        <v>59</v>
      </c>
      <c r="H433" t="s">
        <v>20</v>
      </c>
    </row>
    <row r="434" spans="1:8" x14ac:dyDescent="0.25">
      <c r="A434" t="s">
        <v>48</v>
      </c>
      <c r="B434" t="s">
        <v>51</v>
      </c>
      <c r="C434">
        <v>1</v>
      </c>
      <c r="D434" s="9">
        <v>1200</v>
      </c>
      <c r="E434" s="9">
        <f>+Tablo3[[#This Row],[Birim Fiyat]]*Tablo3[[#This Row],[Satış Adet]]</f>
        <v>1200</v>
      </c>
      <c r="F434" s="9">
        <v>400</v>
      </c>
      <c r="G434" t="s">
        <v>60</v>
      </c>
      <c r="H434" t="s">
        <v>39</v>
      </c>
    </row>
    <row r="435" spans="1:8" x14ac:dyDescent="0.25">
      <c r="A435" t="s">
        <v>22</v>
      </c>
      <c r="B435" t="s">
        <v>13</v>
      </c>
      <c r="C435">
        <v>3</v>
      </c>
      <c r="D435" s="9">
        <v>1400</v>
      </c>
      <c r="E435" s="9">
        <f>+Tablo3[[#This Row],[Birim Fiyat]]*Tablo3[[#This Row],[Satış Adet]]</f>
        <v>4200</v>
      </c>
      <c r="F435" s="9">
        <v>1800</v>
      </c>
      <c r="G435" t="s">
        <v>60</v>
      </c>
      <c r="H435" t="s">
        <v>24</v>
      </c>
    </row>
    <row r="436" spans="1:8" x14ac:dyDescent="0.25">
      <c r="A436" t="s">
        <v>48</v>
      </c>
      <c r="B436" t="s">
        <v>53</v>
      </c>
      <c r="C436">
        <v>2</v>
      </c>
      <c r="D436" s="9">
        <v>7530</v>
      </c>
      <c r="E436" s="9">
        <f>+Tablo3[[#This Row],[Birim Fiyat]]*Tablo3[[#This Row],[Satış Adet]]</f>
        <v>15060</v>
      </c>
      <c r="F436" s="9">
        <v>3060</v>
      </c>
      <c r="G436" t="s">
        <v>60</v>
      </c>
      <c r="H436" t="s">
        <v>27</v>
      </c>
    </row>
    <row r="437" spans="1:8" x14ac:dyDescent="0.25">
      <c r="A437" t="s">
        <v>30</v>
      </c>
      <c r="B437" t="s">
        <v>23</v>
      </c>
      <c r="C437">
        <v>1</v>
      </c>
      <c r="D437" s="9">
        <v>7600</v>
      </c>
      <c r="E437" s="9">
        <f>+Tablo3[[#This Row],[Birim Fiyat]]*Tablo3[[#This Row],[Satış Adet]]</f>
        <v>7600</v>
      </c>
      <c r="F437" s="9">
        <v>1600</v>
      </c>
      <c r="G437" t="s">
        <v>60</v>
      </c>
      <c r="H437" t="s">
        <v>42</v>
      </c>
    </row>
    <row r="438" spans="1:8" x14ac:dyDescent="0.25">
      <c r="A438" t="s">
        <v>48</v>
      </c>
      <c r="B438" t="s">
        <v>55</v>
      </c>
      <c r="C438">
        <v>1</v>
      </c>
      <c r="D438" s="9">
        <v>1500</v>
      </c>
      <c r="E438" s="9">
        <f>+Tablo3[[#This Row],[Birim Fiyat]]*Tablo3[[#This Row],[Satış Adet]]</f>
        <v>1500</v>
      </c>
      <c r="F438" s="9">
        <v>700</v>
      </c>
      <c r="G438" t="s">
        <v>60</v>
      </c>
      <c r="H438" t="s">
        <v>27</v>
      </c>
    </row>
    <row r="439" spans="1:8" x14ac:dyDescent="0.25">
      <c r="A439" t="s">
        <v>38</v>
      </c>
      <c r="B439" t="s">
        <v>21</v>
      </c>
      <c r="C439">
        <v>2</v>
      </c>
      <c r="D439" s="9">
        <v>2180</v>
      </c>
      <c r="E439" s="9">
        <f>+Tablo3[[#This Row],[Birim Fiyat]]*Tablo3[[#This Row],[Satış Adet]]</f>
        <v>4360</v>
      </c>
      <c r="F439" s="9">
        <v>1360</v>
      </c>
      <c r="G439" t="s">
        <v>60</v>
      </c>
      <c r="H439" t="s">
        <v>14</v>
      </c>
    </row>
    <row r="440" spans="1:8" x14ac:dyDescent="0.25">
      <c r="A440" t="s">
        <v>18</v>
      </c>
      <c r="B440" t="s">
        <v>21</v>
      </c>
      <c r="C440">
        <v>1</v>
      </c>
      <c r="D440" s="9">
        <v>2180</v>
      </c>
      <c r="E440" s="9">
        <f>+Tablo3[[#This Row],[Birim Fiyat]]*Tablo3[[#This Row],[Satış Adet]]</f>
        <v>2180</v>
      </c>
      <c r="F440" s="9">
        <v>680</v>
      </c>
      <c r="G440" t="s">
        <v>60</v>
      </c>
      <c r="H440" t="s">
        <v>35</v>
      </c>
    </row>
    <row r="441" spans="1:8" x14ac:dyDescent="0.25">
      <c r="A441" t="s">
        <v>38</v>
      </c>
      <c r="B441" t="s">
        <v>45</v>
      </c>
      <c r="C441">
        <v>1</v>
      </c>
      <c r="D441" s="9">
        <v>5775</v>
      </c>
      <c r="E441" s="9">
        <f>+Tablo3[[#This Row],[Birim Fiyat]]*Tablo3[[#This Row],[Satış Adet]]</f>
        <v>5775</v>
      </c>
      <c r="F441" s="9">
        <v>1775</v>
      </c>
      <c r="G441" t="s">
        <v>60</v>
      </c>
      <c r="H441" t="s">
        <v>44</v>
      </c>
    </row>
    <row r="442" spans="1:8" x14ac:dyDescent="0.25">
      <c r="A442" t="s">
        <v>38</v>
      </c>
      <c r="B442" t="s">
        <v>26</v>
      </c>
      <c r="C442">
        <v>3</v>
      </c>
      <c r="D442" s="9">
        <v>1100</v>
      </c>
      <c r="E442" s="9">
        <f>+Tablo3[[#This Row],[Birim Fiyat]]*Tablo3[[#This Row],[Satış Adet]]</f>
        <v>3300</v>
      </c>
      <c r="F442" s="9">
        <v>900</v>
      </c>
      <c r="G442" t="s">
        <v>60</v>
      </c>
      <c r="H442" t="s">
        <v>29</v>
      </c>
    </row>
    <row r="443" spans="1:8" x14ac:dyDescent="0.25">
      <c r="A443" t="s">
        <v>46</v>
      </c>
      <c r="B443" t="s">
        <v>45</v>
      </c>
      <c r="C443">
        <v>1</v>
      </c>
      <c r="D443" s="9">
        <v>5775</v>
      </c>
      <c r="E443" s="9">
        <f>+Tablo3[[#This Row],[Birim Fiyat]]*Tablo3[[#This Row],[Satış Adet]]</f>
        <v>5775</v>
      </c>
      <c r="F443" s="9">
        <v>1775</v>
      </c>
      <c r="G443" t="s">
        <v>60</v>
      </c>
      <c r="H443" t="s">
        <v>42</v>
      </c>
    </row>
    <row r="444" spans="1:8" x14ac:dyDescent="0.25">
      <c r="A444" t="s">
        <v>33</v>
      </c>
      <c r="B444" t="s">
        <v>19</v>
      </c>
      <c r="C444">
        <v>1</v>
      </c>
      <c r="D444" s="9">
        <v>1350</v>
      </c>
      <c r="E444" s="9">
        <f>+Tablo3[[#This Row],[Birim Fiyat]]*Tablo3[[#This Row],[Satış Adet]]</f>
        <v>1350</v>
      </c>
      <c r="F444" s="9">
        <v>550</v>
      </c>
      <c r="G444" t="s">
        <v>60</v>
      </c>
      <c r="H444" t="s">
        <v>17</v>
      </c>
    </row>
    <row r="445" spans="1:8" x14ac:dyDescent="0.25">
      <c r="A445" t="s">
        <v>8</v>
      </c>
      <c r="B445" t="s">
        <v>23</v>
      </c>
      <c r="C445">
        <v>3</v>
      </c>
      <c r="D445" s="9">
        <v>7600</v>
      </c>
      <c r="E445" s="9">
        <f>+Tablo3[[#This Row],[Birim Fiyat]]*Tablo3[[#This Row],[Satış Adet]]</f>
        <v>22800</v>
      </c>
      <c r="F445" s="9">
        <v>4800</v>
      </c>
      <c r="G445" t="s">
        <v>60</v>
      </c>
      <c r="H445" t="s">
        <v>42</v>
      </c>
    </row>
    <row r="446" spans="1:8" x14ac:dyDescent="0.25">
      <c r="A446" t="s">
        <v>15</v>
      </c>
      <c r="B446" t="s">
        <v>25</v>
      </c>
      <c r="C446">
        <v>3</v>
      </c>
      <c r="D446" s="9">
        <v>7250</v>
      </c>
      <c r="E446" s="9">
        <f>+Tablo3[[#This Row],[Birim Fiyat]]*Tablo3[[#This Row],[Satış Adet]]</f>
        <v>21750</v>
      </c>
      <c r="F446" s="9">
        <v>6750</v>
      </c>
      <c r="G446" t="s">
        <v>60</v>
      </c>
      <c r="H446" t="s">
        <v>40</v>
      </c>
    </row>
    <row r="447" spans="1:8" x14ac:dyDescent="0.25">
      <c r="A447" t="s">
        <v>48</v>
      </c>
      <c r="B447" t="s">
        <v>41</v>
      </c>
      <c r="C447">
        <v>2</v>
      </c>
      <c r="D447" s="9">
        <v>1490</v>
      </c>
      <c r="E447" s="9">
        <f>+Tablo3[[#This Row],[Birim Fiyat]]*Tablo3[[#This Row],[Satış Adet]]</f>
        <v>2980</v>
      </c>
      <c r="F447" s="9">
        <v>1380</v>
      </c>
      <c r="G447" t="s">
        <v>60</v>
      </c>
      <c r="H447" t="s">
        <v>20</v>
      </c>
    </row>
    <row r="448" spans="1:8" x14ac:dyDescent="0.25">
      <c r="A448" t="s">
        <v>18</v>
      </c>
      <c r="B448" t="s">
        <v>41</v>
      </c>
      <c r="C448">
        <v>2</v>
      </c>
      <c r="D448" s="9">
        <v>1490</v>
      </c>
      <c r="E448" s="9">
        <f>+Tablo3[[#This Row],[Birim Fiyat]]*Tablo3[[#This Row],[Satış Adet]]</f>
        <v>2980</v>
      </c>
      <c r="F448" s="9">
        <v>1380</v>
      </c>
      <c r="G448" t="s">
        <v>60</v>
      </c>
      <c r="H448" t="s">
        <v>35</v>
      </c>
    </row>
    <row r="449" spans="1:8" x14ac:dyDescent="0.25">
      <c r="A449" t="s">
        <v>36</v>
      </c>
      <c r="B449" t="s">
        <v>32</v>
      </c>
      <c r="C449">
        <v>2</v>
      </c>
      <c r="D449" s="9">
        <v>1090</v>
      </c>
      <c r="E449" s="9">
        <f>+Tablo3[[#This Row],[Birim Fiyat]]*Tablo3[[#This Row],[Satış Adet]]</f>
        <v>2180</v>
      </c>
      <c r="F449" s="9">
        <v>580</v>
      </c>
      <c r="G449" t="s">
        <v>60</v>
      </c>
      <c r="H449" t="s">
        <v>27</v>
      </c>
    </row>
    <row r="450" spans="1:8" x14ac:dyDescent="0.25">
      <c r="A450" t="s">
        <v>36</v>
      </c>
      <c r="B450" t="s">
        <v>28</v>
      </c>
      <c r="C450">
        <v>3</v>
      </c>
      <c r="D450" s="9">
        <v>1200</v>
      </c>
      <c r="E450" s="9">
        <f>+Tablo3[[#This Row],[Birim Fiyat]]*Tablo3[[#This Row],[Satış Adet]]</f>
        <v>3600</v>
      </c>
      <c r="F450" s="9">
        <v>1200</v>
      </c>
      <c r="G450" t="s">
        <v>60</v>
      </c>
      <c r="H450" t="s">
        <v>29</v>
      </c>
    </row>
    <row r="451" spans="1:8" x14ac:dyDescent="0.25">
      <c r="A451" t="s">
        <v>48</v>
      </c>
      <c r="B451" t="s">
        <v>32</v>
      </c>
      <c r="C451">
        <v>2</v>
      </c>
      <c r="D451" s="9">
        <v>1090</v>
      </c>
      <c r="E451" s="9">
        <f>+Tablo3[[#This Row],[Birim Fiyat]]*Tablo3[[#This Row],[Satış Adet]]</f>
        <v>2180</v>
      </c>
      <c r="F451" s="9">
        <v>580</v>
      </c>
      <c r="G451" t="s">
        <v>60</v>
      </c>
      <c r="H451" t="s">
        <v>39</v>
      </c>
    </row>
    <row r="452" spans="1:8" x14ac:dyDescent="0.25">
      <c r="A452" t="s">
        <v>48</v>
      </c>
      <c r="B452" t="s">
        <v>21</v>
      </c>
      <c r="C452">
        <v>3</v>
      </c>
      <c r="D452" s="9">
        <v>2180</v>
      </c>
      <c r="E452" s="9">
        <f>+Tablo3[[#This Row],[Birim Fiyat]]*Tablo3[[#This Row],[Satış Adet]]</f>
        <v>6540</v>
      </c>
      <c r="F452" s="9">
        <v>2040</v>
      </c>
      <c r="G452" t="s">
        <v>60</v>
      </c>
      <c r="H452" t="s">
        <v>24</v>
      </c>
    </row>
    <row r="453" spans="1:8" x14ac:dyDescent="0.25">
      <c r="A453" t="s">
        <v>15</v>
      </c>
      <c r="B453" t="s">
        <v>54</v>
      </c>
      <c r="C453">
        <v>3</v>
      </c>
      <c r="D453" s="9">
        <v>5300</v>
      </c>
      <c r="E453" s="9">
        <f>+Tablo3[[#This Row],[Birim Fiyat]]*Tablo3[[#This Row],[Satış Adet]]</f>
        <v>15900</v>
      </c>
      <c r="F453" s="9">
        <v>3900</v>
      </c>
      <c r="G453" t="s">
        <v>60</v>
      </c>
      <c r="H453" t="s">
        <v>29</v>
      </c>
    </row>
    <row r="454" spans="1:8" x14ac:dyDescent="0.25">
      <c r="A454" t="s">
        <v>48</v>
      </c>
      <c r="B454" t="s">
        <v>54</v>
      </c>
      <c r="C454">
        <v>2</v>
      </c>
      <c r="D454" s="9">
        <v>5300</v>
      </c>
      <c r="E454" s="9">
        <f>+Tablo3[[#This Row],[Birim Fiyat]]*Tablo3[[#This Row],[Satış Adet]]</f>
        <v>10600</v>
      </c>
      <c r="F454" s="9">
        <v>2600</v>
      </c>
      <c r="G454" t="s">
        <v>60</v>
      </c>
      <c r="H454" t="s">
        <v>24</v>
      </c>
    </row>
    <row r="455" spans="1:8" x14ac:dyDescent="0.25">
      <c r="A455" t="s">
        <v>67</v>
      </c>
      <c r="B455" t="s">
        <v>25</v>
      </c>
      <c r="C455">
        <v>2</v>
      </c>
      <c r="D455" s="9">
        <v>7250</v>
      </c>
      <c r="E455" s="9">
        <f>+Tablo3[[#This Row],[Birim Fiyat]]*Tablo3[[#This Row],[Satış Adet]]</f>
        <v>14500</v>
      </c>
      <c r="F455" s="9">
        <v>4500</v>
      </c>
      <c r="G455" t="s">
        <v>60</v>
      </c>
      <c r="H455" t="s">
        <v>40</v>
      </c>
    </row>
    <row r="456" spans="1:8" x14ac:dyDescent="0.25">
      <c r="A456" t="s">
        <v>67</v>
      </c>
      <c r="B456" t="s">
        <v>51</v>
      </c>
      <c r="C456">
        <v>3</v>
      </c>
      <c r="D456" s="9">
        <v>1200</v>
      </c>
      <c r="E456" s="9">
        <f>+Tablo3[[#This Row],[Birim Fiyat]]*Tablo3[[#This Row],[Satış Adet]]</f>
        <v>3600</v>
      </c>
      <c r="F456" s="9">
        <v>1200</v>
      </c>
      <c r="G456" t="s">
        <v>60</v>
      </c>
      <c r="H456" t="s">
        <v>40</v>
      </c>
    </row>
    <row r="457" spans="1:8" x14ac:dyDescent="0.25">
      <c r="A457" t="s">
        <v>18</v>
      </c>
      <c r="B457" t="s">
        <v>9</v>
      </c>
      <c r="C457">
        <v>1</v>
      </c>
      <c r="D457" s="9">
        <v>6000</v>
      </c>
      <c r="E457" s="9">
        <f>+Tablo3[[#This Row],[Birim Fiyat]]*Tablo3[[#This Row],[Satış Adet]]</f>
        <v>6000</v>
      </c>
      <c r="F457" s="9">
        <v>2000</v>
      </c>
      <c r="G457" t="s">
        <v>60</v>
      </c>
      <c r="H457" t="s">
        <v>11</v>
      </c>
    </row>
    <row r="458" spans="1:8" x14ac:dyDescent="0.25">
      <c r="A458" t="s">
        <v>15</v>
      </c>
      <c r="B458" t="s">
        <v>16</v>
      </c>
      <c r="C458">
        <v>3</v>
      </c>
      <c r="D458" s="9">
        <v>8450</v>
      </c>
      <c r="E458" s="9">
        <f>+Tablo3[[#This Row],[Birim Fiyat]]*Tablo3[[#This Row],[Satış Adet]]</f>
        <v>25350</v>
      </c>
      <c r="F458" s="9">
        <v>7350</v>
      </c>
      <c r="G458" t="s">
        <v>60</v>
      </c>
      <c r="H458" t="s">
        <v>35</v>
      </c>
    </row>
    <row r="459" spans="1:8" x14ac:dyDescent="0.25">
      <c r="A459" t="s">
        <v>30</v>
      </c>
      <c r="B459" t="s">
        <v>43</v>
      </c>
      <c r="C459">
        <v>1</v>
      </c>
      <c r="D459" s="9">
        <v>4200</v>
      </c>
      <c r="E459" s="9">
        <f>+Tablo3[[#This Row],[Birim Fiyat]]*Tablo3[[#This Row],[Satış Adet]]</f>
        <v>4200</v>
      </c>
      <c r="F459" s="9">
        <v>1200</v>
      </c>
      <c r="G459" t="s">
        <v>60</v>
      </c>
      <c r="H459" t="s">
        <v>24</v>
      </c>
    </row>
    <row r="460" spans="1:8" x14ac:dyDescent="0.25">
      <c r="A460" t="s">
        <v>30</v>
      </c>
      <c r="B460" t="s">
        <v>37</v>
      </c>
      <c r="C460">
        <v>3</v>
      </c>
      <c r="D460" s="9">
        <v>10590</v>
      </c>
      <c r="E460" s="9">
        <f>+Tablo3[[#This Row],[Birim Fiyat]]*Tablo3[[#This Row],[Satış Adet]]</f>
        <v>31770</v>
      </c>
      <c r="F460" s="9">
        <v>13770</v>
      </c>
      <c r="G460" t="s">
        <v>60</v>
      </c>
      <c r="H460" t="s">
        <v>27</v>
      </c>
    </row>
    <row r="461" spans="1:8" x14ac:dyDescent="0.25">
      <c r="A461" t="s">
        <v>67</v>
      </c>
      <c r="B461" t="s">
        <v>51</v>
      </c>
      <c r="C461">
        <v>1</v>
      </c>
      <c r="D461" s="9">
        <v>1200</v>
      </c>
      <c r="E461" s="9">
        <f>+Tablo3[[#This Row],[Birim Fiyat]]*Tablo3[[#This Row],[Satış Adet]]</f>
        <v>1200</v>
      </c>
      <c r="F461" s="9">
        <v>400</v>
      </c>
      <c r="G461" t="s">
        <v>60</v>
      </c>
      <c r="H461" t="s">
        <v>40</v>
      </c>
    </row>
    <row r="462" spans="1:8" x14ac:dyDescent="0.25">
      <c r="A462" t="s">
        <v>46</v>
      </c>
      <c r="B462" t="s">
        <v>26</v>
      </c>
      <c r="C462">
        <v>2</v>
      </c>
      <c r="D462" s="9">
        <v>1100</v>
      </c>
      <c r="E462" s="9">
        <f>+Tablo3[[#This Row],[Birim Fiyat]]*Tablo3[[#This Row],[Satış Adet]]</f>
        <v>2200</v>
      </c>
      <c r="F462" s="9">
        <v>600</v>
      </c>
      <c r="G462" t="s">
        <v>60</v>
      </c>
      <c r="H462" t="s">
        <v>42</v>
      </c>
    </row>
    <row r="463" spans="1:8" x14ac:dyDescent="0.25">
      <c r="A463" t="s">
        <v>38</v>
      </c>
      <c r="B463" t="s">
        <v>56</v>
      </c>
      <c r="C463">
        <v>2</v>
      </c>
      <c r="D463" s="9">
        <v>3700</v>
      </c>
      <c r="E463" s="9">
        <f>+Tablo3[[#This Row],[Birim Fiyat]]*Tablo3[[#This Row],[Satış Adet]]</f>
        <v>7400</v>
      </c>
      <c r="F463" s="9">
        <v>1400</v>
      </c>
      <c r="G463" t="s">
        <v>60</v>
      </c>
      <c r="H463" t="s">
        <v>14</v>
      </c>
    </row>
    <row r="464" spans="1:8" x14ac:dyDescent="0.25">
      <c r="A464" t="s">
        <v>12</v>
      </c>
      <c r="B464" t="s">
        <v>56</v>
      </c>
      <c r="C464">
        <v>1</v>
      </c>
      <c r="D464" s="9">
        <v>3700</v>
      </c>
      <c r="E464" s="9">
        <f>+Tablo3[[#This Row],[Birim Fiyat]]*Tablo3[[#This Row],[Satış Adet]]</f>
        <v>3700</v>
      </c>
      <c r="F464" s="9">
        <v>700</v>
      </c>
      <c r="G464" t="s">
        <v>60</v>
      </c>
      <c r="H464" t="s">
        <v>42</v>
      </c>
    </row>
    <row r="465" spans="1:8" x14ac:dyDescent="0.25">
      <c r="A465" t="s">
        <v>30</v>
      </c>
      <c r="B465" t="s">
        <v>26</v>
      </c>
      <c r="C465">
        <v>3</v>
      </c>
      <c r="D465" s="9">
        <v>1100</v>
      </c>
      <c r="E465" s="9">
        <f>+Tablo3[[#This Row],[Birim Fiyat]]*Tablo3[[#This Row],[Satış Adet]]</f>
        <v>3300</v>
      </c>
      <c r="F465" s="9">
        <v>900</v>
      </c>
      <c r="G465" t="s">
        <v>60</v>
      </c>
      <c r="H465" t="s">
        <v>39</v>
      </c>
    </row>
    <row r="466" spans="1:8" x14ac:dyDescent="0.25">
      <c r="A466" t="s">
        <v>67</v>
      </c>
      <c r="B466" t="s">
        <v>56</v>
      </c>
      <c r="C466">
        <v>1</v>
      </c>
      <c r="D466" s="9">
        <v>3700</v>
      </c>
      <c r="E466" s="9">
        <f>+Tablo3[[#This Row],[Birim Fiyat]]*Tablo3[[#This Row],[Satış Adet]]</f>
        <v>3700</v>
      </c>
      <c r="F466" s="9">
        <v>700</v>
      </c>
      <c r="G466" t="s">
        <v>60</v>
      </c>
      <c r="H466" t="s">
        <v>24</v>
      </c>
    </row>
    <row r="467" spans="1:8" x14ac:dyDescent="0.25">
      <c r="A467" t="s">
        <v>46</v>
      </c>
      <c r="B467" t="s">
        <v>41</v>
      </c>
      <c r="C467">
        <v>1</v>
      </c>
      <c r="D467" s="9">
        <v>1490</v>
      </c>
      <c r="E467" s="9">
        <f>+Tablo3[[#This Row],[Birim Fiyat]]*Tablo3[[#This Row],[Satış Adet]]</f>
        <v>1490</v>
      </c>
      <c r="F467" s="9">
        <v>690</v>
      </c>
      <c r="G467" t="s">
        <v>60</v>
      </c>
      <c r="H467" t="s">
        <v>14</v>
      </c>
    </row>
    <row r="468" spans="1:8" x14ac:dyDescent="0.25">
      <c r="A468" t="s">
        <v>38</v>
      </c>
      <c r="B468" t="s">
        <v>55</v>
      </c>
      <c r="C468">
        <v>1</v>
      </c>
      <c r="D468" s="9">
        <v>1500</v>
      </c>
      <c r="E468" s="9">
        <f>+Tablo3[[#This Row],[Birim Fiyat]]*Tablo3[[#This Row],[Satış Adet]]</f>
        <v>1500</v>
      </c>
      <c r="F468" s="9">
        <v>700</v>
      </c>
      <c r="G468" t="s">
        <v>60</v>
      </c>
      <c r="H468" t="s">
        <v>35</v>
      </c>
    </row>
    <row r="469" spans="1:8" x14ac:dyDescent="0.25">
      <c r="A469" t="s">
        <v>36</v>
      </c>
      <c r="B469" t="s">
        <v>32</v>
      </c>
      <c r="C469">
        <v>2</v>
      </c>
      <c r="D469" s="9">
        <v>1090</v>
      </c>
      <c r="E469" s="9">
        <f>+Tablo3[[#This Row],[Birim Fiyat]]*Tablo3[[#This Row],[Satış Adet]]</f>
        <v>2180</v>
      </c>
      <c r="F469" s="9">
        <v>580</v>
      </c>
      <c r="G469" t="s">
        <v>60</v>
      </c>
      <c r="H469" t="s">
        <v>40</v>
      </c>
    </row>
    <row r="470" spans="1:8" x14ac:dyDescent="0.25">
      <c r="A470" t="s">
        <v>46</v>
      </c>
      <c r="B470" t="s">
        <v>31</v>
      </c>
      <c r="C470">
        <v>3</v>
      </c>
      <c r="D470" s="9">
        <v>1800</v>
      </c>
      <c r="E470" s="9">
        <f>+Tablo3[[#This Row],[Birim Fiyat]]*Tablo3[[#This Row],[Satış Adet]]</f>
        <v>5400</v>
      </c>
      <c r="F470" s="9">
        <v>3000</v>
      </c>
      <c r="G470" t="s">
        <v>60</v>
      </c>
      <c r="H470" t="s">
        <v>17</v>
      </c>
    </row>
    <row r="471" spans="1:8" x14ac:dyDescent="0.25">
      <c r="A471" t="s">
        <v>33</v>
      </c>
      <c r="B471" t="s">
        <v>53</v>
      </c>
      <c r="C471">
        <v>2</v>
      </c>
      <c r="D471" s="9">
        <v>7530</v>
      </c>
      <c r="E471" s="9">
        <f>+Tablo3[[#This Row],[Birim Fiyat]]*Tablo3[[#This Row],[Satış Adet]]</f>
        <v>15060</v>
      </c>
      <c r="F471" s="9">
        <v>3060</v>
      </c>
      <c r="G471" t="s">
        <v>60</v>
      </c>
      <c r="H471" t="s">
        <v>20</v>
      </c>
    </row>
    <row r="472" spans="1:8" x14ac:dyDescent="0.25">
      <c r="A472" t="s">
        <v>30</v>
      </c>
      <c r="B472" t="s">
        <v>26</v>
      </c>
      <c r="C472">
        <v>3</v>
      </c>
      <c r="D472" s="9">
        <v>1100</v>
      </c>
      <c r="E472" s="9">
        <f>+Tablo3[[#This Row],[Birim Fiyat]]*Tablo3[[#This Row],[Satış Adet]]</f>
        <v>3300</v>
      </c>
      <c r="F472" s="9">
        <v>900</v>
      </c>
      <c r="G472" t="s">
        <v>60</v>
      </c>
      <c r="H472" t="s">
        <v>44</v>
      </c>
    </row>
    <row r="473" spans="1:8" x14ac:dyDescent="0.25">
      <c r="A473" t="s">
        <v>38</v>
      </c>
      <c r="B473" t="s">
        <v>19</v>
      </c>
      <c r="C473">
        <v>3</v>
      </c>
      <c r="D473" s="9">
        <v>1350</v>
      </c>
      <c r="E473" s="9">
        <f>+Tablo3[[#This Row],[Birim Fiyat]]*Tablo3[[#This Row],[Satış Adet]]</f>
        <v>4050</v>
      </c>
      <c r="F473" s="9">
        <v>1650</v>
      </c>
      <c r="G473" t="s">
        <v>60</v>
      </c>
      <c r="H473" t="s">
        <v>35</v>
      </c>
    </row>
    <row r="474" spans="1:8" x14ac:dyDescent="0.25">
      <c r="A474" t="s">
        <v>36</v>
      </c>
      <c r="B474" t="s">
        <v>19</v>
      </c>
      <c r="C474">
        <v>1</v>
      </c>
      <c r="D474" s="9">
        <v>1350</v>
      </c>
      <c r="E474" s="9">
        <f>+Tablo3[[#This Row],[Birim Fiyat]]*Tablo3[[#This Row],[Satış Adet]]</f>
        <v>1350</v>
      </c>
      <c r="F474" s="9">
        <v>550</v>
      </c>
      <c r="G474" t="s">
        <v>60</v>
      </c>
      <c r="H474" t="s">
        <v>29</v>
      </c>
    </row>
    <row r="475" spans="1:8" x14ac:dyDescent="0.25">
      <c r="A475" t="s">
        <v>33</v>
      </c>
      <c r="B475" t="s">
        <v>32</v>
      </c>
      <c r="C475">
        <v>2</v>
      </c>
      <c r="D475" s="9">
        <v>1090</v>
      </c>
      <c r="E475" s="9">
        <f>+Tablo3[[#This Row],[Birim Fiyat]]*Tablo3[[#This Row],[Satış Adet]]</f>
        <v>2180</v>
      </c>
      <c r="F475" s="9">
        <v>580</v>
      </c>
      <c r="G475" t="s">
        <v>60</v>
      </c>
      <c r="H475" t="s">
        <v>20</v>
      </c>
    </row>
    <row r="476" spans="1:8" x14ac:dyDescent="0.25">
      <c r="A476" t="s">
        <v>33</v>
      </c>
      <c r="B476" t="s">
        <v>43</v>
      </c>
      <c r="C476">
        <v>1</v>
      </c>
      <c r="D476" s="9">
        <v>4200</v>
      </c>
      <c r="E476" s="9">
        <f>+Tablo3[[#This Row],[Birim Fiyat]]*Tablo3[[#This Row],[Satış Adet]]</f>
        <v>4200</v>
      </c>
      <c r="F476" s="9">
        <v>1200</v>
      </c>
      <c r="G476" t="s">
        <v>60</v>
      </c>
      <c r="H476" t="s">
        <v>11</v>
      </c>
    </row>
    <row r="477" spans="1:8" x14ac:dyDescent="0.25">
      <c r="A477" t="s">
        <v>38</v>
      </c>
      <c r="B477" t="s">
        <v>31</v>
      </c>
      <c r="C477">
        <v>2</v>
      </c>
      <c r="D477" s="9">
        <v>1800</v>
      </c>
      <c r="E477" s="9">
        <f>+Tablo3[[#This Row],[Birim Fiyat]]*Tablo3[[#This Row],[Satış Adet]]</f>
        <v>3600</v>
      </c>
      <c r="F477" s="9">
        <v>2000</v>
      </c>
      <c r="G477" t="s">
        <v>60</v>
      </c>
      <c r="H477" t="s">
        <v>44</v>
      </c>
    </row>
    <row r="478" spans="1:8" x14ac:dyDescent="0.25">
      <c r="A478" t="s">
        <v>48</v>
      </c>
      <c r="B478" t="s">
        <v>32</v>
      </c>
      <c r="C478">
        <v>1</v>
      </c>
      <c r="D478" s="9">
        <v>1090</v>
      </c>
      <c r="E478" s="9">
        <f>+Tablo3[[#This Row],[Birim Fiyat]]*Tablo3[[#This Row],[Satış Adet]]</f>
        <v>1090</v>
      </c>
      <c r="F478" s="9">
        <v>290</v>
      </c>
      <c r="G478" t="s">
        <v>60</v>
      </c>
      <c r="H478" t="s">
        <v>27</v>
      </c>
    </row>
    <row r="479" spans="1:8" x14ac:dyDescent="0.25">
      <c r="A479" t="s">
        <v>8</v>
      </c>
      <c r="B479" t="s">
        <v>23</v>
      </c>
      <c r="C479">
        <v>1</v>
      </c>
      <c r="D479" s="9">
        <v>7600</v>
      </c>
      <c r="E479" s="9">
        <f>+Tablo3[[#This Row],[Birim Fiyat]]*Tablo3[[#This Row],[Satış Adet]]</f>
        <v>7600</v>
      </c>
      <c r="F479" s="9">
        <v>1600</v>
      </c>
      <c r="G479" t="s">
        <v>60</v>
      </c>
      <c r="H479" t="s">
        <v>24</v>
      </c>
    </row>
    <row r="480" spans="1:8" x14ac:dyDescent="0.25">
      <c r="A480" t="s">
        <v>36</v>
      </c>
      <c r="B480" t="s">
        <v>23</v>
      </c>
      <c r="C480">
        <v>3</v>
      </c>
      <c r="D480" s="9">
        <v>7600</v>
      </c>
      <c r="E480" s="9">
        <f>+Tablo3[[#This Row],[Birim Fiyat]]*Tablo3[[#This Row],[Satış Adet]]</f>
        <v>22800</v>
      </c>
      <c r="F480" s="9">
        <v>4800</v>
      </c>
      <c r="G480" t="s">
        <v>60</v>
      </c>
      <c r="H480" t="s">
        <v>14</v>
      </c>
    </row>
    <row r="481" spans="1:8" x14ac:dyDescent="0.25">
      <c r="A481" t="s">
        <v>15</v>
      </c>
      <c r="B481" t="s">
        <v>56</v>
      </c>
      <c r="C481">
        <v>1</v>
      </c>
      <c r="D481" s="9">
        <v>3700</v>
      </c>
      <c r="E481" s="9">
        <f>+Tablo3[[#This Row],[Birim Fiyat]]*Tablo3[[#This Row],[Satış Adet]]</f>
        <v>3700</v>
      </c>
      <c r="F481" s="9">
        <v>700</v>
      </c>
      <c r="G481" t="s">
        <v>60</v>
      </c>
      <c r="H481" t="s">
        <v>35</v>
      </c>
    </row>
    <row r="482" spans="1:8" x14ac:dyDescent="0.25">
      <c r="A482" t="s">
        <v>22</v>
      </c>
      <c r="B482" t="s">
        <v>25</v>
      </c>
      <c r="C482">
        <v>3</v>
      </c>
      <c r="D482" s="9">
        <v>7250</v>
      </c>
      <c r="E482" s="9">
        <f>+Tablo3[[#This Row],[Birim Fiyat]]*Tablo3[[#This Row],[Satış Adet]]</f>
        <v>21750</v>
      </c>
      <c r="F482" s="9">
        <v>6750</v>
      </c>
      <c r="G482" t="s">
        <v>60</v>
      </c>
      <c r="H482" t="s">
        <v>39</v>
      </c>
    </row>
    <row r="483" spans="1:8" x14ac:dyDescent="0.25">
      <c r="A483" t="s">
        <v>12</v>
      </c>
      <c r="B483" t="s">
        <v>23</v>
      </c>
      <c r="C483">
        <v>3</v>
      </c>
      <c r="D483" s="9">
        <v>7600</v>
      </c>
      <c r="E483" s="9">
        <f>+Tablo3[[#This Row],[Birim Fiyat]]*Tablo3[[#This Row],[Satış Adet]]</f>
        <v>22800</v>
      </c>
      <c r="F483" s="9">
        <v>4800</v>
      </c>
      <c r="G483" t="s">
        <v>60</v>
      </c>
      <c r="H483" t="s">
        <v>39</v>
      </c>
    </row>
    <row r="484" spans="1:8" x14ac:dyDescent="0.25">
      <c r="A484" t="s">
        <v>46</v>
      </c>
      <c r="B484" t="s">
        <v>43</v>
      </c>
      <c r="C484">
        <v>1</v>
      </c>
      <c r="D484" s="9">
        <v>4200</v>
      </c>
      <c r="E484" s="9">
        <f>+Tablo3[[#This Row],[Birim Fiyat]]*Tablo3[[#This Row],[Satış Adet]]</f>
        <v>4200</v>
      </c>
      <c r="F484" s="9">
        <v>1200</v>
      </c>
      <c r="G484" t="s">
        <v>60</v>
      </c>
      <c r="H484" t="s">
        <v>17</v>
      </c>
    </row>
    <row r="485" spans="1:8" x14ac:dyDescent="0.25">
      <c r="A485" t="s">
        <v>30</v>
      </c>
      <c r="B485" t="s">
        <v>50</v>
      </c>
      <c r="C485">
        <v>3</v>
      </c>
      <c r="D485" s="9">
        <v>1250</v>
      </c>
      <c r="E485" s="9">
        <f>+Tablo3[[#This Row],[Birim Fiyat]]*Tablo3[[#This Row],[Satış Adet]]</f>
        <v>3750</v>
      </c>
      <c r="F485" s="9">
        <v>1350</v>
      </c>
      <c r="G485" t="s">
        <v>60</v>
      </c>
      <c r="H485" t="s">
        <v>24</v>
      </c>
    </row>
    <row r="486" spans="1:8" x14ac:dyDescent="0.25">
      <c r="A486" t="s">
        <v>36</v>
      </c>
      <c r="B486" t="s">
        <v>32</v>
      </c>
      <c r="C486">
        <v>1</v>
      </c>
      <c r="D486" s="9">
        <v>1090</v>
      </c>
      <c r="E486" s="9">
        <f>+Tablo3[[#This Row],[Birim Fiyat]]*Tablo3[[#This Row],[Satış Adet]]</f>
        <v>1090</v>
      </c>
      <c r="F486" s="9">
        <v>290</v>
      </c>
      <c r="G486" t="s">
        <v>60</v>
      </c>
      <c r="H486" t="s">
        <v>42</v>
      </c>
    </row>
    <row r="487" spans="1:8" x14ac:dyDescent="0.25">
      <c r="A487" t="s">
        <v>18</v>
      </c>
      <c r="B487" t="s">
        <v>21</v>
      </c>
      <c r="C487">
        <v>1</v>
      </c>
      <c r="D487" s="9">
        <v>2180</v>
      </c>
      <c r="E487" s="9">
        <f>+Tablo3[[#This Row],[Birim Fiyat]]*Tablo3[[#This Row],[Satış Adet]]</f>
        <v>2180</v>
      </c>
      <c r="F487" s="9">
        <v>680</v>
      </c>
      <c r="G487" t="s">
        <v>60</v>
      </c>
      <c r="H487" t="s">
        <v>52</v>
      </c>
    </row>
    <row r="488" spans="1:8" x14ac:dyDescent="0.25">
      <c r="A488" t="s">
        <v>48</v>
      </c>
      <c r="B488" t="s">
        <v>56</v>
      </c>
      <c r="C488">
        <v>2</v>
      </c>
      <c r="D488" s="9">
        <v>3700</v>
      </c>
      <c r="E488" s="9">
        <f>+Tablo3[[#This Row],[Birim Fiyat]]*Tablo3[[#This Row],[Satış Adet]]</f>
        <v>7400</v>
      </c>
      <c r="F488" s="9">
        <v>1400</v>
      </c>
      <c r="G488" t="s">
        <v>60</v>
      </c>
      <c r="H488" t="s">
        <v>20</v>
      </c>
    </row>
    <row r="489" spans="1:8" x14ac:dyDescent="0.25">
      <c r="A489" t="s">
        <v>38</v>
      </c>
      <c r="B489" t="s">
        <v>9</v>
      </c>
      <c r="C489">
        <v>2</v>
      </c>
      <c r="D489" s="9">
        <v>6000</v>
      </c>
      <c r="E489" s="9">
        <f>+Tablo3[[#This Row],[Birim Fiyat]]*Tablo3[[#This Row],[Satış Adet]]</f>
        <v>12000</v>
      </c>
      <c r="F489" s="9">
        <v>4000</v>
      </c>
      <c r="G489" t="s">
        <v>60</v>
      </c>
      <c r="H489" t="s">
        <v>52</v>
      </c>
    </row>
    <row r="490" spans="1:8" x14ac:dyDescent="0.25">
      <c r="A490" t="s">
        <v>46</v>
      </c>
      <c r="B490" t="s">
        <v>50</v>
      </c>
      <c r="C490">
        <v>2</v>
      </c>
      <c r="D490" s="9">
        <v>1250</v>
      </c>
      <c r="E490" s="9">
        <f>+Tablo3[[#This Row],[Birim Fiyat]]*Tablo3[[#This Row],[Satış Adet]]</f>
        <v>2500</v>
      </c>
      <c r="F490" s="9">
        <v>900</v>
      </c>
      <c r="G490" t="s">
        <v>60</v>
      </c>
      <c r="H490" t="s">
        <v>24</v>
      </c>
    </row>
    <row r="491" spans="1:8" x14ac:dyDescent="0.25">
      <c r="A491" t="s">
        <v>48</v>
      </c>
      <c r="B491" t="s">
        <v>23</v>
      </c>
      <c r="C491">
        <v>1</v>
      </c>
      <c r="D491" s="9">
        <v>7600</v>
      </c>
      <c r="E491" s="9">
        <f>+Tablo3[[#This Row],[Birim Fiyat]]*Tablo3[[#This Row],[Satış Adet]]</f>
        <v>7600</v>
      </c>
      <c r="F491" s="9">
        <v>1600</v>
      </c>
      <c r="G491" t="s">
        <v>60</v>
      </c>
      <c r="H491" t="s">
        <v>52</v>
      </c>
    </row>
    <row r="492" spans="1:8" x14ac:dyDescent="0.25">
      <c r="A492" t="s">
        <v>8</v>
      </c>
      <c r="B492" t="s">
        <v>13</v>
      </c>
      <c r="C492">
        <v>2</v>
      </c>
      <c r="D492" s="9">
        <v>1400</v>
      </c>
      <c r="E492" s="9">
        <f>+Tablo3[[#This Row],[Birim Fiyat]]*Tablo3[[#This Row],[Satış Adet]]</f>
        <v>2800</v>
      </c>
      <c r="F492" s="9">
        <v>1200</v>
      </c>
      <c r="G492" t="s">
        <v>60</v>
      </c>
      <c r="H492" t="s">
        <v>39</v>
      </c>
    </row>
    <row r="493" spans="1:8" x14ac:dyDescent="0.25">
      <c r="A493" t="s">
        <v>22</v>
      </c>
      <c r="B493" t="s">
        <v>21</v>
      </c>
      <c r="C493">
        <v>2</v>
      </c>
      <c r="D493" s="9">
        <v>2180</v>
      </c>
      <c r="E493" s="9">
        <f>+Tablo3[[#This Row],[Birim Fiyat]]*Tablo3[[#This Row],[Satış Adet]]</f>
        <v>4360</v>
      </c>
      <c r="F493" s="9">
        <v>1360</v>
      </c>
      <c r="G493" t="s">
        <v>60</v>
      </c>
      <c r="H493" t="s">
        <v>39</v>
      </c>
    </row>
    <row r="494" spans="1:8" x14ac:dyDescent="0.25">
      <c r="A494" t="s">
        <v>8</v>
      </c>
      <c r="B494" t="s">
        <v>31</v>
      </c>
      <c r="C494">
        <v>3</v>
      </c>
      <c r="D494" s="9">
        <v>1800</v>
      </c>
      <c r="E494" s="9">
        <f>+Tablo3[[#This Row],[Birim Fiyat]]*Tablo3[[#This Row],[Satış Adet]]</f>
        <v>5400</v>
      </c>
      <c r="F494" s="9">
        <v>3000</v>
      </c>
      <c r="G494" t="s">
        <v>60</v>
      </c>
      <c r="H494" t="s">
        <v>20</v>
      </c>
    </row>
    <row r="495" spans="1:8" x14ac:dyDescent="0.25">
      <c r="A495" t="s">
        <v>15</v>
      </c>
      <c r="B495" t="s">
        <v>55</v>
      </c>
      <c r="C495">
        <v>1</v>
      </c>
      <c r="D495" s="9">
        <v>1500</v>
      </c>
      <c r="E495" s="9">
        <f>+Tablo3[[#This Row],[Birim Fiyat]]*Tablo3[[#This Row],[Satış Adet]]</f>
        <v>1500</v>
      </c>
      <c r="F495" s="9">
        <v>700</v>
      </c>
      <c r="G495" t="s">
        <v>60</v>
      </c>
      <c r="H495" t="s">
        <v>29</v>
      </c>
    </row>
    <row r="496" spans="1:8" x14ac:dyDescent="0.25">
      <c r="A496" t="s">
        <v>30</v>
      </c>
      <c r="B496" t="s">
        <v>16</v>
      </c>
      <c r="C496">
        <v>3</v>
      </c>
      <c r="D496" s="9">
        <v>8450</v>
      </c>
      <c r="E496" s="9">
        <f>+Tablo3[[#This Row],[Birim Fiyat]]*Tablo3[[#This Row],[Satış Adet]]</f>
        <v>25350</v>
      </c>
      <c r="F496" s="9">
        <v>7350</v>
      </c>
      <c r="G496" t="s">
        <v>60</v>
      </c>
      <c r="H496" t="s">
        <v>42</v>
      </c>
    </row>
    <row r="497" spans="1:8" x14ac:dyDescent="0.25">
      <c r="A497" t="s">
        <v>38</v>
      </c>
      <c r="B497" t="s">
        <v>55</v>
      </c>
      <c r="C497">
        <v>3</v>
      </c>
      <c r="D497" s="9">
        <v>1500</v>
      </c>
      <c r="E497" s="9">
        <f>+Tablo3[[#This Row],[Birim Fiyat]]*Tablo3[[#This Row],[Satış Adet]]</f>
        <v>4500</v>
      </c>
      <c r="F497" s="9">
        <v>2100</v>
      </c>
      <c r="G497" t="s">
        <v>60</v>
      </c>
      <c r="H497" t="s">
        <v>29</v>
      </c>
    </row>
    <row r="498" spans="1:8" x14ac:dyDescent="0.25">
      <c r="A498" t="s">
        <v>67</v>
      </c>
      <c r="B498" t="s">
        <v>9</v>
      </c>
      <c r="C498">
        <v>3</v>
      </c>
      <c r="D498" s="9">
        <v>6000</v>
      </c>
      <c r="E498" s="9">
        <f>+Tablo3[[#This Row],[Birim Fiyat]]*Tablo3[[#This Row],[Satış Adet]]</f>
        <v>18000</v>
      </c>
      <c r="F498" s="9">
        <v>6000</v>
      </c>
      <c r="G498" t="s">
        <v>60</v>
      </c>
      <c r="H498" t="s">
        <v>27</v>
      </c>
    </row>
    <row r="499" spans="1:8" x14ac:dyDescent="0.25">
      <c r="A499" t="s">
        <v>48</v>
      </c>
      <c r="B499" t="s">
        <v>51</v>
      </c>
      <c r="C499">
        <v>1</v>
      </c>
      <c r="D499" s="9">
        <v>1200</v>
      </c>
      <c r="E499" s="9">
        <f>+Tablo3[[#This Row],[Birim Fiyat]]*Tablo3[[#This Row],[Satış Adet]]</f>
        <v>1200</v>
      </c>
      <c r="F499" s="9">
        <v>400</v>
      </c>
      <c r="G499" t="s">
        <v>60</v>
      </c>
      <c r="H499" t="s">
        <v>35</v>
      </c>
    </row>
    <row r="500" spans="1:8" x14ac:dyDescent="0.25">
      <c r="A500" t="s">
        <v>8</v>
      </c>
      <c r="B500" t="s">
        <v>43</v>
      </c>
      <c r="C500">
        <v>3</v>
      </c>
      <c r="D500" s="9">
        <v>4200</v>
      </c>
      <c r="E500" s="9">
        <f>+Tablo3[[#This Row],[Birim Fiyat]]*Tablo3[[#This Row],[Satış Adet]]</f>
        <v>12600</v>
      </c>
      <c r="F500" s="9">
        <v>3600</v>
      </c>
      <c r="G500" t="s">
        <v>60</v>
      </c>
      <c r="H500" t="s">
        <v>42</v>
      </c>
    </row>
    <row r="501" spans="1:8" x14ac:dyDescent="0.25">
      <c r="A501" t="s">
        <v>46</v>
      </c>
      <c r="B501" t="s">
        <v>23</v>
      </c>
      <c r="C501">
        <v>3</v>
      </c>
      <c r="D501" s="9">
        <v>7600</v>
      </c>
      <c r="E501" s="9">
        <f>+Tablo3[[#This Row],[Birim Fiyat]]*Tablo3[[#This Row],[Satış Adet]]</f>
        <v>22800</v>
      </c>
      <c r="F501" s="9">
        <v>4800</v>
      </c>
      <c r="G501" t="s">
        <v>60</v>
      </c>
      <c r="H501" t="s">
        <v>39</v>
      </c>
    </row>
    <row r="502" spans="1:8" x14ac:dyDescent="0.25">
      <c r="A502" t="s">
        <v>67</v>
      </c>
      <c r="B502" t="s">
        <v>25</v>
      </c>
      <c r="C502">
        <v>2</v>
      </c>
      <c r="D502" s="9">
        <v>7250</v>
      </c>
      <c r="E502" s="9">
        <f>+Tablo3[[#This Row],[Birim Fiyat]]*Tablo3[[#This Row],[Satış Adet]]</f>
        <v>14500</v>
      </c>
      <c r="F502" s="9">
        <v>4500</v>
      </c>
      <c r="G502" t="s">
        <v>60</v>
      </c>
      <c r="H502" t="s">
        <v>24</v>
      </c>
    </row>
    <row r="503" spans="1:8" x14ac:dyDescent="0.25">
      <c r="A503" t="s">
        <v>12</v>
      </c>
      <c r="B503" t="s">
        <v>53</v>
      </c>
      <c r="C503">
        <v>2</v>
      </c>
      <c r="D503" s="9">
        <v>7530</v>
      </c>
      <c r="E503" s="9">
        <f>+Tablo3[[#This Row],[Birim Fiyat]]*Tablo3[[#This Row],[Satış Adet]]</f>
        <v>15060</v>
      </c>
      <c r="F503" s="9">
        <v>3060</v>
      </c>
      <c r="G503" t="s">
        <v>60</v>
      </c>
      <c r="H503" t="s">
        <v>17</v>
      </c>
    </row>
    <row r="504" spans="1:8" x14ac:dyDescent="0.25">
      <c r="A504" t="s">
        <v>15</v>
      </c>
      <c r="B504" t="s">
        <v>25</v>
      </c>
      <c r="C504">
        <v>2</v>
      </c>
      <c r="D504" s="9">
        <v>7250</v>
      </c>
      <c r="E504" s="9">
        <f>+Tablo3[[#This Row],[Birim Fiyat]]*Tablo3[[#This Row],[Satış Adet]]</f>
        <v>14500</v>
      </c>
      <c r="F504" s="9">
        <v>4500</v>
      </c>
      <c r="G504" t="s">
        <v>60</v>
      </c>
      <c r="H504" t="s">
        <v>24</v>
      </c>
    </row>
    <row r="505" spans="1:8" x14ac:dyDescent="0.25">
      <c r="A505" t="s">
        <v>12</v>
      </c>
      <c r="B505" t="s">
        <v>9</v>
      </c>
      <c r="C505">
        <v>1</v>
      </c>
      <c r="D505" s="9">
        <v>6000</v>
      </c>
      <c r="E505" s="9">
        <f>+Tablo3[[#This Row],[Birim Fiyat]]*Tablo3[[#This Row],[Satış Adet]]</f>
        <v>6000</v>
      </c>
      <c r="F505" s="9">
        <v>2000</v>
      </c>
      <c r="G505" t="s">
        <v>60</v>
      </c>
      <c r="H505" t="s">
        <v>42</v>
      </c>
    </row>
    <row r="506" spans="1:8" x14ac:dyDescent="0.25">
      <c r="A506" t="s">
        <v>67</v>
      </c>
      <c r="B506" t="s">
        <v>51</v>
      </c>
      <c r="C506">
        <v>3</v>
      </c>
      <c r="D506" s="9">
        <v>1200</v>
      </c>
      <c r="E506" s="9">
        <f>+Tablo3[[#This Row],[Birim Fiyat]]*Tablo3[[#This Row],[Satış Adet]]</f>
        <v>3600</v>
      </c>
      <c r="F506" s="9">
        <v>1200</v>
      </c>
      <c r="G506" t="s">
        <v>60</v>
      </c>
      <c r="H506" t="s">
        <v>42</v>
      </c>
    </row>
    <row r="507" spans="1:8" x14ac:dyDescent="0.25">
      <c r="A507" t="s">
        <v>48</v>
      </c>
      <c r="B507" t="s">
        <v>54</v>
      </c>
      <c r="C507">
        <v>2</v>
      </c>
      <c r="D507" s="9">
        <v>5300</v>
      </c>
      <c r="E507" s="9">
        <f>+Tablo3[[#This Row],[Birim Fiyat]]*Tablo3[[#This Row],[Satış Adet]]</f>
        <v>10600</v>
      </c>
      <c r="F507" s="9">
        <v>2600</v>
      </c>
      <c r="G507" t="s">
        <v>60</v>
      </c>
      <c r="H507" t="s">
        <v>52</v>
      </c>
    </row>
    <row r="508" spans="1:8" x14ac:dyDescent="0.25">
      <c r="A508" t="s">
        <v>36</v>
      </c>
      <c r="B508" t="s">
        <v>16</v>
      </c>
      <c r="C508">
        <v>2</v>
      </c>
      <c r="D508" s="9">
        <v>8450</v>
      </c>
      <c r="E508" s="9">
        <f>+Tablo3[[#This Row],[Birim Fiyat]]*Tablo3[[#This Row],[Satış Adet]]</f>
        <v>16900</v>
      </c>
      <c r="F508" s="9">
        <v>4900</v>
      </c>
      <c r="G508" t="s">
        <v>60</v>
      </c>
      <c r="H508" t="s">
        <v>20</v>
      </c>
    </row>
    <row r="509" spans="1:8" x14ac:dyDescent="0.25">
      <c r="A509" t="s">
        <v>22</v>
      </c>
      <c r="B509" t="s">
        <v>19</v>
      </c>
      <c r="C509">
        <v>1</v>
      </c>
      <c r="D509" s="9">
        <v>1350</v>
      </c>
      <c r="E509" s="9">
        <f>+Tablo3[[#This Row],[Birim Fiyat]]*Tablo3[[#This Row],[Satış Adet]]</f>
        <v>1350</v>
      </c>
      <c r="F509" s="9">
        <v>550</v>
      </c>
      <c r="G509" t="s">
        <v>60</v>
      </c>
      <c r="H509" t="s">
        <v>24</v>
      </c>
    </row>
    <row r="510" spans="1:8" x14ac:dyDescent="0.25">
      <c r="A510" t="s">
        <v>30</v>
      </c>
      <c r="B510" t="s">
        <v>32</v>
      </c>
      <c r="C510">
        <v>1</v>
      </c>
      <c r="D510" s="9">
        <v>1090</v>
      </c>
      <c r="E510" s="9">
        <f>+Tablo3[[#This Row],[Birim Fiyat]]*Tablo3[[#This Row],[Satış Adet]]</f>
        <v>1090</v>
      </c>
      <c r="F510" s="9">
        <v>290</v>
      </c>
      <c r="G510" t="s">
        <v>60</v>
      </c>
      <c r="H510" t="s">
        <v>11</v>
      </c>
    </row>
    <row r="511" spans="1:8" x14ac:dyDescent="0.25">
      <c r="A511" t="s">
        <v>22</v>
      </c>
      <c r="B511" t="s">
        <v>21</v>
      </c>
      <c r="C511">
        <v>1</v>
      </c>
      <c r="D511" s="9">
        <v>2180</v>
      </c>
      <c r="E511" s="9">
        <f>+Tablo3[[#This Row],[Birim Fiyat]]*Tablo3[[#This Row],[Satış Adet]]</f>
        <v>2180</v>
      </c>
      <c r="F511" s="9">
        <v>680</v>
      </c>
      <c r="G511" t="s">
        <v>60</v>
      </c>
      <c r="H511" t="s">
        <v>35</v>
      </c>
    </row>
    <row r="512" spans="1:8" x14ac:dyDescent="0.25">
      <c r="A512" t="s">
        <v>12</v>
      </c>
      <c r="B512" t="s">
        <v>56</v>
      </c>
      <c r="C512">
        <v>1</v>
      </c>
      <c r="D512" s="9">
        <v>3700</v>
      </c>
      <c r="E512" s="9">
        <f>+Tablo3[[#This Row],[Birim Fiyat]]*Tablo3[[#This Row],[Satış Adet]]</f>
        <v>3700</v>
      </c>
      <c r="F512" s="9">
        <v>700</v>
      </c>
      <c r="G512" t="s">
        <v>60</v>
      </c>
      <c r="H512" t="s">
        <v>52</v>
      </c>
    </row>
    <row r="513" spans="1:8" x14ac:dyDescent="0.25">
      <c r="A513" t="s">
        <v>30</v>
      </c>
      <c r="B513" t="s">
        <v>26</v>
      </c>
      <c r="C513">
        <v>3</v>
      </c>
      <c r="D513" s="9">
        <v>1100</v>
      </c>
      <c r="E513" s="9">
        <f>+Tablo3[[#This Row],[Birim Fiyat]]*Tablo3[[#This Row],[Satış Adet]]</f>
        <v>3300</v>
      </c>
      <c r="F513" s="9">
        <v>900</v>
      </c>
      <c r="G513" t="s">
        <v>60</v>
      </c>
      <c r="H513" t="s">
        <v>42</v>
      </c>
    </row>
    <row r="514" spans="1:8" x14ac:dyDescent="0.25">
      <c r="A514" t="s">
        <v>67</v>
      </c>
      <c r="B514" t="s">
        <v>56</v>
      </c>
      <c r="C514">
        <v>1</v>
      </c>
      <c r="D514" s="9">
        <v>3700</v>
      </c>
      <c r="E514" s="9">
        <f>+Tablo3[[#This Row],[Birim Fiyat]]*Tablo3[[#This Row],[Satış Adet]]</f>
        <v>3700</v>
      </c>
      <c r="F514" s="9">
        <v>700</v>
      </c>
      <c r="G514" t="s">
        <v>60</v>
      </c>
      <c r="H514" t="s">
        <v>14</v>
      </c>
    </row>
    <row r="515" spans="1:8" x14ac:dyDescent="0.25">
      <c r="A515" t="s">
        <v>46</v>
      </c>
      <c r="B515" t="s">
        <v>41</v>
      </c>
      <c r="C515">
        <v>1</v>
      </c>
      <c r="D515" s="9">
        <v>1490</v>
      </c>
      <c r="E515" s="9">
        <f>+Tablo3[[#This Row],[Birim Fiyat]]*Tablo3[[#This Row],[Satış Adet]]</f>
        <v>1490</v>
      </c>
      <c r="F515" s="9">
        <v>690</v>
      </c>
      <c r="G515" t="s">
        <v>60</v>
      </c>
      <c r="H515" t="s">
        <v>20</v>
      </c>
    </row>
    <row r="516" spans="1:8" x14ac:dyDescent="0.25">
      <c r="A516" t="s">
        <v>38</v>
      </c>
      <c r="B516" t="s">
        <v>55</v>
      </c>
      <c r="C516">
        <v>1</v>
      </c>
      <c r="D516" s="9">
        <v>1500</v>
      </c>
      <c r="E516" s="9">
        <f>+Tablo3[[#This Row],[Birim Fiyat]]*Tablo3[[#This Row],[Satış Adet]]</f>
        <v>1500</v>
      </c>
      <c r="F516" s="9">
        <v>700</v>
      </c>
      <c r="G516" t="s">
        <v>60</v>
      </c>
      <c r="H516" t="s">
        <v>20</v>
      </c>
    </row>
    <row r="517" spans="1:8" x14ac:dyDescent="0.25">
      <c r="A517" t="s">
        <v>36</v>
      </c>
      <c r="B517" t="s">
        <v>32</v>
      </c>
      <c r="C517">
        <v>2</v>
      </c>
      <c r="D517" s="9">
        <v>1090</v>
      </c>
      <c r="E517" s="9">
        <f>+Tablo3[[#This Row],[Birim Fiyat]]*Tablo3[[#This Row],[Satış Adet]]</f>
        <v>2180</v>
      </c>
      <c r="F517" s="9">
        <v>580</v>
      </c>
      <c r="G517" t="s">
        <v>60</v>
      </c>
      <c r="H517" t="s">
        <v>52</v>
      </c>
    </row>
    <row r="518" spans="1:8" x14ac:dyDescent="0.25">
      <c r="A518" t="s">
        <v>46</v>
      </c>
      <c r="B518" t="s">
        <v>31</v>
      </c>
      <c r="C518">
        <v>3</v>
      </c>
      <c r="D518" s="9">
        <v>1800</v>
      </c>
      <c r="E518" s="9">
        <f>+Tablo3[[#This Row],[Birim Fiyat]]*Tablo3[[#This Row],[Satış Adet]]</f>
        <v>5400</v>
      </c>
      <c r="F518" s="9">
        <v>3000</v>
      </c>
      <c r="G518" t="s">
        <v>60</v>
      </c>
      <c r="H518" t="s">
        <v>39</v>
      </c>
    </row>
    <row r="519" spans="1:8" x14ac:dyDescent="0.25">
      <c r="A519" t="s">
        <v>33</v>
      </c>
      <c r="B519" t="s">
        <v>53</v>
      </c>
      <c r="C519">
        <v>2</v>
      </c>
      <c r="D519" s="9">
        <v>7530</v>
      </c>
      <c r="E519" s="9">
        <f>+Tablo3[[#This Row],[Birim Fiyat]]*Tablo3[[#This Row],[Satış Adet]]</f>
        <v>15060</v>
      </c>
      <c r="F519" s="9">
        <v>3060</v>
      </c>
      <c r="G519" t="s">
        <v>60</v>
      </c>
      <c r="H519" t="s">
        <v>29</v>
      </c>
    </row>
    <row r="520" spans="1:8" x14ac:dyDescent="0.25">
      <c r="A520" t="s">
        <v>30</v>
      </c>
      <c r="B520" t="s">
        <v>26</v>
      </c>
      <c r="C520">
        <v>3</v>
      </c>
      <c r="D520" s="9">
        <v>1100</v>
      </c>
      <c r="E520" s="9">
        <f>+Tablo3[[#This Row],[Birim Fiyat]]*Tablo3[[#This Row],[Satış Adet]]</f>
        <v>3300</v>
      </c>
      <c r="F520" s="9">
        <v>900</v>
      </c>
      <c r="G520" t="s">
        <v>60</v>
      </c>
      <c r="H520" t="s">
        <v>29</v>
      </c>
    </row>
    <row r="521" spans="1:8" x14ac:dyDescent="0.25">
      <c r="A521" t="s">
        <v>38</v>
      </c>
      <c r="B521" t="s">
        <v>19</v>
      </c>
      <c r="C521">
        <v>3</v>
      </c>
      <c r="D521" s="9">
        <v>1350</v>
      </c>
      <c r="E521" s="9">
        <f>+Tablo3[[#This Row],[Birim Fiyat]]*Tablo3[[#This Row],[Satış Adet]]</f>
        <v>4050</v>
      </c>
      <c r="F521" s="9">
        <v>1650</v>
      </c>
      <c r="G521" t="s">
        <v>60</v>
      </c>
      <c r="H521" t="s">
        <v>14</v>
      </c>
    </row>
    <row r="522" spans="1:8" x14ac:dyDescent="0.25">
      <c r="A522" t="s">
        <v>36</v>
      </c>
      <c r="B522" t="s">
        <v>19</v>
      </c>
      <c r="C522">
        <v>1</v>
      </c>
      <c r="D522" s="9">
        <v>1350</v>
      </c>
      <c r="E522" s="9">
        <f>+Tablo3[[#This Row],[Birim Fiyat]]*Tablo3[[#This Row],[Satış Adet]]</f>
        <v>1350</v>
      </c>
      <c r="F522" s="9">
        <v>550</v>
      </c>
      <c r="G522" t="s">
        <v>60</v>
      </c>
      <c r="H522" t="s">
        <v>35</v>
      </c>
    </row>
    <row r="523" spans="1:8" x14ac:dyDescent="0.25">
      <c r="A523" t="s">
        <v>33</v>
      </c>
      <c r="B523" t="s">
        <v>32</v>
      </c>
      <c r="C523">
        <v>2</v>
      </c>
      <c r="D523" s="9">
        <v>1090</v>
      </c>
      <c r="E523" s="9">
        <f>+Tablo3[[#This Row],[Birim Fiyat]]*Tablo3[[#This Row],[Satış Adet]]</f>
        <v>2180</v>
      </c>
      <c r="F523" s="9">
        <v>580</v>
      </c>
      <c r="G523" t="s">
        <v>60</v>
      </c>
      <c r="H523" t="s">
        <v>11</v>
      </c>
    </row>
    <row r="524" spans="1:8" x14ac:dyDescent="0.25">
      <c r="A524" t="s">
        <v>33</v>
      </c>
      <c r="B524" t="s">
        <v>43</v>
      </c>
      <c r="C524">
        <v>1</v>
      </c>
      <c r="D524" s="9">
        <v>4200</v>
      </c>
      <c r="E524" s="9">
        <f>+Tablo3[[#This Row],[Birim Fiyat]]*Tablo3[[#This Row],[Satış Adet]]</f>
        <v>4200</v>
      </c>
      <c r="F524" s="9">
        <v>1200</v>
      </c>
      <c r="G524" t="s">
        <v>60</v>
      </c>
      <c r="H524" t="s">
        <v>29</v>
      </c>
    </row>
    <row r="525" spans="1:8" x14ac:dyDescent="0.25">
      <c r="A525" t="s">
        <v>38</v>
      </c>
      <c r="B525" t="s">
        <v>31</v>
      </c>
      <c r="C525">
        <v>2</v>
      </c>
      <c r="D525" s="9">
        <v>1800</v>
      </c>
      <c r="E525" s="9">
        <f>+Tablo3[[#This Row],[Birim Fiyat]]*Tablo3[[#This Row],[Satış Adet]]</f>
        <v>3600</v>
      </c>
      <c r="F525" s="9">
        <v>2000</v>
      </c>
      <c r="G525" t="s">
        <v>60</v>
      </c>
      <c r="H525" t="s">
        <v>11</v>
      </c>
    </row>
    <row r="526" spans="1:8" x14ac:dyDescent="0.25">
      <c r="A526" t="s">
        <v>48</v>
      </c>
      <c r="B526" t="s">
        <v>32</v>
      </c>
      <c r="C526">
        <v>1</v>
      </c>
      <c r="D526" s="9">
        <v>1090</v>
      </c>
      <c r="E526" s="9">
        <f>+Tablo3[[#This Row],[Birim Fiyat]]*Tablo3[[#This Row],[Satış Adet]]</f>
        <v>1090</v>
      </c>
      <c r="F526" s="9">
        <v>290</v>
      </c>
      <c r="G526" t="s">
        <v>60</v>
      </c>
      <c r="H526" t="s">
        <v>52</v>
      </c>
    </row>
    <row r="527" spans="1:8" x14ac:dyDescent="0.25">
      <c r="A527" t="s">
        <v>8</v>
      </c>
      <c r="B527" t="s">
        <v>23</v>
      </c>
      <c r="C527">
        <v>1</v>
      </c>
      <c r="D527" s="9">
        <v>7600</v>
      </c>
      <c r="E527" s="9">
        <f>+Tablo3[[#This Row],[Birim Fiyat]]*Tablo3[[#This Row],[Satış Adet]]</f>
        <v>7600</v>
      </c>
      <c r="F527" s="9">
        <v>1600</v>
      </c>
      <c r="G527" t="s">
        <v>60</v>
      </c>
      <c r="H527" t="s">
        <v>11</v>
      </c>
    </row>
    <row r="528" spans="1:8" x14ac:dyDescent="0.25">
      <c r="A528" t="s">
        <v>36</v>
      </c>
      <c r="B528" t="s">
        <v>23</v>
      </c>
      <c r="C528">
        <v>3</v>
      </c>
      <c r="D528" s="9">
        <v>7600</v>
      </c>
      <c r="E528" s="9">
        <f>+Tablo3[[#This Row],[Birim Fiyat]]*Tablo3[[#This Row],[Satış Adet]]</f>
        <v>22800</v>
      </c>
      <c r="F528" s="9">
        <v>4800</v>
      </c>
      <c r="G528" t="s">
        <v>60</v>
      </c>
      <c r="H528" t="s">
        <v>20</v>
      </c>
    </row>
    <row r="529" spans="1:8" x14ac:dyDescent="0.25">
      <c r="A529" t="s">
        <v>15</v>
      </c>
      <c r="B529" t="s">
        <v>56</v>
      </c>
      <c r="C529">
        <v>1</v>
      </c>
      <c r="D529" s="9">
        <v>3700</v>
      </c>
      <c r="E529" s="9">
        <f>+Tablo3[[#This Row],[Birim Fiyat]]*Tablo3[[#This Row],[Satış Adet]]</f>
        <v>3700</v>
      </c>
      <c r="F529" s="9">
        <v>700</v>
      </c>
      <c r="G529" t="s">
        <v>60</v>
      </c>
      <c r="H529" t="s">
        <v>52</v>
      </c>
    </row>
    <row r="530" spans="1:8" x14ac:dyDescent="0.25">
      <c r="A530" t="s">
        <v>22</v>
      </c>
      <c r="B530" t="s">
        <v>25</v>
      </c>
      <c r="C530">
        <v>3</v>
      </c>
      <c r="D530" s="9">
        <v>7250</v>
      </c>
      <c r="E530" s="9">
        <f>+Tablo3[[#This Row],[Birim Fiyat]]*Tablo3[[#This Row],[Satış Adet]]</f>
        <v>21750</v>
      </c>
      <c r="F530" s="9">
        <v>6750</v>
      </c>
      <c r="G530" t="s">
        <v>60</v>
      </c>
      <c r="H530" t="s">
        <v>27</v>
      </c>
    </row>
    <row r="531" spans="1:8" x14ac:dyDescent="0.25">
      <c r="A531" t="s">
        <v>12</v>
      </c>
      <c r="B531" t="s">
        <v>23</v>
      </c>
      <c r="C531">
        <v>3</v>
      </c>
      <c r="D531" s="9">
        <v>7600</v>
      </c>
      <c r="E531" s="9">
        <f>+Tablo3[[#This Row],[Birim Fiyat]]*Tablo3[[#This Row],[Satış Adet]]</f>
        <v>22800</v>
      </c>
      <c r="F531" s="9">
        <v>4800</v>
      </c>
      <c r="G531" t="s">
        <v>60</v>
      </c>
      <c r="H531" t="s">
        <v>44</v>
      </c>
    </row>
    <row r="532" spans="1:8" x14ac:dyDescent="0.25">
      <c r="A532" t="s">
        <v>46</v>
      </c>
      <c r="B532" t="s">
        <v>43</v>
      </c>
      <c r="C532">
        <v>1</v>
      </c>
      <c r="D532" s="9">
        <v>4200</v>
      </c>
      <c r="E532" s="9">
        <f>+Tablo3[[#This Row],[Birim Fiyat]]*Tablo3[[#This Row],[Satış Adet]]</f>
        <v>4200</v>
      </c>
      <c r="F532" s="9">
        <v>1200</v>
      </c>
      <c r="G532" t="s">
        <v>60</v>
      </c>
      <c r="H532" t="s">
        <v>44</v>
      </c>
    </row>
    <row r="533" spans="1:8" x14ac:dyDescent="0.25">
      <c r="A533" t="s">
        <v>30</v>
      </c>
      <c r="B533" t="s">
        <v>50</v>
      </c>
      <c r="C533">
        <v>3</v>
      </c>
      <c r="D533" s="9">
        <v>1250</v>
      </c>
      <c r="E533" s="9">
        <f>+Tablo3[[#This Row],[Birim Fiyat]]*Tablo3[[#This Row],[Satış Adet]]</f>
        <v>3750</v>
      </c>
      <c r="F533" s="9">
        <v>1350</v>
      </c>
      <c r="G533" t="s">
        <v>60</v>
      </c>
      <c r="H533" t="s">
        <v>40</v>
      </c>
    </row>
    <row r="534" spans="1:8" x14ac:dyDescent="0.25">
      <c r="A534" t="s">
        <v>36</v>
      </c>
      <c r="B534" t="s">
        <v>32</v>
      </c>
      <c r="C534">
        <v>1</v>
      </c>
      <c r="D534" s="9">
        <v>1090</v>
      </c>
      <c r="E534" s="9">
        <f>+Tablo3[[#This Row],[Birim Fiyat]]*Tablo3[[#This Row],[Satış Adet]]</f>
        <v>1090</v>
      </c>
      <c r="F534" s="9">
        <v>290</v>
      </c>
      <c r="G534" t="s">
        <v>60</v>
      </c>
      <c r="H534" t="s">
        <v>39</v>
      </c>
    </row>
    <row r="535" spans="1:8" x14ac:dyDescent="0.25">
      <c r="A535" t="s">
        <v>18</v>
      </c>
      <c r="B535" t="s">
        <v>21</v>
      </c>
      <c r="C535">
        <v>1</v>
      </c>
      <c r="D535" s="9">
        <v>2180</v>
      </c>
      <c r="E535" s="9">
        <f>+Tablo3[[#This Row],[Birim Fiyat]]*Tablo3[[#This Row],[Satış Adet]]</f>
        <v>2180</v>
      </c>
      <c r="F535" s="9">
        <v>680</v>
      </c>
      <c r="G535" t="s">
        <v>60</v>
      </c>
      <c r="H535" t="s">
        <v>24</v>
      </c>
    </row>
    <row r="536" spans="1:8" x14ac:dyDescent="0.25">
      <c r="A536" t="s">
        <v>48</v>
      </c>
      <c r="B536" t="s">
        <v>56</v>
      </c>
      <c r="C536">
        <v>2</v>
      </c>
      <c r="D536" s="9">
        <v>3700</v>
      </c>
      <c r="E536" s="9">
        <f>+Tablo3[[#This Row],[Birim Fiyat]]*Tablo3[[#This Row],[Satış Adet]]</f>
        <v>7400</v>
      </c>
      <c r="F536" s="9">
        <v>1400</v>
      </c>
      <c r="G536" t="s">
        <v>60</v>
      </c>
      <c r="H536" t="s">
        <v>52</v>
      </c>
    </row>
    <row r="537" spans="1:8" x14ac:dyDescent="0.25">
      <c r="A537" t="s">
        <v>38</v>
      </c>
      <c r="B537" t="s">
        <v>9</v>
      </c>
      <c r="C537">
        <v>2</v>
      </c>
      <c r="D537" s="9">
        <v>6000</v>
      </c>
      <c r="E537" s="9">
        <f>+Tablo3[[#This Row],[Birim Fiyat]]*Tablo3[[#This Row],[Satış Adet]]</f>
        <v>12000</v>
      </c>
      <c r="F537" s="9">
        <v>4000</v>
      </c>
      <c r="G537" t="s">
        <v>60</v>
      </c>
      <c r="H537" t="s">
        <v>20</v>
      </c>
    </row>
    <row r="538" spans="1:8" x14ac:dyDescent="0.25">
      <c r="A538" t="s">
        <v>46</v>
      </c>
      <c r="B538" t="s">
        <v>50</v>
      </c>
      <c r="C538">
        <v>2</v>
      </c>
      <c r="D538" s="9">
        <v>1250</v>
      </c>
      <c r="E538" s="9">
        <f>+Tablo3[[#This Row],[Birim Fiyat]]*Tablo3[[#This Row],[Satış Adet]]</f>
        <v>2500</v>
      </c>
      <c r="F538" s="9">
        <v>900</v>
      </c>
      <c r="G538" t="s">
        <v>60</v>
      </c>
      <c r="H538" t="s">
        <v>27</v>
      </c>
    </row>
    <row r="539" spans="1:8" x14ac:dyDescent="0.25">
      <c r="A539" t="s">
        <v>48</v>
      </c>
      <c r="B539" t="s">
        <v>23</v>
      </c>
      <c r="C539">
        <v>1</v>
      </c>
      <c r="D539" s="9">
        <v>7600</v>
      </c>
      <c r="E539" s="9">
        <f>+Tablo3[[#This Row],[Birim Fiyat]]*Tablo3[[#This Row],[Satış Adet]]</f>
        <v>7600</v>
      </c>
      <c r="F539" s="9">
        <v>1600</v>
      </c>
      <c r="G539" t="s">
        <v>60</v>
      </c>
      <c r="H539" t="s">
        <v>24</v>
      </c>
    </row>
    <row r="540" spans="1:8" x14ac:dyDescent="0.25">
      <c r="A540" t="s">
        <v>8</v>
      </c>
      <c r="B540" t="s">
        <v>13</v>
      </c>
      <c r="C540">
        <v>2</v>
      </c>
      <c r="D540" s="9">
        <v>1400</v>
      </c>
      <c r="E540" s="9">
        <f>+Tablo3[[#This Row],[Birim Fiyat]]*Tablo3[[#This Row],[Satış Adet]]</f>
        <v>2800</v>
      </c>
      <c r="F540" s="9">
        <v>1200</v>
      </c>
      <c r="G540" t="s">
        <v>60</v>
      </c>
      <c r="H540" t="s">
        <v>20</v>
      </c>
    </row>
    <row r="541" spans="1:8" x14ac:dyDescent="0.25">
      <c r="A541" t="s">
        <v>22</v>
      </c>
      <c r="B541" t="s">
        <v>21</v>
      </c>
      <c r="C541">
        <v>2</v>
      </c>
      <c r="D541" s="9">
        <v>2180</v>
      </c>
      <c r="E541" s="9">
        <f>+Tablo3[[#This Row],[Birim Fiyat]]*Tablo3[[#This Row],[Satış Adet]]</f>
        <v>4360</v>
      </c>
      <c r="F541" s="9">
        <v>1360</v>
      </c>
      <c r="G541" t="s">
        <v>60</v>
      </c>
      <c r="H541" t="s">
        <v>52</v>
      </c>
    </row>
    <row r="542" spans="1:8" x14ac:dyDescent="0.25">
      <c r="A542" t="s">
        <v>8</v>
      </c>
      <c r="B542" t="s">
        <v>31</v>
      </c>
      <c r="C542">
        <v>3</v>
      </c>
      <c r="D542" s="9">
        <v>1800</v>
      </c>
      <c r="E542" s="9">
        <f>+Tablo3[[#This Row],[Birim Fiyat]]*Tablo3[[#This Row],[Satış Adet]]</f>
        <v>5400</v>
      </c>
      <c r="F542" s="9">
        <v>3000</v>
      </c>
      <c r="G542" t="s">
        <v>60</v>
      </c>
      <c r="H542" t="s">
        <v>40</v>
      </c>
    </row>
    <row r="543" spans="1:8" x14ac:dyDescent="0.25">
      <c r="A543" t="s">
        <v>15</v>
      </c>
      <c r="B543" t="s">
        <v>55</v>
      </c>
      <c r="C543">
        <v>1</v>
      </c>
      <c r="D543" s="9">
        <v>1500</v>
      </c>
      <c r="E543" s="9">
        <f>+Tablo3[[#This Row],[Birim Fiyat]]*Tablo3[[#This Row],[Satış Adet]]</f>
        <v>1500</v>
      </c>
      <c r="F543" s="9">
        <v>700</v>
      </c>
      <c r="G543" t="s">
        <v>60</v>
      </c>
      <c r="H543" t="s">
        <v>35</v>
      </c>
    </row>
    <row r="544" spans="1:8" x14ac:dyDescent="0.25">
      <c r="A544" t="s">
        <v>30</v>
      </c>
      <c r="B544" t="s">
        <v>16</v>
      </c>
      <c r="C544">
        <v>3</v>
      </c>
      <c r="D544" s="9">
        <v>8450</v>
      </c>
      <c r="E544" s="9">
        <f>+Tablo3[[#This Row],[Birim Fiyat]]*Tablo3[[#This Row],[Satış Adet]]</f>
        <v>25350</v>
      </c>
      <c r="F544" s="9">
        <v>7350</v>
      </c>
      <c r="G544" t="s">
        <v>60</v>
      </c>
      <c r="H544" t="s">
        <v>11</v>
      </c>
    </row>
    <row r="545" spans="1:8" x14ac:dyDescent="0.25">
      <c r="A545" t="s">
        <v>38</v>
      </c>
      <c r="B545" t="s">
        <v>55</v>
      </c>
      <c r="C545">
        <v>3</v>
      </c>
      <c r="D545" s="9">
        <v>1500</v>
      </c>
      <c r="E545" s="9">
        <f>+Tablo3[[#This Row],[Birim Fiyat]]*Tablo3[[#This Row],[Satış Adet]]</f>
        <v>4500</v>
      </c>
      <c r="F545" s="9">
        <v>2100</v>
      </c>
      <c r="G545" t="s">
        <v>60</v>
      </c>
      <c r="H545" t="s">
        <v>35</v>
      </c>
    </row>
    <row r="546" spans="1:8" x14ac:dyDescent="0.25">
      <c r="A546" t="s">
        <v>67</v>
      </c>
      <c r="B546" t="s">
        <v>9</v>
      </c>
      <c r="C546">
        <v>3</v>
      </c>
      <c r="D546" s="9">
        <v>6000</v>
      </c>
      <c r="E546" s="9">
        <f>+Tablo3[[#This Row],[Birim Fiyat]]*Tablo3[[#This Row],[Satış Adet]]</f>
        <v>18000</v>
      </c>
      <c r="F546" s="9">
        <v>6000</v>
      </c>
      <c r="G546" t="s">
        <v>60</v>
      </c>
      <c r="H546" t="s">
        <v>40</v>
      </c>
    </row>
    <row r="547" spans="1:8" x14ac:dyDescent="0.25">
      <c r="A547" t="s">
        <v>48</v>
      </c>
      <c r="B547" t="s">
        <v>51</v>
      </c>
      <c r="C547">
        <v>1</v>
      </c>
      <c r="D547" s="9">
        <v>1200</v>
      </c>
      <c r="E547" s="9">
        <f>+Tablo3[[#This Row],[Birim Fiyat]]*Tablo3[[#This Row],[Satış Adet]]</f>
        <v>1200</v>
      </c>
      <c r="F547" s="9">
        <v>400</v>
      </c>
      <c r="G547" t="s">
        <v>60</v>
      </c>
      <c r="H547" t="s">
        <v>29</v>
      </c>
    </row>
    <row r="548" spans="1:8" x14ac:dyDescent="0.25">
      <c r="A548" t="s">
        <v>8</v>
      </c>
      <c r="B548" t="s">
        <v>43</v>
      </c>
      <c r="C548">
        <v>3</v>
      </c>
      <c r="D548" s="9">
        <v>4200</v>
      </c>
      <c r="E548" s="9">
        <f>+Tablo3[[#This Row],[Birim Fiyat]]*Tablo3[[#This Row],[Satış Adet]]</f>
        <v>12600</v>
      </c>
      <c r="F548" s="9">
        <v>3600</v>
      </c>
      <c r="G548" t="s">
        <v>60</v>
      </c>
      <c r="H548" t="s">
        <v>39</v>
      </c>
    </row>
    <row r="549" spans="1:8" x14ac:dyDescent="0.25">
      <c r="A549" t="s">
        <v>46</v>
      </c>
      <c r="B549" t="s">
        <v>23</v>
      </c>
      <c r="C549">
        <v>3</v>
      </c>
      <c r="D549" s="9">
        <v>7600</v>
      </c>
      <c r="E549" s="9">
        <f>+Tablo3[[#This Row],[Birim Fiyat]]*Tablo3[[#This Row],[Satış Adet]]</f>
        <v>22800</v>
      </c>
      <c r="F549" s="9">
        <v>4800</v>
      </c>
      <c r="G549" t="s">
        <v>60</v>
      </c>
      <c r="H549" t="s">
        <v>14</v>
      </c>
    </row>
    <row r="550" spans="1:8" x14ac:dyDescent="0.25">
      <c r="A550" t="s">
        <v>67</v>
      </c>
      <c r="B550" t="s">
        <v>25</v>
      </c>
      <c r="C550">
        <v>2</v>
      </c>
      <c r="D550" s="9">
        <v>7250</v>
      </c>
      <c r="E550" s="9">
        <f>+Tablo3[[#This Row],[Birim Fiyat]]*Tablo3[[#This Row],[Satış Adet]]</f>
        <v>14500</v>
      </c>
      <c r="F550" s="9">
        <v>4500</v>
      </c>
      <c r="G550" t="s">
        <v>60</v>
      </c>
      <c r="H550" t="s">
        <v>39</v>
      </c>
    </row>
    <row r="551" spans="1:8" x14ac:dyDescent="0.25">
      <c r="A551" t="s">
        <v>12</v>
      </c>
      <c r="B551" t="s">
        <v>53</v>
      </c>
      <c r="C551">
        <v>2</v>
      </c>
      <c r="D551" s="9">
        <v>7530</v>
      </c>
      <c r="E551" s="9">
        <f>+Tablo3[[#This Row],[Birim Fiyat]]*Tablo3[[#This Row],[Satış Adet]]</f>
        <v>15060</v>
      </c>
      <c r="F551" s="9">
        <v>3060</v>
      </c>
      <c r="G551" t="s">
        <v>60</v>
      </c>
      <c r="H551" t="s">
        <v>29</v>
      </c>
    </row>
    <row r="552" spans="1:8" x14ac:dyDescent="0.25">
      <c r="A552" t="s">
        <v>15</v>
      </c>
      <c r="B552" t="s">
        <v>25</v>
      </c>
      <c r="C552">
        <v>2</v>
      </c>
      <c r="D552" s="9">
        <v>7250</v>
      </c>
      <c r="E552" s="9">
        <f>+Tablo3[[#This Row],[Birim Fiyat]]*Tablo3[[#This Row],[Satış Adet]]</f>
        <v>14500</v>
      </c>
      <c r="F552" s="9">
        <v>4500</v>
      </c>
      <c r="G552" t="s">
        <v>60</v>
      </c>
      <c r="H552" t="s">
        <v>27</v>
      </c>
    </row>
    <row r="553" spans="1:8" x14ac:dyDescent="0.25">
      <c r="A553" t="s">
        <v>12</v>
      </c>
      <c r="B553" t="s">
        <v>9</v>
      </c>
      <c r="C553">
        <v>1</v>
      </c>
      <c r="D553" s="9">
        <v>6000</v>
      </c>
      <c r="E553" s="9">
        <f>+Tablo3[[#This Row],[Birim Fiyat]]*Tablo3[[#This Row],[Satış Adet]]</f>
        <v>6000</v>
      </c>
      <c r="F553" s="9">
        <v>2000</v>
      </c>
      <c r="G553" t="s">
        <v>60</v>
      </c>
      <c r="H553" t="s">
        <v>35</v>
      </c>
    </row>
    <row r="554" spans="1:8" x14ac:dyDescent="0.25">
      <c r="A554" t="s">
        <v>67</v>
      </c>
      <c r="B554" t="s">
        <v>51</v>
      </c>
      <c r="C554">
        <v>3</v>
      </c>
      <c r="D554" s="9">
        <v>1200</v>
      </c>
      <c r="E554" s="9">
        <f>+Tablo3[[#This Row],[Birim Fiyat]]*Tablo3[[#This Row],[Satış Adet]]</f>
        <v>3600</v>
      </c>
      <c r="F554" s="9">
        <v>1200</v>
      </c>
      <c r="G554" t="s">
        <v>60</v>
      </c>
      <c r="H554" t="s">
        <v>24</v>
      </c>
    </row>
    <row r="555" spans="1:8" x14ac:dyDescent="0.25">
      <c r="A555" t="s">
        <v>48</v>
      </c>
      <c r="B555" t="s">
        <v>54</v>
      </c>
      <c r="C555">
        <v>2</v>
      </c>
      <c r="D555" s="9">
        <v>5300</v>
      </c>
      <c r="E555" s="9">
        <f>+Tablo3[[#This Row],[Birim Fiyat]]*Tablo3[[#This Row],[Satış Adet]]</f>
        <v>10600</v>
      </c>
      <c r="F555" s="9">
        <v>2600</v>
      </c>
      <c r="G555" t="s">
        <v>60</v>
      </c>
      <c r="H555" t="s">
        <v>42</v>
      </c>
    </row>
    <row r="556" spans="1:8" x14ac:dyDescent="0.25">
      <c r="A556" t="s">
        <v>36</v>
      </c>
      <c r="B556" t="s">
        <v>16</v>
      </c>
      <c r="C556">
        <v>2</v>
      </c>
      <c r="D556" s="9">
        <v>8450</v>
      </c>
      <c r="E556" s="9">
        <f>+Tablo3[[#This Row],[Birim Fiyat]]*Tablo3[[#This Row],[Satış Adet]]</f>
        <v>16900</v>
      </c>
      <c r="F556" s="9">
        <v>4900</v>
      </c>
      <c r="G556" t="s">
        <v>60</v>
      </c>
      <c r="H556" t="s">
        <v>11</v>
      </c>
    </row>
    <row r="557" spans="1:8" x14ac:dyDescent="0.25">
      <c r="A557" t="s">
        <v>22</v>
      </c>
      <c r="B557" t="s">
        <v>19</v>
      </c>
      <c r="C557">
        <v>1</v>
      </c>
      <c r="D557" s="9">
        <v>1350</v>
      </c>
      <c r="E557" s="9">
        <f>+Tablo3[[#This Row],[Birim Fiyat]]*Tablo3[[#This Row],[Satış Adet]]</f>
        <v>1350</v>
      </c>
      <c r="F557" s="9">
        <v>550</v>
      </c>
      <c r="G557" t="s">
        <v>60</v>
      </c>
      <c r="H557" t="s">
        <v>20</v>
      </c>
    </row>
    <row r="558" spans="1:8" x14ac:dyDescent="0.25">
      <c r="A558" t="s">
        <v>30</v>
      </c>
      <c r="B558" t="s">
        <v>32</v>
      </c>
      <c r="C558">
        <v>1</v>
      </c>
      <c r="D558" s="9">
        <v>1090</v>
      </c>
      <c r="E558" s="9">
        <f>+Tablo3[[#This Row],[Birim Fiyat]]*Tablo3[[#This Row],[Satış Adet]]</f>
        <v>1090</v>
      </c>
      <c r="F558" s="9">
        <v>290</v>
      </c>
      <c r="G558" t="s">
        <v>60</v>
      </c>
      <c r="H558" t="s">
        <v>40</v>
      </c>
    </row>
    <row r="559" spans="1:8" x14ac:dyDescent="0.25">
      <c r="A559" t="s">
        <v>22</v>
      </c>
      <c r="B559" t="s">
        <v>21</v>
      </c>
      <c r="C559">
        <v>1</v>
      </c>
      <c r="D559" s="9">
        <v>2180</v>
      </c>
      <c r="E559" s="9">
        <f>+Tablo3[[#This Row],[Birim Fiyat]]*Tablo3[[#This Row],[Satış Adet]]</f>
        <v>2180</v>
      </c>
      <c r="F559" s="9">
        <v>680</v>
      </c>
      <c r="G559" t="s">
        <v>60</v>
      </c>
      <c r="H559" t="s">
        <v>42</v>
      </c>
    </row>
    <row r="560" spans="1:8" x14ac:dyDescent="0.25">
      <c r="A560" t="s">
        <v>8</v>
      </c>
      <c r="B560" t="s">
        <v>9</v>
      </c>
      <c r="C560">
        <v>2</v>
      </c>
      <c r="D560" s="9">
        <v>6000</v>
      </c>
      <c r="E560" s="9">
        <f>+Tablo3[[#This Row],[Birim Fiyat]]*Tablo3[[#This Row],[Satış Adet]]</f>
        <v>12000</v>
      </c>
      <c r="F560" s="9">
        <v>4000</v>
      </c>
      <c r="G560" t="s">
        <v>60</v>
      </c>
      <c r="H560" t="s">
        <v>44</v>
      </c>
    </row>
    <row r="561" spans="1:8" x14ac:dyDescent="0.25">
      <c r="A561" t="s">
        <v>12</v>
      </c>
      <c r="B561" t="s">
        <v>13</v>
      </c>
      <c r="C561">
        <v>2</v>
      </c>
      <c r="D561" s="9">
        <v>1400</v>
      </c>
      <c r="E561" s="9">
        <f>+Tablo3[[#This Row],[Birim Fiyat]]*Tablo3[[#This Row],[Satış Adet]]</f>
        <v>2800</v>
      </c>
      <c r="F561" s="9">
        <v>1200</v>
      </c>
      <c r="G561" t="s">
        <v>60</v>
      </c>
      <c r="H561" t="s">
        <v>39</v>
      </c>
    </row>
    <row r="562" spans="1:8" x14ac:dyDescent="0.25">
      <c r="A562" t="s">
        <v>15</v>
      </c>
      <c r="B562" t="s">
        <v>16</v>
      </c>
      <c r="C562">
        <v>2</v>
      </c>
      <c r="D562" s="9">
        <v>8450</v>
      </c>
      <c r="E562" s="9">
        <f>+Tablo3[[#This Row],[Birim Fiyat]]*Tablo3[[#This Row],[Satış Adet]]</f>
        <v>16900</v>
      </c>
      <c r="F562" s="9">
        <v>4900</v>
      </c>
      <c r="G562" t="s">
        <v>60</v>
      </c>
      <c r="H562" t="s">
        <v>42</v>
      </c>
    </row>
    <row r="563" spans="1:8" x14ac:dyDescent="0.25">
      <c r="A563" t="s">
        <v>18</v>
      </c>
      <c r="B563" t="s">
        <v>19</v>
      </c>
      <c r="C563">
        <v>3</v>
      </c>
      <c r="D563" s="9">
        <v>1350</v>
      </c>
      <c r="E563" s="9">
        <f>+Tablo3[[#This Row],[Birim Fiyat]]*Tablo3[[#This Row],[Satış Adet]]</f>
        <v>4050</v>
      </c>
      <c r="F563" s="9">
        <v>1650</v>
      </c>
      <c r="G563" t="s">
        <v>60</v>
      </c>
      <c r="H563" t="s">
        <v>44</v>
      </c>
    </row>
    <row r="564" spans="1:8" x14ac:dyDescent="0.25">
      <c r="A564" t="s">
        <v>8</v>
      </c>
      <c r="B564" t="s">
        <v>21</v>
      </c>
      <c r="C564">
        <v>2</v>
      </c>
      <c r="D564" s="9">
        <v>2180</v>
      </c>
      <c r="E564" s="9">
        <f>+Tablo3[[#This Row],[Birim Fiyat]]*Tablo3[[#This Row],[Satış Adet]]</f>
        <v>4360</v>
      </c>
      <c r="F564" s="9">
        <v>1360</v>
      </c>
      <c r="G564" t="s">
        <v>60</v>
      </c>
      <c r="H564" t="s">
        <v>42</v>
      </c>
    </row>
    <row r="565" spans="1:8" x14ac:dyDescent="0.25">
      <c r="A565" t="s">
        <v>22</v>
      </c>
      <c r="B565" t="s">
        <v>23</v>
      </c>
      <c r="C565">
        <v>2</v>
      </c>
      <c r="D565" s="9">
        <v>7600</v>
      </c>
      <c r="E565" s="9">
        <f>+Tablo3[[#This Row],[Birim Fiyat]]*Tablo3[[#This Row],[Satış Adet]]</f>
        <v>15200</v>
      </c>
      <c r="F565" s="9">
        <v>3200</v>
      </c>
      <c r="G565" t="s">
        <v>60</v>
      </c>
      <c r="H565" t="s">
        <v>11</v>
      </c>
    </row>
    <row r="566" spans="1:8" x14ac:dyDescent="0.25">
      <c r="A566" t="s">
        <v>12</v>
      </c>
      <c r="B566" t="s">
        <v>25</v>
      </c>
      <c r="C566">
        <v>2</v>
      </c>
      <c r="D566" s="9">
        <v>7250</v>
      </c>
      <c r="E566" s="9">
        <f>+Tablo3[[#This Row],[Birim Fiyat]]*Tablo3[[#This Row],[Satış Adet]]</f>
        <v>14500</v>
      </c>
      <c r="F566" s="9">
        <v>4500</v>
      </c>
      <c r="G566" t="s">
        <v>60</v>
      </c>
      <c r="H566" t="s">
        <v>24</v>
      </c>
    </row>
    <row r="567" spans="1:8" x14ac:dyDescent="0.25">
      <c r="A567" t="s">
        <v>18</v>
      </c>
      <c r="B567" t="s">
        <v>26</v>
      </c>
      <c r="C567">
        <v>3</v>
      </c>
      <c r="D567" s="9">
        <v>1100</v>
      </c>
      <c r="E567" s="9">
        <f>+Tablo3[[#This Row],[Birim Fiyat]]*Tablo3[[#This Row],[Satış Adet]]</f>
        <v>3300</v>
      </c>
      <c r="F567" s="9">
        <v>900</v>
      </c>
      <c r="G567" t="s">
        <v>60</v>
      </c>
      <c r="H567" t="s">
        <v>29</v>
      </c>
    </row>
    <row r="568" spans="1:8" x14ac:dyDescent="0.25">
      <c r="A568" t="s">
        <v>67</v>
      </c>
      <c r="B568" t="s">
        <v>9</v>
      </c>
      <c r="C568">
        <v>2</v>
      </c>
      <c r="D568" s="9">
        <v>6000</v>
      </c>
      <c r="E568" s="9">
        <f>+Tablo3[[#This Row],[Birim Fiyat]]*Tablo3[[#This Row],[Satış Adet]]</f>
        <v>12000</v>
      </c>
      <c r="F568" s="9">
        <v>4000</v>
      </c>
      <c r="G568" t="s">
        <v>60</v>
      </c>
      <c r="H568" t="s">
        <v>44</v>
      </c>
    </row>
    <row r="569" spans="1:8" x14ac:dyDescent="0.25">
      <c r="A569" t="s">
        <v>8</v>
      </c>
      <c r="B569" t="s">
        <v>28</v>
      </c>
      <c r="C569">
        <v>1</v>
      </c>
      <c r="D569" s="9">
        <v>1200</v>
      </c>
      <c r="E569" s="9">
        <f>+Tablo3[[#This Row],[Birim Fiyat]]*Tablo3[[#This Row],[Satış Adet]]</f>
        <v>1200</v>
      </c>
      <c r="F569" s="9">
        <v>400</v>
      </c>
      <c r="G569" t="s">
        <v>60</v>
      </c>
      <c r="H569" t="s">
        <v>27</v>
      </c>
    </row>
    <row r="570" spans="1:8" x14ac:dyDescent="0.25">
      <c r="A570" t="s">
        <v>30</v>
      </c>
      <c r="B570" t="s">
        <v>31</v>
      </c>
      <c r="C570">
        <v>2</v>
      </c>
      <c r="D570" s="9">
        <v>1800</v>
      </c>
      <c r="E570" s="9">
        <f>+Tablo3[[#This Row],[Birim Fiyat]]*Tablo3[[#This Row],[Satış Adet]]</f>
        <v>3600</v>
      </c>
      <c r="F570" s="9">
        <v>2000</v>
      </c>
      <c r="G570" t="s">
        <v>60</v>
      </c>
      <c r="H570" t="s">
        <v>29</v>
      </c>
    </row>
    <row r="571" spans="1:8" x14ac:dyDescent="0.25">
      <c r="A571" t="s">
        <v>30</v>
      </c>
      <c r="B571" t="s">
        <v>32</v>
      </c>
      <c r="C571">
        <v>2</v>
      </c>
      <c r="D571" s="9">
        <v>1090</v>
      </c>
      <c r="E571" s="9">
        <f>+Tablo3[[#This Row],[Birim Fiyat]]*Tablo3[[#This Row],[Satış Adet]]</f>
        <v>2180</v>
      </c>
      <c r="F571" s="9">
        <v>580</v>
      </c>
      <c r="G571" t="s">
        <v>60</v>
      </c>
      <c r="H571" t="s">
        <v>42</v>
      </c>
    </row>
    <row r="572" spans="1:8" x14ac:dyDescent="0.25">
      <c r="A572" t="s">
        <v>67</v>
      </c>
      <c r="B572" t="s">
        <v>21</v>
      </c>
      <c r="C572">
        <v>3</v>
      </c>
      <c r="D572" s="9">
        <v>2180</v>
      </c>
      <c r="E572" s="9">
        <f>+Tablo3[[#This Row],[Birim Fiyat]]*Tablo3[[#This Row],[Satış Adet]]</f>
        <v>6540</v>
      </c>
      <c r="F572" s="9">
        <v>2040</v>
      </c>
      <c r="G572" t="s">
        <v>60</v>
      </c>
      <c r="H572" t="s">
        <v>20</v>
      </c>
    </row>
    <row r="573" spans="1:8" x14ac:dyDescent="0.25">
      <c r="A573" t="s">
        <v>33</v>
      </c>
      <c r="B573" t="s">
        <v>31</v>
      </c>
      <c r="C573">
        <v>3</v>
      </c>
      <c r="D573" s="9">
        <v>1800</v>
      </c>
      <c r="E573" s="9">
        <f>+Tablo3[[#This Row],[Birim Fiyat]]*Tablo3[[#This Row],[Satış Adet]]</f>
        <v>5400</v>
      </c>
      <c r="F573" s="9">
        <v>3000</v>
      </c>
      <c r="G573" t="s">
        <v>60</v>
      </c>
      <c r="H573" t="s">
        <v>39</v>
      </c>
    </row>
    <row r="574" spans="1:8" x14ac:dyDescent="0.25">
      <c r="A574" t="s">
        <v>22</v>
      </c>
      <c r="B574" t="s">
        <v>34</v>
      </c>
      <c r="C574">
        <v>3</v>
      </c>
      <c r="D574" s="9">
        <v>8000</v>
      </c>
      <c r="E574" s="9">
        <f>+Tablo3[[#This Row],[Birim Fiyat]]*Tablo3[[#This Row],[Satış Adet]]</f>
        <v>24000</v>
      </c>
      <c r="F574" s="9">
        <v>6000</v>
      </c>
      <c r="G574" t="s">
        <v>60</v>
      </c>
      <c r="H574" t="s">
        <v>35</v>
      </c>
    </row>
    <row r="575" spans="1:8" x14ac:dyDescent="0.25">
      <c r="A575" t="s">
        <v>67</v>
      </c>
      <c r="B575" t="s">
        <v>13</v>
      </c>
      <c r="C575">
        <v>1</v>
      </c>
      <c r="D575" s="9">
        <v>1400</v>
      </c>
      <c r="E575" s="9">
        <f>+Tablo3[[#This Row],[Birim Fiyat]]*Tablo3[[#This Row],[Satış Adet]]</f>
        <v>1400</v>
      </c>
      <c r="F575" s="9">
        <v>600</v>
      </c>
      <c r="G575" t="s">
        <v>60</v>
      </c>
      <c r="H575" t="s">
        <v>40</v>
      </c>
    </row>
    <row r="576" spans="1:8" x14ac:dyDescent="0.25">
      <c r="A576" t="s">
        <v>36</v>
      </c>
      <c r="B576" t="s">
        <v>37</v>
      </c>
      <c r="C576">
        <v>1</v>
      </c>
      <c r="D576" s="9">
        <v>10590</v>
      </c>
      <c r="E576" s="9">
        <f>+Tablo3[[#This Row],[Birim Fiyat]]*Tablo3[[#This Row],[Satış Adet]]</f>
        <v>10590</v>
      </c>
      <c r="F576" s="9">
        <v>4590</v>
      </c>
      <c r="G576" t="s">
        <v>60</v>
      </c>
      <c r="H576" t="s">
        <v>29</v>
      </c>
    </row>
    <row r="577" spans="1:8" x14ac:dyDescent="0.25">
      <c r="A577" t="s">
        <v>38</v>
      </c>
      <c r="B577" t="s">
        <v>19</v>
      </c>
      <c r="C577">
        <v>2</v>
      </c>
      <c r="D577" s="9">
        <v>1350</v>
      </c>
      <c r="E577" s="9">
        <f>+Tablo3[[#This Row],[Birim Fiyat]]*Tablo3[[#This Row],[Satış Adet]]</f>
        <v>2700</v>
      </c>
      <c r="F577" s="9">
        <v>1100</v>
      </c>
      <c r="G577" t="s">
        <v>60</v>
      </c>
      <c r="H577" t="s">
        <v>40</v>
      </c>
    </row>
    <row r="578" spans="1:8" x14ac:dyDescent="0.25">
      <c r="A578" t="s">
        <v>30</v>
      </c>
      <c r="B578" t="s">
        <v>13</v>
      </c>
      <c r="C578">
        <v>2</v>
      </c>
      <c r="D578" s="9">
        <v>1400</v>
      </c>
      <c r="E578" s="9">
        <f>+Tablo3[[#This Row],[Birim Fiyat]]*Tablo3[[#This Row],[Satış Adet]]</f>
        <v>2800</v>
      </c>
      <c r="F578" s="9">
        <v>1200</v>
      </c>
      <c r="G578" t="s">
        <v>60</v>
      </c>
      <c r="H578" t="s">
        <v>44</v>
      </c>
    </row>
    <row r="579" spans="1:8" x14ac:dyDescent="0.25">
      <c r="A579" t="s">
        <v>18</v>
      </c>
      <c r="B579" t="s">
        <v>9</v>
      </c>
      <c r="C579">
        <v>1</v>
      </c>
      <c r="D579" s="9">
        <v>6000</v>
      </c>
      <c r="E579" s="9">
        <f>+Tablo3[[#This Row],[Birim Fiyat]]*Tablo3[[#This Row],[Satış Adet]]</f>
        <v>6000</v>
      </c>
      <c r="F579" s="9">
        <v>2000</v>
      </c>
      <c r="G579" t="s">
        <v>60</v>
      </c>
      <c r="H579" t="s">
        <v>42</v>
      </c>
    </row>
    <row r="580" spans="1:8" x14ac:dyDescent="0.25">
      <c r="A580" t="s">
        <v>36</v>
      </c>
      <c r="B580" t="s">
        <v>26</v>
      </c>
      <c r="C580">
        <v>2</v>
      </c>
      <c r="D580" s="9">
        <v>1100</v>
      </c>
      <c r="E580" s="9">
        <f>+Tablo3[[#This Row],[Birim Fiyat]]*Tablo3[[#This Row],[Satış Adet]]</f>
        <v>2200</v>
      </c>
      <c r="F580" s="9">
        <v>600</v>
      </c>
      <c r="G580" t="s">
        <v>60</v>
      </c>
      <c r="H580" t="s">
        <v>14</v>
      </c>
    </row>
    <row r="581" spans="1:8" x14ac:dyDescent="0.25">
      <c r="A581" t="s">
        <v>15</v>
      </c>
      <c r="B581" t="s">
        <v>9</v>
      </c>
      <c r="C581">
        <v>2</v>
      </c>
      <c r="D581" s="9">
        <v>6000</v>
      </c>
      <c r="E581" s="9">
        <f>+Tablo3[[#This Row],[Birim Fiyat]]*Tablo3[[#This Row],[Satış Adet]]</f>
        <v>12000</v>
      </c>
      <c r="F581" s="9">
        <v>4000</v>
      </c>
      <c r="G581" t="s">
        <v>60</v>
      </c>
      <c r="H581" t="s">
        <v>29</v>
      </c>
    </row>
    <row r="582" spans="1:8" x14ac:dyDescent="0.25">
      <c r="A582" t="s">
        <v>38</v>
      </c>
      <c r="B582" t="s">
        <v>41</v>
      </c>
      <c r="C582">
        <v>1</v>
      </c>
      <c r="D582" s="9">
        <v>1490</v>
      </c>
      <c r="E582" s="9">
        <f>+Tablo3[[#This Row],[Birim Fiyat]]*Tablo3[[#This Row],[Satış Adet]]</f>
        <v>1490</v>
      </c>
      <c r="F582" s="9">
        <v>690</v>
      </c>
      <c r="G582" t="s">
        <v>60</v>
      </c>
      <c r="H582" t="s">
        <v>17</v>
      </c>
    </row>
    <row r="583" spans="1:8" x14ac:dyDescent="0.25">
      <c r="A583" t="s">
        <v>36</v>
      </c>
      <c r="B583" t="s">
        <v>37</v>
      </c>
      <c r="C583">
        <v>2</v>
      </c>
      <c r="D583" s="9">
        <v>10590</v>
      </c>
      <c r="E583" s="9">
        <f>+Tablo3[[#This Row],[Birim Fiyat]]*Tablo3[[#This Row],[Satış Adet]]</f>
        <v>21180</v>
      </c>
      <c r="F583" s="9">
        <v>9180</v>
      </c>
      <c r="G583" t="s">
        <v>60</v>
      </c>
      <c r="H583" t="s">
        <v>35</v>
      </c>
    </row>
    <row r="584" spans="1:8" x14ac:dyDescent="0.25">
      <c r="A584" t="s">
        <v>15</v>
      </c>
      <c r="B584" t="s">
        <v>34</v>
      </c>
      <c r="C584">
        <v>3</v>
      </c>
      <c r="D584" s="9">
        <v>8000</v>
      </c>
      <c r="E584" s="9">
        <f>+Tablo3[[#This Row],[Birim Fiyat]]*Tablo3[[#This Row],[Satış Adet]]</f>
        <v>24000</v>
      </c>
      <c r="F584" s="9">
        <v>6000</v>
      </c>
      <c r="G584" t="s">
        <v>60</v>
      </c>
      <c r="H584" t="s">
        <v>17</v>
      </c>
    </row>
    <row r="585" spans="1:8" x14ac:dyDescent="0.25">
      <c r="A585" t="s">
        <v>30</v>
      </c>
      <c r="B585" t="s">
        <v>26</v>
      </c>
      <c r="C585">
        <v>1</v>
      </c>
      <c r="D585" s="9">
        <v>1100</v>
      </c>
      <c r="E585" s="9">
        <f>+Tablo3[[#This Row],[Birim Fiyat]]*Tablo3[[#This Row],[Satış Adet]]</f>
        <v>1100</v>
      </c>
      <c r="F585" s="9">
        <v>300</v>
      </c>
      <c r="G585" t="s">
        <v>60</v>
      </c>
      <c r="H585" t="s">
        <v>17</v>
      </c>
    </row>
    <row r="586" spans="1:8" x14ac:dyDescent="0.25">
      <c r="A586" t="s">
        <v>38</v>
      </c>
      <c r="B586" t="s">
        <v>28</v>
      </c>
      <c r="C586">
        <v>1</v>
      </c>
      <c r="D586" s="9">
        <v>1200</v>
      </c>
      <c r="E586" s="9">
        <f>+Tablo3[[#This Row],[Birim Fiyat]]*Tablo3[[#This Row],[Satış Adet]]</f>
        <v>1200</v>
      </c>
      <c r="F586" s="9">
        <v>400</v>
      </c>
      <c r="G586" t="s">
        <v>60</v>
      </c>
      <c r="H586" t="s">
        <v>40</v>
      </c>
    </row>
    <row r="587" spans="1:8" x14ac:dyDescent="0.25">
      <c r="A587" t="s">
        <v>22</v>
      </c>
      <c r="B587" t="s">
        <v>43</v>
      </c>
      <c r="C587">
        <v>2</v>
      </c>
      <c r="D587" s="9">
        <v>4200</v>
      </c>
      <c r="E587" s="9">
        <f>+Tablo3[[#This Row],[Birim Fiyat]]*Tablo3[[#This Row],[Satış Adet]]</f>
        <v>8400</v>
      </c>
      <c r="F587" s="9">
        <v>2400</v>
      </c>
      <c r="G587" t="s">
        <v>60</v>
      </c>
      <c r="H587" t="s">
        <v>39</v>
      </c>
    </row>
    <row r="588" spans="1:8" x14ac:dyDescent="0.25">
      <c r="A588" t="s">
        <v>12</v>
      </c>
      <c r="B588" t="s">
        <v>45</v>
      </c>
      <c r="C588">
        <v>3</v>
      </c>
      <c r="D588" s="9">
        <v>5775</v>
      </c>
      <c r="E588" s="9">
        <f>+Tablo3[[#This Row],[Birim Fiyat]]*Tablo3[[#This Row],[Satış Adet]]</f>
        <v>17325</v>
      </c>
      <c r="F588" s="9">
        <v>5325</v>
      </c>
      <c r="G588" t="s">
        <v>60</v>
      </c>
      <c r="H588" t="s">
        <v>52</v>
      </c>
    </row>
    <row r="589" spans="1:8" x14ac:dyDescent="0.25">
      <c r="A589" t="s">
        <v>46</v>
      </c>
      <c r="B589" t="s">
        <v>23</v>
      </c>
      <c r="C589">
        <v>3</v>
      </c>
      <c r="D589" s="9">
        <v>7600</v>
      </c>
      <c r="E589" s="9">
        <f>+Tablo3[[#This Row],[Birim Fiyat]]*Tablo3[[#This Row],[Satış Adet]]</f>
        <v>22800</v>
      </c>
      <c r="F589" s="9">
        <v>4800</v>
      </c>
      <c r="G589" t="s">
        <v>60</v>
      </c>
      <c r="H589" t="s">
        <v>11</v>
      </c>
    </row>
    <row r="590" spans="1:8" x14ac:dyDescent="0.25">
      <c r="A590" t="s">
        <v>12</v>
      </c>
      <c r="B590" t="s">
        <v>25</v>
      </c>
      <c r="C590">
        <v>3</v>
      </c>
      <c r="D590" s="9">
        <v>7250</v>
      </c>
      <c r="E590" s="9">
        <f>+Tablo3[[#This Row],[Birim Fiyat]]*Tablo3[[#This Row],[Satış Adet]]</f>
        <v>21750</v>
      </c>
      <c r="F590" s="9">
        <v>6750</v>
      </c>
      <c r="G590" t="s">
        <v>60</v>
      </c>
      <c r="H590" t="s">
        <v>20</v>
      </c>
    </row>
    <row r="591" spans="1:8" x14ac:dyDescent="0.25">
      <c r="A591" t="s">
        <v>8</v>
      </c>
      <c r="B591" t="s">
        <v>25</v>
      </c>
      <c r="C591">
        <v>3</v>
      </c>
      <c r="D591" s="9">
        <v>7250</v>
      </c>
      <c r="E591" s="9">
        <f>+Tablo3[[#This Row],[Birim Fiyat]]*Tablo3[[#This Row],[Satış Adet]]</f>
        <v>21750</v>
      </c>
      <c r="F591" s="9">
        <v>6750</v>
      </c>
      <c r="G591" t="s">
        <v>60</v>
      </c>
      <c r="H591" t="s">
        <v>29</v>
      </c>
    </row>
    <row r="592" spans="1:8" x14ac:dyDescent="0.25">
      <c r="A592" t="s">
        <v>36</v>
      </c>
      <c r="B592" t="s">
        <v>25</v>
      </c>
      <c r="C592">
        <v>3</v>
      </c>
      <c r="D592" s="9">
        <v>7250</v>
      </c>
      <c r="E592" s="9">
        <f>+Tablo3[[#This Row],[Birim Fiyat]]*Tablo3[[#This Row],[Satış Adet]]</f>
        <v>21750</v>
      </c>
      <c r="F592" s="9">
        <v>6750</v>
      </c>
      <c r="G592" t="s">
        <v>60</v>
      </c>
      <c r="H592" t="s">
        <v>39</v>
      </c>
    </row>
    <row r="593" spans="1:8" x14ac:dyDescent="0.25">
      <c r="A593" t="s">
        <v>67</v>
      </c>
      <c r="B593" t="s">
        <v>19</v>
      </c>
      <c r="C593">
        <v>1</v>
      </c>
      <c r="D593" s="9">
        <v>1350</v>
      </c>
      <c r="E593" s="9">
        <f>+Tablo3[[#This Row],[Birim Fiyat]]*Tablo3[[#This Row],[Satış Adet]]</f>
        <v>1350</v>
      </c>
      <c r="F593" s="9">
        <v>550</v>
      </c>
      <c r="G593" t="s">
        <v>60</v>
      </c>
      <c r="H593" t="s">
        <v>35</v>
      </c>
    </row>
    <row r="594" spans="1:8" x14ac:dyDescent="0.25">
      <c r="A594" t="s">
        <v>12</v>
      </c>
      <c r="B594" t="s">
        <v>25</v>
      </c>
      <c r="C594">
        <v>2</v>
      </c>
      <c r="D594" s="9">
        <v>7250</v>
      </c>
      <c r="E594" s="9">
        <f>+Tablo3[[#This Row],[Birim Fiyat]]*Tablo3[[#This Row],[Satış Adet]]</f>
        <v>14500</v>
      </c>
      <c r="F594" s="9">
        <v>4500</v>
      </c>
      <c r="G594" t="s">
        <v>60</v>
      </c>
      <c r="H594" t="s">
        <v>52</v>
      </c>
    </row>
    <row r="595" spans="1:8" x14ac:dyDescent="0.25">
      <c r="A595" t="s">
        <v>30</v>
      </c>
      <c r="B595" t="s">
        <v>23</v>
      </c>
      <c r="C595">
        <v>1</v>
      </c>
      <c r="D595" s="9">
        <v>7600</v>
      </c>
      <c r="E595" s="9">
        <f>+Tablo3[[#This Row],[Birim Fiyat]]*Tablo3[[#This Row],[Satış Adet]]</f>
        <v>7600</v>
      </c>
      <c r="F595" s="9">
        <v>1600</v>
      </c>
      <c r="G595" t="s">
        <v>60</v>
      </c>
      <c r="H595" t="s">
        <v>29</v>
      </c>
    </row>
    <row r="596" spans="1:8" x14ac:dyDescent="0.25">
      <c r="A596" t="s">
        <v>48</v>
      </c>
      <c r="B596" t="s">
        <v>23</v>
      </c>
      <c r="C596">
        <v>3</v>
      </c>
      <c r="D596" s="9">
        <v>7600</v>
      </c>
      <c r="E596" s="9">
        <f>+Tablo3[[#This Row],[Birim Fiyat]]*Tablo3[[#This Row],[Satış Adet]]</f>
        <v>22800</v>
      </c>
      <c r="F596" s="9">
        <v>4800</v>
      </c>
      <c r="G596" t="s">
        <v>60</v>
      </c>
      <c r="H596" t="s">
        <v>42</v>
      </c>
    </row>
    <row r="597" spans="1:8" x14ac:dyDescent="0.25">
      <c r="A597" t="s">
        <v>12</v>
      </c>
      <c r="B597" t="s">
        <v>41</v>
      </c>
      <c r="C597">
        <v>3</v>
      </c>
      <c r="D597" s="9">
        <v>1490</v>
      </c>
      <c r="E597" s="9">
        <f>+Tablo3[[#This Row],[Birim Fiyat]]*Tablo3[[#This Row],[Satış Adet]]</f>
        <v>4470</v>
      </c>
      <c r="F597" s="9">
        <v>2070</v>
      </c>
      <c r="G597" t="s">
        <v>60</v>
      </c>
      <c r="H597" t="s">
        <v>11</v>
      </c>
    </row>
    <row r="598" spans="1:8" x14ac:dyDescent="0.25">
      <c r="A598" t="s">
        <v>67</v>
      </c>
      <c r="B598" t="s">
        <v>49</v>
      </c>
      <c r="C598">
        <v>2</v>
      </c>
      <c r="D598" s="9">
        <v>2900</v>
      </c>
      <c r="E598" s="9">
        <f>+Tablo3[[#This Row],[Birim Fiyat]]*Tablo3[[#This Row],[Satış Adet]]</f>
        <v>5800</v>
      </c>
      <c r="F598" s="9">
        <v>1800</v>
      </c>
      <c r="G598" t="s">
        <v>60</v>
      </c>
      <c r="H598" t="s">
        <v>24</v>
      </c>
    </row>
    <row r="599" spans="1:8" x14ac:dyDescent="0.25">
      <c r="A599" t="s">
        <v>38</v>
      </c>
      <c r="B599" t="s">
        <v>41</v>
      </c>
      <c r="C599">
        <v>1</v>
      </c>
      <c r="D599" s="9">
        <v>1490</v>
      </c>
      <c r="E599" s="9">
        <f>+Tablo3[[#This Row],[Birim Fiyat]]*Tablo3[[#This Row],[Satış Adet]]</f>
        <v>1490</v>
      </c>
      <c r="F599" s="9">
        <v>690</v>
      </c>
      <c r="G599" t="s">
        <v>60</v>
      </c>
      <c r="H599" t="s">
        <v>35</v>
      </c>
    </row>
    <row r="600" spans="1:8" x14ac:dyDescent="0.25">
      <c r="A600" t="s">
        <v>38</v>
      </c>
      <c r="B600" t="s">
        <v>32</v>
      </c>
      <c r="C600">
        <v>2</v>
      </c>
      <c r="D600" s="9">
        <v>1090</v>
      </c>
      <c r="E600" s="9">
        <f>+Tablo3[[#This Row],[Birim Fiyat]]*Tablo3[[#This Row],[Satış Adet]]</f>
        <v>2180</v>
      </c>
      <c r="F600" s="9">
        <v>580</v>
      </c>
      <c r="G600" t="s">
        <v>60</v>
      </c>
      <c r="H600" t="s">
        <v>24</v>
      </c>
    </row>
    <row r="601" spans="1:8" x14ac:dyDescent="0.25">
      <c r="A601" t="s">
        <v>67</v>
      </c>
      <c r="B601" t="s">
        <v>28</v>
      </c>
      <c r="C601">
        <v>2</v>
      </c>
      <c r="D601" s="9">
        <v>1200</v>
      </c>
      <c r="E601" s="9">
        <f>+Tablo3[[#This Row],[Birim Fiyat]]*Tablo3[[#This Row],[Satış Adet]]</f>
        <v>2400</v>
      </c>
      <c r="F601" s="9">
        <v>800</v>
      </c>
      <c r="G601" t="s">
        <v>60</v>
      </c>
      <c r="H601" t="s">
        <v>44</v>
      </c>
    </row>
    <row r="602" spans="1:8" x14ac:dyDescent="0.25">
      <c r="A602" t="s">
        <v>36</v>
      </c>
      <c r="B602" t="s">
        <v>37</v>
      </c>
      <c r="C602">
        <v>2</v>
      </c>
      <c r="D602" s="9">
        <v>10590</v>
      </c>
      <c r="E602" s="9">
        <f>+Tablo3[[#This Row],[Birim Fiyat]]*Tablo3[[#This Row],[Satış Adet]]</f>
        <v>21180</v>
      </c>
      <c r="F602" s="9">
        <v>9180</v>
      </c>
      <c r="G602" t="s">
        <v>60</v>
      </c>
      <c r="H602" t="s">
        <v>40</v>
      </c>
    </row>
    <row r="603" spans="1:8" x14ac:dyDescent="0.25">
      <c r="A603" t="s">
        <v>30</v>
      </c>
      <c r="B603" t="s">
        <v>43</v>
      </c>
      <c r="C603">
        <v>3</v>
      </c>
      <c r="D603" s="9">
        <v>4200</v>
      </c>
      <c r="E603" s="9">
        <f>+Tablo3[[#This Row],[Birim Fiyat]]*Tablo3[[#This Row],[Satış Adet]]</f>
        <v>12600</v>
      </c>
      <c r="F603" s="9">
        <v>3600</v>
      </c>
      <c r="G603" t="s">
        <v>60</v>
      </c>
      <c r="H603" t="s">
        <v>17</v>
      </c>
    </row>
    <row r="604" spans="1:8" x14ac:dyDescent="0.25">
      <c r="A604" t="s">
        <v>18</v>
      </c>
      <c r="B604" t="s">
        <v>43</v>
      </c>
      <c r="C604">
        <v>3</v>
      </c>
      <c r="D604" s="9">
        <v>4200</v>
      </c>
      <c r="E604" s="9">
        <f>+Tablo3[[#This Row],[Birim Fiyat]]*Tablo3[[#This Row],[Satış Adet]]</f>
        <v>12600</v>
      </c>
      <c r="F604" s="9">
        <v>3600</v>
      </c>
      <c r="G604" t="s">
        <v>60</v>
      </c>
      <c r="H604" t="s">
        <v>42</v>
      </c>
    </row>
    <row r="605" spans="1:8" x14ac:dyDescent="0.25">
      <c r="A605" t="s">
        <v>33</v>
      </c>
      <c r="B605" t="s">
        <v>37</v>
      </c>
      <c r="C605">
        <v>2</v>
      </c>
      <c r="D605" s="9">
        <v>10590</v>
      </c>
      <c r="E605" s="9">
        <f>+Tablo3[[#This Row],[Birim Fiyat]]*Tablo3[[#This Row],[Satış Adet]]</f>
        <v>21180</v>
      </c>
      <c r="F605" s="9">
        <v>9180</v>
      </c>
      <c r="G605" t="s">
        <v>60</v>
      </c>
      <c r="H605" t="s">
        <v>17</v>
      </c>
    </row>
    <row r="606" spans="1:8" x14ac:dyDescent="0.25">
      <c r="A606" t="s">
        <v>48</v>
      </c>
      <c r="B606" t="s">
        <v>50</v>
      </c>
      <c r="C606">
        <v>1</v>
      </c>
      <c r="D606" s="9">
        <v>1250</v>
      </c>
      <c r="E606" s="9">
        <f>+Tablo3[[#This Row],[Birim Fiyat]]*Tablo3[[#This Row],[Satış Adet]]</f>
        <v>1250</v>
      </c>
      <c r="F606" s="9">
        <v>450</v>
      </c>
      <c r="G606" t="s">
        <v>60</v>
      </c>
      <c r="H606" t="s">
        <v>42</v>
      </c>
    </row>
    <row r="607" spans="1:8" x14ac:dyDescent="0.25">
      <c r="A607" t="s">
        <v>8</v>
      </c>
      <c r="B607" t="s">
        <v>41</v>
      </c>
      <c r="C607">
        <v>3</v>
      </c>
      <c r="D607" s="9">
        <v>1490</v>
      </c>
      <c r="E607" s="9">
        <f>+Tablo3[[#This Row],[Birim Fiyat]]*Tablo3[[#This Row],[Satış Adet]]</f>
        <v>4470</v>
      </c>
      <c r="F607" s="9">
        <v>2070</v>
      </c>
      <c r="G607" t="s">
        <v>60</v>
      </c>
      <c r="H607" t="s">
        <v>27</v>
      </c>
    </row>
    <row r="608" spans="1:8" x14ac:dyDescent="0.25">
      <c r="A608" t="s">
        <v>30</v>
      </c>
      <c r="B608" t="s">
        <v>28</v>
      </c>
      <c r="C608">
        <v>2</v>
      </c>
      <c r="D608" s="9">
        <v>1200</v>
      </c>
      <c r="E608" s="9">
        <f>+Tablo3[[#This Row],[Birim Fiyat]]*Tablo3[[#This Row],[Satış Adet]]</f>
        <v>2400</v>
      </c>
      <c r="F608" s="9">
        <v>800</v>
      </c>
      <c r="G608" t="s">
        <v>60</v>
      </c>
      <c r="H608" t="s">
        <v>27</v>
      </c>
    </row>
    <row r="609" spans="1:8" x14ac:dyDescent="0.25">
      <c r="A609" t="s">
        <v>15</v>
      </c>
      <c r="B609" t="s">
        <v>21</v>
      </c>
      <c r="C609">
        <v>3</v>
      </c>
      <c r="D609" s="9">
        <v>2180</v>
      </c>
      <c r="E609" s="9">
        <f>+Tablo3[[#This Row],[Birim Fiyat]]*Tablo3[[#This Row],[Satış Adet]]</f>
        <v>6540</v>
      </c>
      <c r="F609" s="9">
        <v>2040</v>
      </c>
      <c r="G609" t="s">
        <v>60</v>
      </c>
      <c r="H609" t="s">
        <v>40</v>
      </c>
    </row>
    <row r="610" spans="1:8" x14ac:dyDescent="0.25">
      <c r="A610" t="s">
        <v>38</v>
      </c>
      <c r="B610" t="s">
        <v>51</v>
      </c>
      <c r="C610">
        <v>3</v>
      </c>
      <c r="D610" s="9">
        <v>1200</v>
      </c>
      <c r="E610" s="9">
        <f>+Tablo3[[#This Row],[Birim Fiyat]]*Tablo3[[#This Row],[Satış Adet]]</f>
        <v>3600</v>
      </c>
      <c r="F610" s="9">
        <v>1200</v>
      </c>
      <c r="G610" t="s">
        <v>60</v>
      </c>
      <c r="H610" t="s">
        <v>14</v>
      </c>
    </row>
    <row r="611" spans="1:8" x14ac:dyDescent="0.25">
      <c r="A611" t="s">
        <v>8</v>
      </c>
      <c r="B611" t="s">
        <v>31</v>
      </c>
      <c r="C611">
        <v>1</v>
      </c>
      <c r="D611" s="9">
        <v>1800</v>
      </c>
      <c r="E611" s="9">
        <f>+Tablo3[[#This Row],[Birim Fiyat]]*Tablo3[[#This Row],[Satış Adet]]</f>
        <v>1800</v>
      </c>
      <c r="F611" s="9">
        <v>1000</v>
      </c>
      <c r="G611" t="s">
        <v>60</v>
      </c>
      <c r="H611" t="s">
        <v>24</v>
      </c>
    </row>
    <row r="612" spans="1:8" x14ac:dyDescent="0.25">
      <c r="A612" t="s">
        <v>15</v>
      </c>
      <c r="B612" t="s">
        <v>23</v>
      </c>
      <c r="C612">
        <v>1</v>
      </c>
      <c r="D612" s="9">
        <v>7600</v>
      </c>
      <c r="E612" s="9">
        <f>+Tablo3[[#This Row],[Birim Fiyat]]*Tablo3[[#This Row],[Satış Adet]]</f>
        <v>7600</v>
      </c>
      <c r="F612" s="9">
        <v>1600</v>
      </c>
      <c r="G612" t="s">
        <v>61</v>
      </c>
      <c r="H612" t="s">
        <v>35</v>
      </c>
    </row>
    <row r="613" spans="1:8" x14ac:dyDescent="0.25">
      <c r="A613" t="s">
        <v>33</v>
      </c>
      <c r="B613" t="s">
        <v>53</v>
      </c>
      <c r="C613">
        <v>1</v>
      </c>
      <c r="D613" s="9">
        <v>7530</v>
      </c>
      <c r="E613" s="9">
        <f>+Tablo3[[#This Row],[Birim Fiyat]]*Tablo3[[#This Row],[Satış Adet]]</f>
        <v>7530</v>
      </c>
      <c r="F613" s="9">
        <v>1530</v>
      </c>
      <c r="G613" t="s">
        <v>61</v>
      </c>
      <c r="H613" t="s">
        <v>20</v>
      </c>
    </row>
    <row r="614" spans="1:8" x14ac:dyDescent="0.25">
      <c r="A614" t="s">
        <v>48</v>
      </c>
      <c r="B614" t="s">
        <v>41</v>
      </c>
      <c r="C614">
        <v>2</v>
      </c>
      <c r="D614" s="9">
        <v>1490</v>
      </c>
      <c r="E614" s="9">
        <f>+Tablo3[[#This Row],[Birim Fiyat]]*Tablo3[[#This Row],[Satış Adet]]</f>
        <v>2980</v>
      </c>
      <c r="F614" s="9">
        <v>1380</v>
      </c>
      <c r="G614" t="s">
        <v>61</v>
      </c>
      <c r="H614" t="s">
        <v>14</v>
      </c>
    </row>
    <row r="615" spans="1:8" x14ac:dyDescent="0.25">
      <c r="A615" t="s">
        <v>8</v>
      </c>
      <c r="B615" t="s">
        <v>54</v>
      </c>
      <c r="C615">
        <v>1</v>
      </c>
      <c r="D615" s="9">
        <v>5300</v>
      </c>
      <c r="E615" s="9">
        <f>+Tablo3[[#This Row],[Birim Fiyat]]*Tablo3[[#This Row],[Satış Adet]]</f>
        <v>5300</v>
      </c>
      <c r="F615" s="9">
        <v>1300</v>
      </c>
      <c r="G615" t="s">
        <v>61</v>
      </c>
      <c r="H615" t="s">
        <v>44</v>
      </c>
    </row>
    <row r="616" spans="1:8" x14ac:dyDescent="0.25">
      <c r="A616" t="s">
        <v>22</v>
      </c>
      <c r="B616" t="s">
        <v>49</v>
      </c>
      <c r="C616">
        <v>2</v>
      </c>
      <c r="D616" s="9">
        <v>1200</v>
      </c>
      <c r="E616" s="9">
        <f>+Tablo3[[#This Row],[Birim Fiyat]]*Tablo3[[#This Row],[Satış Adet]]</f>
        <v>2400</v>
      </c>
      <c r="F616" s="9">
        <v>800</v>
      </c>
      <c r="G616" t="s">
        <v>61</v>
      </c>
      <c r="H616" t="s">
        <v>35</v>
      </c>
    </row>
    <row r="617" spans="1:8" x14ac:dyDescent="0.25">
      <c r="A617" t="s">
        <v>38</v>
      </c>
      <c r="B617" t="s">
        <v>32</v>
      </c>
      <c r="C617">
        <v>1</v>
      </c>
      <c r="D617" s="9">
        <v>1090</v>
      </c>
      <c r="E617" s="9">
        <f>+Tablo3[[#This Row],[Birim Fiyat]]*Tablo3[[#This Row],[Satış Adet]]</f>
        <v>1090</v>
      </c>
      <c r="F617" s="9">
        <v>290</v>
      </c>
      <c r="G617" t="s">
        <v>61</v>
      </c>
      <c r="H617" t="s">
        <v>39</v>
      </c>
    </row>
    <row r="618" spans="1:8" x14ac:dyDescent="0.25">
      <c r="A618" t="s">
        <v>22</v>
      </c>
      <c r="B618" t="s">
        <v>25</v>
      </c>
      <c r="C618">
        <v>1</v>
      </c>
      <c r="D618" s="9">
        <v>7250</v>
      </c>
      <c r="E618" s="9">
        <f>+Tablo3[[#This Row],[Birim Fiyat]]*Tablo3[[#This Row],[Satış Adet]]</f>
        <v>7250</v>
      </c>
      <c r="F618" s="9">
        <v>2250</v>
      </c>
      <c r="G618" t="s">
        <v>61</v>
      </c>
      <c r="H618" t="s">
        <v>20</v>
      </c>
    </row>
    <row r="619" spans="1:8" x14ac:dyDescent="0.25">
      <c r="A619" t="s">
        <v>46</v>
      </c>
      <c r="B619" t="s">
        <v>13</v>
      </c>
      <c r="C619">
        <v>3</v>
      </c>
      <c r="D619" s="9">
        <v>1400</v>
      </c>
      <c r="E619" s="9">
        <f>+Tablo3[[#This Row],[Birim Fiyat]]*Tablo3[[#This Row],[Satış Adet]]</f>
        <v>4200</v>
      </c>
      <c r="F619" s="9">
        <v>1800</v>
      </c>
      <c r="G619" t="s">
        <v>61</v>
      </c>
      <c r="H619" t="s">
        <v>24</v>
      </c>
    </row>
    <row r="620" spans="1:8" x14ac:dyDescent="0.25">
      <c r="A620" t="s">
        <v>15</v>
      </c>
      <c r="B620" t="s">
        <v>55</v>
      </c>
      <c r="C620">
        <v>1</v>
      </c>
      <c r="D620" s="9">
        <v>1500</v>
      </c>
      <c r="E620" s="9">
        <f>+Tablo3[[#This Row],[Birim Fiyat]]*Tablo3[[#This Row],[Satış Adet]]</f>
        <v>1500</v>
      </c>
      <c r="F620" s="9">
        <v>700</v>
      </c>
      <c r="G620" t="s">
        <v>61</v>
      </c>
      <c r="H620" t="s">
        <v>42</v>
      </c>
    </row>
    <row r="621" spans="1:8" x14ac:dyDescent="0.25">
      <c r="A621" t="s">
        <v>33</v>
      </c>
      <c r="B621" t="s">
        <v>19</v>
      </c>
      <c r="C621">
        <v>1</v>
      </c>
      <c r="D621" s="9">
        <v>1350</v>
      </c>
      <c r="E621" s="9">
        <f>+Tablo3[[#This Row],[Birim Fiyat]]*Tablo3[[#This Row],[Satış Adet]]</f>
        <v>1350</v>
      </c>
      <c r="F621" s="9">
        <v>550</v>
      </c>
      <c r="G621" t="s">
        <v>61</v>
      </c>
      <c r="H621" t="s">
        <v>39</v>
      </c>
    </row>
    <row r="622" spans="1:8" x14ac:dyDescent="0.25">
      <c r="A622" t="s">
        <v>33</v>
      </c>
      <c r="B622" t="s">
        <v>28</v>
      </c>
      <c r="C622">
        <v>3</v>
      </c>
      <c r="D622" s="9">
        <v>1200</v>
      </c>
      <c r="E622" s="9">
        <f>+Tablo3[[#This Row],[Birim Fiyat]]*Tablo3[[#This Row],[Satış Adet]]</f>
        <v>3600</v>
      </c>
      <c r="F622" s="9">
        <v>1200</v>
      </c>
      <c r="G622" t="s">
        <v>61</v>
      </c>
      <c r="H622" t="s">
        <v>35</v>
      </c>
    </row>
    <row r="623" spans="1:8" x14ac:dyDescent="0.25">
      <c r="A623" t="s">
        <v>12</v>
      </c>
      <c r="B623" t="s">
        <v>53</v>
      </c>
      <c r="C623">
        <v>3</v>
      </c>
      <c r="D623" s="9">
        <v>7530</v>
      </c>
      <c r="E623" s="9">
        <f>+Tablo3[[#This Row],[Birim Fiyat]]*Tablo3[[#This Row],[Satış Adet]]</f>
        <v>22590</v>
      </c>
      <c r="F623" s="9">
        <v>4590</v>
      </c>
      <c r="G623" t="s">
        <v>61</v>
      </c>
      <c r="H623" t="s">
        <v>24</v>
      </c>
    </row>
    <row r="624" spans="1:8" x14ac:dyDescent="0.25">
      <c r="A624" t="s">
        <v>46</v>
      </c>
      <c r="B624" t="s">
        <v>28</v>
      </c>
      <c r="C624">
        <v>1</v>
      </c>
      <c r="D624" s="9">
        <v>1200</v>
      </c>
      <c r="E624" s="9">
        <f>+Tablo3[[#This Row],[Birim Fiyat]]*Tablo3[[#This Row],[Satış Adet]]</f>
        <v>1200</v>
      </c>
      <c r="F624" s="9">
        <v>400</v>
      </c>
      <c r="G624" t="s">
        <v>61</v>
      </c>
      <c r="H624" t="s">
        <v>52</v>
      </c>
    </row>
    <row r="625" spans="1:8" x14ac:dyDescent="0.25">
      <c r="A625" t="s">
        <v>36</v>
      </c>
      <c r="B625" t="s">
        <v>31</v>
      </c>
      <c r="C625">
        <v>3</v>
      </c>
      <c r="D625" s="9">
        <v>1800</v>
      </c>
      <c r="E625" s="9">
        <f>+Tablo3[[#This Row],[Birim Fiyat]]*Tablo3[[#This Row],[Satış Adet]]</f>
        <v>5400</v>
      </c>
      <c r="F625" s="9">
        <v>3000</v>
      </c>
      <c r="G625" t="s">
        <v>61</v>
      </c>
      <c r="H625" t="s">
        <v>44</v>
      </c>
    </row>
    <row r="626" spans="1:8" x14ac:dyDescent="0.25">
      <c r="A626" t="s">
        <v>8</v>
      </c>
      <c r="B626" t="s">
        <v>25</v>
      </c>
      <c r="C626">
        <v>1</v>
      </c>
      <c r="D626" s="9">
        <v>7250</v>
      </c>
      <c r="E626" s="9">
        <f>+Tablo3[[#This Row],[Birim Fiyat]]*Tablo3[[#This Row],[Satış Adet]]</f>
        <v>7250</v>
      </c>
      <c r="F626" s="9">
        <v>2250</v>
      </c>
      <c r="G626" t="s">
        <v>61</v>
      </c>
      <c r="H626" t="s">
        <v>35</v>
      </c>
    </row>
    <row r="627" spans="1:8" x14ac:dyDescent="0.25">
      <c r="A627" t="s">
        <v>38</v>
      </c>
      <c r="B627" t="s">
        <v>41</v>
      </c>
      <c r="C627">
        <v>3</v>
      </c>
      <c r="D627" s="9">
        <v>1490</v>
      </c>
      <c r="E627" s="9">
        <f>+Tablo3[[#This Row],[Birim Fiyat]]*Tablo3[[#This Row],[Satış Adet]]</f>
        <v>4470</v>
      </c>
      <c r="F627" s="9">
        <v>2070</v>
      </c>
      <c r="G627" t="s">
        <v>61</v>
      </c>
      <c r="H627" t="s">
        <v>35</v>
      </c>
    </row>
    <row r="628" spans="1:8" x14ac:dyDescent="0.25">
      <c r="A628" t="s">
        <v>38</v>
      </c>
      <c r="B628" t="s">
        <v>51</v>
      </c>
      <c r="C628">
        <v>1</v>
      </c>
      <c r="D628" s="9">
        <v>1200</v>
      </c>
      <c r="E628" s="9">
        <f>+Tablo3[[#This Row],[Birim Fiyat]]*Tablo3[[#This Row],[Satış Adet]]</f>
        <v>1200</v>
      </c>
      <c r="F628" s="9">
        <v>400</v>
      </c>
      <c r="G628" t="s">
        <v>61</v>
      </c>
      <c r="H628" t="s">
        <v>52</v>
      </c>
    </row>
    <row r="629" spans="1:8" x14ac:dyDescent="0.25">
      <c r="A629" t="s">
        <v>12</v>
      </c>
      <c r="B629" t="s">
        <v>34</v>
      </c>
      <c r="C629">
        <v>1</v>
      </c>
      <c r="D629" s="9">
        <v>8000</v>
      </c>
      <c r="E629" s="9">
        <f>+Tablo3[[#This Row],[Birim Fiyat]]*Tablo3[[#This Row],[Satış Adet]]</f>
        <v>8000</v>
      </c>
      <c r="F629" s="9">
        <v>2000</v>
      </c>
      <c r="G629" t="s">
        <v>61</v>
      </c>
      <c r="H629" t="s">
        <v>44</v>
      </c>
    </row>
    <row r="630" spans="1:8" x14ac:dyDescent="0.25">
      <c r="A630" t="s">
        <v>30</v>
      </c>
      <c r="B630" t="s">
        <v>13</v>
      </c>
      <c r="C630">
        <v>1</v>
      </c>
      <c r="D630" s="9">
        <v>1400</v>
      </c>
      <c r="E630" s="9">
        <f>+Tablo3[[#This Row],[Birim Fiyat]]*Tablo3[[#This Row],[Satış Adet]]</f>
        <v>1400</v>
      </c>
      <c r="F630" s="9">
        <v>600</v>
      </c>
      <c r="G630" t="s">
        <v>61</v>
      </c>
      <c r="H630" t="s">
        <v>20</v>
      </c>
    </row>
    <row r="631" spans="1:8" x14ac:dyDescent="0.25">
      <c r="A631" t="s">
        <v>67</v>
      </c>
      <c r="B631" t="s">
        <v>19</v>
      </c>
      <c r="C631">
        <v>1</v>
      </c>
      <c r="D631" s="9">
        <v>1350</v>
      </c>
      <c r="E631" s="9">
        <f>+Tablo3[[#This Row],[Birim Fiyat]]*Tablo3[[#This Row],[Satış Adet]]</f>
        <v>1350</v>
      </c>
      <c r="F631" s="9">
        <v>550</v>
      </c>
      <c r="G631" t="s">
        <v>61</v>
      </c>
      <c r="H631" t="s">
        <v>42</v>
      </c>
    </row>
    <row r="632" spans="1:8" x14ac:dyDescent="0.25">
      <c r="A632" t="s">
        <v>36</v>
      </c>
      <c r="B632" t="s">
        <v>51</v>
      </c>
      <c r="C632">
        <v>1</v>
      </c>
      <c r="D632" s="9">
        <v>1200</v>
      </c>
      <c r="E632" s="9">
        <f>+Tablo3[[#This Row],[Birim Fiyat]]*Tablo3[[#This Row],[Satış Adet]]</f>
        <v>1200</v>
      </c>
      <c r="F632" s="9">
        <v>400</v>
      </c>
      <c r="G632" t="s">
        <v>61</v>
      </c>
      <c r="H632" t="s">
        <v>24</v>
      </c>
    </row>
    <row r="633" spans="1:8" x14ac:dyDescent="0.25">
      <c r="A633" t="s">
        <v>30</v>
      </c>
      <c r="B633" t="s">
        <v>54</v>
      </c>
      <c r="C633">
        <v>1</v>
      </c>
      <c r="D633" s="9">
        <v>5300</v>
      </c>
      <c r="E633" s="9">
        <f>+Tablo3[[#This Row],[Birim Fiyat]]*Tablo3[[#This Row],[Satış Adet]]</f>
        <v>5300</v>
      </c>
      <c r="F633" s="9">
        <v>1300</v>
      </c>
      <c r="G633" t="s">
        <v>61</v>
      </c>
      <c r="H633" t="s">
        <v>14</v>
      </c>
    </row>
    <row r="634" spans="1:8" x14ac:dyDescent="0.25">
      <c r="A634" t="s">
        <v>38</v>
      </c>
      <c r="B634" t="s">
        <v>37</v>
      </c>
      <c r="C634">
        <v>3</v>
      </c>
      <c r="D634" s="9">
        <v>10590</v>
      </c>
      <c r="E634" s="9">
        <f>+Tablo3[[#This Row],[Birim Fiyat]]*Tablo3[[#This Row],[Satış Adet]]</f>
        <v>31770</v>
      </c>
      <c r="F634" s="9">
        <v>13770</v>
      </c>
      <c r="G634" t="s">
        <v>61</v>
      </c>
      <c r="H634" t="s">
        <v>27</v>
      </c>
    </row>
    <row r="635" spans="1:8" x14ac:dyDescent="0.25">
      <c r="A635" t="s">
        <v>22</v>
      </c>
      <c r="B635" t="s">
        <v>50</v>
      </c>
      <c r="C635">
        <v>1</v>
      </c>
      <c r="D635" s="9">
        <v>1250</v>
      </c>
      <c r="E635" s="9">
        <f>+Tablo3[[#This Row],[Birim Fiyat]]*Tablo3[[#This Row],[Satış Adet]]</f>
        <v>1250</v>
      </c>
      <c r="F635" s="9">
        <v>450</v>
      </c>
      <c r="G635" t="s">
        <v>61</v>
      </c>
      <c r="H635" t="s">
        <v>42</v>
      </c>
    </row>
    <row r="636" spans="1:8" x14ac:dyDescent="0.25">
      <c r="A636" t="s">
        <v>48</v>
      </c>
      <c r="B636" t="s">
        <v>51</v>
      </c>
      <c r="C636">
        <v>1</v>
      </c>
      <c r="D636" s="9">
        <v>1200</v>
      </c>
      <c r="E636" s="9">
        <f>+Tablo3[[#This Row],[Birim Fiyat]]*Tablo3[[#This Row],[Satış Adet]]</f>
        <v>1200</v>
      </c>
      <c r="F636" s="9">
        <v>400</v>
      </c>
      <c r="G636" t="s">
        <v>61</v>
      </c>
      <c r="H636" t="s">
        <v>42</v>
      </c>
    </row>
    <row r="637" spans="1:8" x14ac:dyDescent="0.25">
      <c r="A637" t="s">
        <v>22</v>
      </c>
      <c r="B637" t="s">
        <v>13</v>
      </c>
      <c r="C637">
        <v>3</v>
      </c>
      <c r="D637" s="9">
        <v>1400</v>
      </c>
      <c r="E637" s="9">
        <f>+Tablo3[[#This Row],[Birim Fiyat]]*Tablo3[[#This Row],[Satış Adet]]</f>
        <v>4200</v>
      </c>
      <c r="F637" s="9">
        <v>1800</v>
      </c>
      <c r="G637" t="s">
        <v>61</v>
      </c>
      <c r="H637" t="s">
        <v>39</v>
      </c>
    </row>
    <row r="638" spans="1:8" x14ac:dyDescent="0.25">
      <c r="A638" t="s">
        <v>48</v>
      </c>
      <c r="B638" t="s">
        <v>53</v>
      </c>
      <c r="C638">
        <v>2</v>
      </c>
      <c r="D638" s="9">
        <v>7530</v>
      </c>
      <c r="E638" s="9">
        <f>+Tablo3[[#This Row],[Birim Fiyat]]*Tablo3[[#This Row],[Satış Adet]]</f>
        <v>15060</v>
      </c>
      <c r="F638" s="9">
        <v>3060</v>
      </c>
      <c r="G638" t="s">
        <v>61</v>
      </c>
      <c r="H638" t="s">
        <v>44</v>
      </c>
    </row>
    <row r="639" spans="1:8" x14ac:dyDescent="0.25">
      <c r="A639" t="s">
        <v>30</v>
      </c>
      <c r="B639" t="s">
        <v>23</v>
      </c>
      <c r="C639">
        <v>1</v>
      </c>
      <c r="D639" s="9">
        <v>7600</v>
      </c>
      <c r="E639" s="9">
        <f>+Tablo3[[#This Row],[Birim Fiyat]]*Tablo3[[#This Row],[Satış Adet]]</f>
        <v>7600</v>
      </c>
      <c r="F639" s="9">
        <v>1600</v>
      </c>
      <c r="G639" t="s">
        <v>61</v>
      </c>
      <c r="H639" t="s">
        <v>24</v>
      </c>
    </row>
    <row r="640" spans="1:8" x14ac:dyDescent="0.25">
      <c r="A640" t="s">
        <v>48</v>
      </c>
      <c r="B640" t="s">
        <v>55</v>
      </c>
      <c r="C640">
        <v>1</v>
      </c>
      <c r="D640" s="9">
        <v>1500</v>
      </c>
      <c r="E640" s="9">
        <f>+Tablo3[[#This Row],[Birim Fiyat]]*Tablo3[[#This Row],[Satış Adet]]</f>
        <v>1500</v>
      </c>
      <c r="F640" s="9">
        <v>700</v>
      </c>
      <c r="G640" t="s">
        <v>61</v>
      </c>
      <c r="H640" t="s">
        <v>29</v>
      </c>
    </row>
    <row r="641" spans="1:8" x14ac:dyDescent="0.25">
      <c r="A641" t="s">
        <v>38</v>
      </c>
      <c r="B641" t="s">
        <v>21</v>
      </c>
      <c r="C641">
        <v>2</v>
      </c>
      <c r="D641" s="9">
        <v>2180</v>
      </c>
      <c r="E641" s="9">
        <f>+Tablo3[[#This Row],[Birim Fiyat]]*Tablo3[[#This Row],[Satış Adet]]</f>
        <v>4360</v>
      </c>
      <c r="F641" s="9">
        <v>1360</v>
      </c>
      <c r="G641" t="s">
        <v>61</v>
      </c>
      <c r="H641" t="s">
        <v>17</v>
      </c>
    </row>
    <row r="642" spans="1:8" x14ac:dyDescent="0.25">
      <c r="A642" t="s">
        <v>18</v>
      </c>
      <c r="B642" t="s">
        <v>21</v>
      </c>
      <c r="C642">
        <v>1</v>
      </c>
      <c r="D642" s="9">
        <v>2180</v>
      </c>
      <c r="E642" s="9">
        <f>+Tablo3[[#This Row],[Birim Fiyat]]*Tablo3[[#This Row],[Satış Adet]]</f>
        <v>2180</v>
      </c>
      <c r="F642" s="9">
        <v>680</v>
      </c>
      <c r="G642" t="s">
        <v>61</v>
      </c>
      <c r="H642" t="s">
        <v>24</v>
      </c>
    </row>
    <row r="643" spans="1:8" x14ac:dyDescent="0.25">
      <c r="A643" t="s">
        <v>38</v>
      </c>
      <c r="B643" t="s">
        <v>45</v>
      </c>
      <c r="C643">
        <v>1</v>
      </c>
      <c r="D643" s="9">
        <v>5775</v>
      </c>
      <c r="E643" s="9">
        <f>+Tablo3[[#This Row],[Birim Fiyat]]*Tablo3[[#This Row],[Satış Adet]]</f>
        <v>5775</v>
      </c>
      <c r="F643" s="9">
        <v>1775</v>
      </c>
      <c r="G643" t="s">
        <v>61</v>
      </c>
      <c r="H643" t="s">
        <v>40</v>
      </c>
    </row>
    <row r="644" spans="1:8" x14ac:dyDescent="0.25">
      <c r="A644" t="s">
        <v>38</v>
      </c>
      <c r="B644" t="s">
        <v>26</v>
      </c>
      <c r="C644">
        <v>3</v>
      </c>
      <c r="D644" s="9">
        <v>1100</v>
      </c>
      <c r="E644" s="9">
        <f>+Tablo3[[#This Row],[Birim Fiyat]]*Tablo3[[#This Row],[Satış Adet]]</f>
        <v>3300</v>
      </c>
      <c r="F644" s="9">
        <v>900</v>
      </c>
      <c r="G644" t="s">
        <v>61</v>
      </c>
      <c r="H644" t="s">
        <v>44</v>
      </c>
    </row>
    <row r="645" spans="1:8" x14ac:dyDescent="0.25">
      <c r="A645" t="s">
        <v>46</v>
      </c>
      <c r="B645" t="s">
        <v>45</v>
      </c>
      <c r="C645">
        <v>1</v>
      </c>
      <c r="D645" s="9">
        <v>5775</v>
      </c>
      <c r="E645" s="9">
        <f>+Tablo3[[#This Row],[Birim Fiyat]]*Tablo3[[#This Row],[Satış Adet]]</f>
        <v>5775</v>
      </c>
      <c r="F645" s="9">
        <v>1775</v>
      </c>
      <c r="G645" t="s">
        <v>61</v>
      </c>
      <c r="H645" t="s">
        <v>39</v>
      </c>
    </row>
    <row r="646" spans="1:8" x14ac:dyDescent="0.25">
      <c r="A646" t="s">
        <v>33</v>
      </c>
      <c r="B646" t="s">
        <v>19</v>
      </c>
      <c r="C646">
        <v>1</v>
      </c>
      <c r="D646" s="9">
        <v>1350</v>
      </c>
      <c r="E646" s="9">
        <f>+Tablo3[[#This Row],[Birim Fiyat]]*Tablo3[[#This Row],[Satış Adet]]</f>
        <v>1350</v>
      </c>
      <c r="F646" s="9">
        <v>550</v>
      </c>
      <c r="G646" t="s">
        <v>61</v>
      </c>
      <c r="H646" t="s">
        <v>35</v>
      </c>
    </row>
    <row r="647" spans="1:8" x14ac:dyDescent="0.25">
      <c r="A647" t="s">
        <v>8</v>
      </c>
      <c r="B647" t="s">
        <v>23</v>
      </c>
      <c r="C647">
        <v>3</v>
      </c>
      <c r="D647" s="9">
        <v>7600</v>
      </c>
      <c r="E647" s="9">
        <f>+Tablo3[[#This Row],[Birim Fiyat]]*Tablo3[[#This Row],[Satış Adet]]</f>
        <v>22800</v>
      </c>
      <c r="F647" s="9">
        <v>4800</v>
      </c>
      <c r="G647" t="s">
        <v>61</v>
      </c>
      <c r="H647" t="s">
        <v>17</v>
      </c>
    </row>
    <row r="648" spans="1:8" x14ac:dyDescent="0.25">
      <c r="A648" t="s">
        <v>15</v>
      </c>
      <c r="B648" t="s">
        <v>25</v>
      </c>
      <c r="C648">
        <v>3</v>
      </c>
      <c r="D648" s="9">
        <v>7250</v>
      </c>
      <c r="E648" s="9">
        <f>+Tablo3[[#This Row],[Birim Fiyat]]*Tablo3[[#This Row],[Satış Adet]]</f>
        <v>21750</v>
      </c>
      <c r="F648" s="9">
        <v>6750</v>
      </c>
      <c r="G648" t="s">
        <v>61</v>
      </c>
      <c r="H648" t="s">
        <v>35</v>
      </c>
    </row>
    <row r="649" spans="1:8" x14ac:dyDescent="0.25">
      <c r="A649" t="s">
        <v>48</v>
      </c>
      <c r="B649" t="s">
        <v>41</v>
      </c>
      <c r="C649">
        <v>2</v>
      </c>
      <c r="D649" s="9">
        <v>1490</v>
      </c>
      <c r="E649" s="9">
        <f>+Tablo3[[#This Row],[Birim Fiyat]]*Tablo3[[#This Row],[Satış Adet]]</f>
        <v>2980</v>
      </c>
      <c r="F649" s="9">
        <v>1380</v>
      </c>
      <c r="G649" t="s">
        <v>61</v>
      </c>
      <c r="H649" t="s">
        <v>14</v>
      </c>
    </row>
    <row r="650" spans="1:8" x14ac:dyDescent="0.25">
      <c r="A650" t="s">
        <v>18</v>
      </c>
      <c r="B650" t="s">
        <v>41</v>
      </c>
      <c r="C650">
        <v>2</v>
      </c>
      <c r="D650" s="9">
        <v>1490</v>
      </c>
      <c r="E650" s="9">
        <f>+Tablo3[[#This Row],[Birim Fiyat]]*Tablo3[[#This Row],[Satış Adet]]</f>
        <v>2980</v>
      </c>
      <c r="F650" s="9">
        <v>1380</v>
      </c>
      <c r="G650" t="s">
        <v>61</v>
      </c>
      <c r="H650" t="s">
        <v>27</v>
      </c>
    </row>
    <row r="651" spans="1:8" x14ac:dyDescent="0.25">
      <c r="A651" t="s">
        <v>36</v>
      </c>
      <c r="B651" t="s">
        <v>32</v>
      </c>
      <c r="C651">
        <v>2</v>
      </c>
      <c r="D651" s="9">
        <v>1090</v>
      </c>
      <c r="E651" s="9">
        <f>+Tablo3[[#This Row],[Birim Fiyat]]*Tablo3[[#This Row],[Satış Adet]]</f>
        <v>2180</v>
      </c>
      <c r="F651" s="9">
        <v>580</v>
      </c>
      <c r="G651" t="s">
        <v>61</v>
      </c>
      <c r="H651" t="s">
        <v>35</v>
      </c>
    </row>
    <row r="652" spans="1:8" x14ac:dyDescent="0.25">
      <c r="A652" t="s">
        <v>36</v>
      </c>
      <c r="B652" t="s">
        <v>28</v>
      </c>
      <c r="C652">
        <v>3</v>
      </c>
      <c r="D652" s="9">
        <v>1200</v>
      </c>
      <c r="E652" s="9">
        <f>+Tablo3[[#This Row],[Birim Fiyat]]*Tablo3[[#This Row],[Satış Adet]]</f>
        <v>3600</v>
      </c>
      <c r="F652" s="9">
        <v>1200</v>
      </c>
      <c r="G652" t="s">
        <v>61</v>
      </c>
      <c r="H652" t="s">
        <v>24</v>
      </c>
    </row>
    <row r="653" spans="1:8" x14ac:dyDescent="0.25">
      <c r="A653" t="s">
        <v>48</v>
      </c>
      <c r="B653" t="s">
        <v>32</v>
      </c>
      <c r="C653">
        <v>2</v>
      </c>
      <c r="D653" s="9">
        <v>1090</v>
      </c>
      <c r="E653" s="9">
        <f>+Tablo3[[#This Row],[Birim Fiyat]]*Tablo3[[#This Row],[Satış Adet]]</f>
        <v>2180</v>
      </c>
      <c r="F653" s="9">
        <v>580</v>
      </c>
      <c r="G653" t="s">
        <v>61</v>
      </c>
      <c r="H653" t="s">
        <v>11</v>
      </c>
    </row>
    <row r="654" spans="1:8" x14ac:dyDescent="0.25">
      <c r="A654" t="s">
        <v>48</v>
      </c>
      <c r="B654" t="s">
        <v>21</v>
      </c>
      <c r="C654">
        <v>3</v>
      </c>
      <c r="D654" s="9">
        <v>2180</v>
      </c>
      <c r="E654" s="9">
        <f>+Tablo3[[#This Row],[Birim Fiyat]]*Tablo3[[#This Row],[Satış Adet]]</f>
        <v>6540</v>
      </c>
      <c r="F654" s="9">
        <v>2040</v>
      </c>
      <c r="G654" t="s">
        <v>61</v>
      </c>
      <c r="H654" t="s">
        <v>17</v>
      </c>
    </row>
    <row r="655" spans="1:8" x14ac:dyDescent="0.25">
      <c r="A655" t="s">
        <v>15</v>
      </c>
      <c r="B655" t="s">
        <v>54</v>
      </c>
      <c r="C655">
        <v>3</v>
      </c>
      <c r="D655" s="9">
        <v>5300</v>
      </c>
      <c r="E655" s="9">
        <f>+Tablo3[[#This Row],[Birim Fiyat]]*Tablo3[[#This Row],[Satış Adet]]</f>
        <v>15900</v>
      </c>
      <c r="F655" s="9">
        <v>3900</v>
      </c>
      <c r="G655" t="s">
        <v>61</v>
      </c>
      <c r="H655" t="s">
        <v>52</v>
      </c>
    </row>
    <row r="656" spans="1:8" x14ac:dyDescent="0.25">
      <c r="A656" t="s">
        <v>48</v>
      </c>
      <c r="B656" t="s">
        <v>54</v>
      </c>
      <c r="C656">
        <v>2</v>
      </c>
      <c r="D656" s="9">
        <v>5300</v>
      </c>
      <c r="E656" s="9">
        <f>+Tablo3[[#This Row],[Birim Fiyat]]*Tablo3[[#This Row],[Satış Adet]]</f>
        <v>10600</v>
      </c>
      <c r="F656" s="9">
        <v>2600</v>
      </c>
      <c r="G656" t="s">
        <v>61</v>
      </c>
      <c r="H656" t="s">
        <v>17</v>
      </c>
    </row>
    <row r="657" spans="1:8" x14ac:dyDescent="0.25">
      <c r="A657" t="s">
        <v>67</v>
      </c>
      <c r="B657" t="s">
        <v>25</v>
      </c>
      <c r="C657">
        <v>2</v>
      </c>
      <c r="D657" s="9">
        <v>7250</v>
      </c>
      <c r="E657" s="9">
        <f>+Tablo3[[#This Row],[Birim Fiyat]]*Tablo3[[#This Row],[Satış Adet]]</f>
        <v>14500</v>
      </c>
      <c r="F657" s="9">
        <v>4500</v>
      </c>
      <c r="G657" t="s">
        <v>61</v>
      </c>
      <c r="H657" t="s">
        <v>27</v>
      </c>
    </row>
    <row r="658" spans="1:8" x14ac:dyDescent="0.25">
      <c r="A658" t="s">
        <v>67</v>
      </c>
      <c r="B658" t="s">
        <v>51</v>
      </c>
      <c r="C658">
        <v>3</v>
      </c>
      <c r="D658" s="9">
        <v>1200</v>
      </c>
      <c r="E658" s="9">
        <f>+Tablo3[[#This Row],[Birim Fiyat]]*Tablo3[[#This Row],[Satış Adet]]</f>
        <v>3600</v>
      </c>
      <c r="F658" s="9">
        <v>1200</v>
      </c>
      <c r="G658" t="s">
        <v>61</v>
      </c>
      <c r="H658" t="s">
        <v>40</v>
      </c>
    </row>
    <row r="659" spans="1:8" x14ac:dyDescent="0.25">
      <c r="A659" t="s">
        <v>18</v>
      </c>
      <c r="B659" t="s">
        <v>9</v>
      </c>
      <c r="C659">
        <v>1</v>
      </c>
      <c r="D659" s="9">
        <v>6000</v>
      </c>
      <c r="E659" s="9">
        <f>+Tablo3[[#This Row],[Birim Fiyat]]*Tablo3[[#This Row],[Satış Adet]]</f>
        <v>6000</v>
      </c>
      <c r="F659" s="9">
        <v>2000</v>
      </c>
      <c r="G659" t="s">
        <v>61</v>
      </c>
      <c r="H659" t="s">
        <v>27</v>
      </c>
    </row>
    <row r="660" spans="1:8" x14ac:dyDescent="0.25">
      <c r="A660" t="s">
        <v>15</v>
      </c>
      <c r="B660" t="s">
        <v>16</v>
      </c>
      <c r="C660">
        <v>3</v>
      </c>
      <c r="D660" s="9">
        <v>8450</v>
      </c>
      <c r="E660" s="9">
        <f>+Tablo3[[#This Row],[Birim Fiyat]]*Tablo3[[#This Row],[Satış Adet]]</f>
        <v>25350</v>
      </c>
      <c r="F660" s="9">
        <v>7350</v>
      </c>
      <c r="G660" t="s">
        <v>61</v>
      </c>
      <c r="H660" t="s">
        <v>11</v>
      </c>
    </row>
    <row r="661" spans="1:8" x14ac:dyDescent="0.25">
      <c r="A661" t="s">
        <v>30</v>
      </c>
      <c r="B661" t="s">
        <v>43</v>
      </c>
      <c r="C661">
        <v>1</v>
      </c>
      <c r="D661" s="9">
        <v>4200</v>
      </c>
      <c r="E661" s="9">
        <f>+Tablo3[[#This Row],[Birim Fiyat]]*Tablo3[[#This Row],[Satış Adet]]</f>
        <v>4200</v>
      </c>
      <c r="F661" s="9">
        <v>1200</v>
      </c>
      <c r="G661" t="s">
        <v>61</v>
      </c>
      <c r="H661" t="s">
        <v>44</v>
      </c>
    </row>
    <row r="662" spans="1:8" x14ac:dyDescent="0.25">
      <c r="A662" t="s">
        <v>30</v>
      </c>
      <c r="B662" t="s">
        <v>37</v>
      </c>
      <c r="C662">
        <v>3</v>
      </c>
      <c r="D662" s="9">
        <v>10590</v>
      </c>
      <c r="E662" s="9">
        <f>+Tablo3[[#This Row],[Birim Fiyat]]*Tablo3[[#This Row],[Satış Adet]]</f>
        <v>31770</v>
      </c>
      <c r="F662" s="9">
        <v>13770</v>
      </c>
      <c r="G662" t="s">
        <v>61</v>
      </c>
      <c r="H662" t="s">
        <v>14</v>
      </c>
    </row>
    <row r="663" spans="1:8" x14ac:dyDescent="0.25">
      <c r="A663" t="s">
        <v>67</v>
      </c>
      <c r="B663" t="s">
        <v>51</v>
      </c>
      <c r="C663">
        <v>1</v>
      </c>
      <c r="D663" s="9">
        <v>1200</v>
      </c>
      <c r="E663" s="9">
        <f>+Tablo3[[#This Row],[Birim Fiyat]]*Tablo3[[#This Row],[Satış Adet]]</f>
        <v>1200</v>
      </c>
      <c r="F663" s="9">
        <v>400</v>
      </c>
      <c r="G663" t="s">
        <v>61</v>
      </c>
      <c r="H663" t="s">
        <v>24</v>
      </c>
    </row>
    <row r="664" spans="1:8" x14ac:dyDescent="0.25">
      <c r="A664" t="s">
        <v>46</v>
      </c>
      <c r="B664" t="s">
        <v>26</v>
      </c>
      <c r="C664">
        <v>2</v>
      </c>
      <c r="D664" s="9">
        <v>1100</v>
      </c>
      <c r="E664" s="9">
        <f>+Tablo3[[#This Row],[Birim Fiyat]]*Tablo3[[#This Row],[Satış Adet]]</f>
        <v>2200</v>
      </c>
      <c r="F664" s="9">
        <v>600</v>
      </c>
      <c r="G664" t="s">
        <v>61</v>
      </c>
      <c r="H664" t="s">
        <v>17</v>
      </c>
    </row>
    <row r="665" spans="1:8" x14ac:dyDescent="0.25">
      <c r="A665" t="s">
        <v>38</v>
      </c>
      <c r="B665" t="s">
        <v>56</v>
      </c>
      <c r="C665">
        <v>2</v>
      </c>
      <c r="D665" s="9">
        <v>3700</v>
      </c>
      <c r="E665" s="9">
        <f>+Tablo3[[#This Row],[Birim Fiyat]]*Tablo3[[#This Row],[Satış Adet]]</f>
        <v>7400</v>
      </c>
      <c r="F665" s="9">
        <v>1400</v>
      </c>
      <c r="G665" t="s">
        <v>61</v>
      </c>
      <c r="H665" t="s">
        <v>44</v>
      </c>
    </row>
    <row r="666" spans="1:8" x14ac:dyDescent="0.25">
      <c r="A666" t="s">
        <v>12</v>
      </c>
      <c r="B666" t="s">
        <v>56</v>
      </c>
      <c r="C666">
        <v>1</v>
      </c>
      <c r="D666" s="9">
        <v>3700</v>
      </c>
      <c r="E666" s="9">
        <f>+Tablo3[[#This Row],[Birim Fiyat]]*Tablo3[[#This Row],[Satış Adet]]</f>
        <v>3700</v>
      </c>
      <c r="F666" s="9">
        <v>700</v>
      </c>
      <c r="G666" t="s">
        <v>61</v>
      </c>
      <c r="H666" t="s">
        <v>17</v>
      </c>
    </row>
    <row r="667" spans="1:8" x14ac:dyDescent="0.25">
      <c r="A667" t="s">
        <v>30</v>
      </c>
      <c r="B667" t="s">
        <v>26</v>
      </c>
      <c r="C667">
        <v>3</v>
      </c>
      <c r="D667" s="9">
        <v>1100</v>
      </c>
      <c r="E667" s="9">
        <f>+Tablo3[[#This Row],[Birim Fiyat]]*Tablo3[[#This Row],[Satış Adet]]</f>
        <v>3300</v>
      </c>
      <c r="F667" s="9">
        <v>900</v>
      </c>
      <c r="G667" t="s">
        <v>61</v>
      </c>
      <c r="H667" t="s">
        <v>27</v>
      </c>
    </row>
    <row r="668" spans="1:8" x14ac:dyDescent="0.25">
      <c r="A668" t="s">
        <v>67</v>
      </c>
      <c r="B668" t="s">
        <v>56</v>
      </c>
      <c r="C668">
        <v>1</v>
      </c>
      <c r="D668" s="9">
        <v>3700</v>
      </c>
      <c r="E668" s="9">
        <f>+Tablo3[[#This Row],[Birim Fiyat]]*Tablo3[[#This Row],[Satış Adet]]</f>
        <v>3700</v>
      </c>
      <c r="F668" s="9">
        <v>700</v>
      </c>
      <c r="G668" t="s">
        <v>61</v>
      </c>
      <c r="H668" t="s">
        <v>17</v>
      </c>
    </row>
    <row r="669" spans="1:8" x14ac:dyDescent="0.25">
      <c r="A669" t="s">
        <v>46</v>
      </c>
      <c r="B669" t="s">
        <v>41</v>
      </c>
      <c r="C669">
        <v>1</v>
      </c>
      <c r="D669" s="9">
        <v>1490</v>
      </c>
      <c r="E669" s="9">
        <f>+Tablo3[[#This Row],[Birim Fiyat]]*Tablo3[[#This Row],[Satış Adet]]</f>
        <v>1490</v>
      </c>
      <c r="F669" s="9">
        <v>690</v>
      </c>
      <c r="G669" t="s">
        <v>61</v>
      </c>
      <c r="H669" t="s">
        <v>11</v>
      </c>
    </row>
    <row r="670" spans="1:8" x14ac:dyDescent="0.25">
      <c r="A670" t="s">
        <v>38</v>
      </c>
      <c r="B670" t="s">
        <v>55</v>
      </c>
      <c r="C670">
        <v>1</v>
      </c>
      <c r="D670" s="9">
        <v>1500</v>
      </c>
      <c r="E670" s="9">
        <f>+Tablo3[[#This Row],[Birim Fiyat]]*Tablo3[[#This Row],[Satış Adet]]</f>
        <v>1500</v>
      </c>
      <c r="F670" s="9">
        <v>700</v>
      </c>
      <c r="G670" t="s">
        <v>61</v>
      </c>
      <c r="H670" t="s">
        <v>24</v>
      </c>
    </row>
    <row r="671" spans="1:8" x14ac:dyDescent="0.25">
      <c r="A671" t="s">
        <v>36</v>
      </c>
      <c r="B671" t="s">
        <v>32</v>
      </c>
      <c r="C671">
        <v>2</v>
      </c>
      <c r="D671" s="9">
        <v>1090</v>
      </c>
      <c r="E671" s="9">
        <f>+Tablo3[[#This Row],[Birim Fiyat]]*Tablo3[[#This Row],[Satış Adet]]</f>
        <v>2180</v>
      </c>
      <c r="F671" s="9">
        <v>580</v>
      </c>
      <c r="G671" t="s">
        <v>61</v>
      </c>
      <c r="H671" t="s">
        <v>39</v>
      </c>
    </row>
    <row r="672" spans="1:8" x14ac:dyDescent="0.25">
      <c r="A672" t="s">
        <v>46</v>
      </c>
      <c r="B672" t="s">
        <v>31</v>
      </c>
      <c r="C672">
        <v>3</v>
      </c>
      <c r="D672" s="9">
        <v>1800</v>
      </c>
      <c r="E672" s="9">
        <f>+Tablo3[[#This Row],[Birim Fiyat]]*Tablo3[[#This Row],[Satış Adet]]</f>
        <v>5400</v>
      </c>
      <c r="F672" s="9">
        <v>3000</v>
      </c>
      <c r="G672" t="s">
        <v>61</v>
      </c>
      <c r="H672" t="s">
        <v>14</v>
      </c>
    </row>
    <row r="673" spans="1:8" x14ac:dyDescent="0.25">
      <c r="A673" t="s">
        <v>33</v>
      </c>
      <c r="B673" t="s">
        <v>53</v>
      </c>
      <c r="C673">
        <v>2</v>
      </c>
      <c r="D673" s="9">
        <v>7530</v>
      </c>
      <c r="E673" s="9">
        <f>+Tablo3[[#This Row],[Birim Fiyat]]*Tablo3[[#This Row],[Satış Adet]]</f>
        <v>15060</v>
      </c>
      <c r="F673" s="9">
        <v>3060</v>
      </c>
      <c r="G673" t="s">
        <v>61</v>
      </c>
      <c r="H673" t="s">
        <v>40</v>
      </c>
    </row>
    <row r="674" spans="1:8" x14ac:dyDescent="0.25">
      <c r="A674" t="s">
        <v>30</v>
      </c>
      <c r="B674" t="s">
        <v>26</v>
      </c>
      <c r="C674">
        <v>3</v>
      </c>
      <c r="D674" s="9">
        <v>1100</v>
      </c>
      <c r="E674" s="9">
        <f>+Tablo3[[#This Row],[Birim Fiyat]]*Tablo3[[#This Row],[Satış Adet]]</f>
        <v>3300</v>
      </c>
      <c r="F674" s="9">
        <v>900</v>
      </c>
      <c r="G674" t="s">
        <v>61</v>
      </c>
      <c r="H674" t="s">
        <v>39</v>
      </c>
    </row>
    <row r="675" spans="1:8" x14ac:dyDescent="0.25">
      <c r="A675" t="s">
        <v>38</v>
      </c>
      <c r="B675" t="s">
        <v>19</v>
      </c>
      <c r="C675">
        <v>3</v>
      </c>
      <c r="D675" s="9">
        <v>1350</v>
      </c>
      <c r="E675" s="9">
        <f>+Tablo3[[#This Row],[Birim Fiyat]]*Tablo3[[#This Row],[Satış Adet]]</f>
        <v>4050</v>
      </c>
      <c r="F675" s="9">
        <v>1650</v>
      </c>
      <c r="G675" t="s">
        <v>61</v>
      </c>
      <c r="H675" t="s">
        <v>11</v>
      </c>
    </row>
    <row r="676" spans="1:8" x14ac:dyDescent="0.25">
      <c r="A676" t="s">
        <v>36</v>
      </c>
      <c r="B676" t="s">
        <v>19</v>
      </c>
      <c r="C676">
        <v>1</v>
      </c>
      <c r="D676" s="9">
        <v>1350</v>
      </c>
      <c r="E676" s="9">
        <f>+Tablo3[[#This Row],[Birim Fiyat]]*Tablo3[[#This Row],[Satış Adet]]</f>
        <v>1350</v>
      </c>
      <c r="F676" s="9">
        <v>550</v>
      </c>
      <c r="G676" t="s">
        <v>61</v>
      </c>
      <c r="H676" t="s">
        <v>35</v>
      </c>
    </row>
    <row r="677" spans="1:8" x14ac:dyDescent="0.25">
      <c r="A677" t="s">
        <v>33</v>
      </c>
      <c r="B677" t="s">
        <v>32</v>
      </c>
      <c r="C677">
        <v>2</v>
      </c>
      <c r="D677" s="9">
        <v>1090</v>
      </c>
      <c r="E677" s="9">
        <f>+Tablo3[[#This Row],[Birim Fiyat]]*Tablo3[[#This Row],[Satış Adet]]</f>
        <v>2180</v>
      </c>
      <c r="F677" s="9">
        <v>580</v>
      </c>
      <c r="G677" t="s">
        <v>61</v>
      </c>
      <c r="H677" t="s">
        <v>14</v>
      </c>
    </row>
    <row r="678" spans="1:8" x14ac:dyDescent="0.25">
      <c r="A678" t="s">
        <v>33</v>
      </c>
      <c r="B678" t="s">
        <v>43</v>
      </c>
      <c r="C678">
        <v>1</v>
      </c>
      <c r="D678" s="9">
        <v>4200</v>
      </c>
      <c r="E678" s="9">
        <f>+Tablo3[[#This Row],[Birim Fiyat]]*Tablo3[[#This Row],[Satış Adet]]</f>
        <v>4200</v>
      </c>
      <c r="F678" s="9">
        <v>1200</v>
      </c>
      <c r="G678" t="s">
        <v>61</v>
      </c>
      <c r="H678" t="s">
        <v>24</v>
      </c>
    </row>
    <row r="679" spans="1:8" x14ac:dyDescent="0.25">
      <c r="A679" t="s">
        <v>38</v>
      </c>
      <c r="B679" t="s">
        <v>31</v>
      </c>
      <c r="C679">
        <v>2</v>
      </c>
      <c r="D679" s="9">
        <v>1800</v>
      </c>
      <c r="E679" s="9">
        <f>+Tablo3[[#This Row],[Birim Fiyat]]*Tablo3[[#This Row],[Satış Adet]]</f>
        <v>3600</v>
      </c>
      <c r="F679" s="9">
        <v>2000</v>
      </c>
      <c r="G679" t="s">
        <v>61</v>
      </c>
      <c r="H679" t="s">
        <v>44</v>
      </c>
    </row>
    <row r="680" spans="1:8" x14ac:dyDescent="0.25">
      <c r="A680" t="s">
        <v>48</v>
      </c>
      <c r="B680" t="s">
        <v>32</v>
      </c>
      <c r="C680">
        <v>1</v>
      </c>
      <c r="D680" s="9">
        <v>1090</v>
      </c>
      <c r="E680" s="9">
        <f>+Tablo3[[#This Row],[Birim Fiyat]]*Tablo3[[#This Row],[Satış Adet]]</f>
        <v>1090</v>
      </c>
      <c r="F680" s="9">
        <v>290</v>
      </c>
      <c r="G680" t="s">
        <v>61</v>
      </c>
      <c r="H680" t="s">
        <v>42</v>
      </c>
    </row>
    <row r="681" spans="1:8" x14ac:dyDescent="0.25">
      <c r="A681" t="s">
        <v>8</v>
      </c>
      <c r="B681" t="s">
        <v>23</v>
      </c>
      <c r="C681">
        <v>1</v>
      </c>
      <c r="D681" s="9">
        <v>7600</v>
      </c>
      <c r="E681" s="9">
        <f>+Tablo3[[#This Row],[Birim Fiyat]]*Tablo3[[#This Row],[Satış Adet]]</f>
        <v>7600</v>
      </c>
      <c r="F681" s="9">
        <v>1600</v>
      </c>
      <c r="G681" t="s">
        <v>61</v>
      </c>
      <c r="H681" t="s">
        <v>20</v>
      </c>
    </row>
    <row r="682" spans="1:8" x14ac:dyDescent="0.25">
      <c r="A682" t="s">
        <v>36</v>
      </c>
      <c r="B682" t="s">
        <v>23</v>
      </c>
      <c r="C682">
        <v>3</v>
      </c>
      <c r="D682" s="9">
        <v>7600</v>
      </c>
      <c r="E682" s="9">
        <f>+Tablo3[[#This Row],[Birim Fiyat]]*Tablo3[[#This Row],[Satış Adet]]</f>
        <v>22800</v>
      </c>
      <c r="F682" s="9">
        <v>4800</v>
      </c>
      <c r="G682" t="s">
        <v>61</v>
      </c>
      <c r="H682" t="s">
        <v>11</v>
      </c>
    </row>
    <row r="683" spans="1:8" x14ac:dyDescent="0.25">
      <c r="A683" t="s">
        <v>15</v>
      </c>
      <c r="B683" t="s">
        <v>56</v>
      </c>
      <c r="C683">
        <v>1</v>
      </c>
      <c r="D683" s="9">
        <v>3700</v>
      </c>
      <c r="E683" s="9">
        <f>+Tablo3[[#This Row],[Birim Fiyat]]*Tablo3[[#This Row],[Satış Adet]]</f>
        <v>3700</v>
      </c>
      <c r="F683" s="9">
        <v>700</v>
      </c>
      <c r="G683" t="s">
        <v>61</v>
      </c>
      <c r="H683" t="s">
        <v>39</v>
      </c>
    </row>
    <row r="684" spans="1:8" x14ac:dyDescent="0.25">
      <c r="A684" t="s">
        <v>22</v>
      </c>
      <c r="B684" t="s">
        <v>25</v>
      </c>
      <c r="C684">
        <v>3</v>
      </c>
      <c r="D684" s="9">
        <v>7250</v>
      </c>
      <c r="E684" s="9">
        <f>+Tablo3[[#This Row],[Birim Fiyat]]*Tablo3[[#This Row],[Satış Adet]]</f>
        <v>21750</v>
      </c>
      <c r="F684" s="9">
        <v>6750</v>
      </c>
      <c r="G684" t="s">
        <v>61</v>
      </c>
      <c r="H684" t="s">
        <v>42</v>
      </c>
    </row>
    <row r="685" spans="1:8" x14ac:dyDescent="0.25">
      <c r="A685" t="s">
        <v>12</v>
      </c>
      <c r="B685" t="s">
        <v>23</v>
      </c>
      <c r="C685">
        <v>3</v>
      </c>
      <c r="D685" s="9">
        <v>7600</v>
      </c>
      <c r="E685" s="9">
        <f>+Tablo3[[#This Row],[Birim Fiyat]]*Tablo3[[#This Row],[Satış Adet]]</f>
        <v>22800</v>
      </c>
      <c r="F685" s="9">
        <v>4800</v>
      </c>
      <c r="G685" t="s">
        <v>61</v>
      </c>
      <c r="H685" t="s">
        <v>27</v>
      </c>
    </row>
    <row r="686" spans="1:8" x14ac:dyDescent="0.25">
      <c r="A686" t="s">
        <v>46</v>
      </c>
      <c r="B686" t="s">
        <v>43</v>
      </c>
      <c r="C686">
        <v>1</v>
      </c>
      <c r="D686" s="9">
        <v>4200</v>
      </c>
      <c r="E686" s="9">
        <f>+Tablo3[[#This Row],[Birim Fiyat]]*Tablo3[[#This Row],[Satış Adet]]</f>
        <v>4200</v>
      </c>
      <c r="F686" s="9">
        <v>1200</v>
      </c>
      <c r="G686" t="s">
        <v>61</v>
      </c>
      <c r="H686" t="s">
        <v>42</v>
      </c>
    </row>
    <row r="687" spans="1:8" x14ac:dyDescent="0.25">
      <c r="A687" t="s">
        <v>30</v>
      </c>
      <c r="B687" t="s">
        <v>50</v>
      </c>
      <c r="C687">
        <v>3</v>
      </c>
      <c r="D687" s="9">
        <v>1250</v>
      </c>
      <c r="E687" s="9">
        <f>+Tablo3[[#This Row],[Birim Fiyat]]*Tablo3[[#This Row],[Satış Adet]]</f>
        <v>3750</v>
      </c>
      <c r="F687" s="9">
        <v>1350</v>
      </c>
      <c r="G687" t="s">
        <v>61</v>
      </c>
      <c r="H687" t="s">
        <v>17</v>
      </c>
    </row>
    <row r="688" spans="1:8" x14ac:dyDescent="0.25">
      <c r="A688" t="s">
        <v>36</v>
      </c>
      <c r="B688" t="s">
        <v>32</v>
      </c>
      <c r="C688">
        <v>1</v>
      </c>
      <c r="D688" s="9">
        <v>1090</v>
      </c>
      <c r="E688" s="9">
        <f>+Tablo3[[#This Row],[Birim Fiyat]]*Tablo3[[#This Row],[Satış Adet]]</f>
        <v>1090</v>
      </c>
      <c r="F688" s="9">
        <v>290</v>
      </c>
      <c r="G688" t="s">
        <v>61</v>
      </c>
      <c r="H688" t="s">
        <v>24</v>
      </c>
    </row>
    <row r="689" spans="1:8" x14ac:dyDescent="0.25">
      <c r="A689" t="s">
        <v>18</v>
      </c>
      <c r="B689" t="s">
        <v>21</v>
      </c>
      <c r="C689">
        <v>1</v>
      </c>
      <c r="D689" s="9">
        <v>2180</v>
      </c>
      <c r="E689" s="9">
        <f>+Tablo3[[#This Row],[Birim Fiyat]]*Tablo3[[#This Row],[Satış Adet]]</f>
        <v>2180</v>
      </c>
      <c r="F689" s="9">
        <v>680</v>
      </c>
      <c r="G689" t="s">
        <v>61</v>
      </c>
      <c r="H689" t="s">
        <v>40</v>
      </c>
    </row>
    <row r="690" spans="1:8" x14ac:dyDescent="0.25">
      <c r="A690" t="s">
        <v>48</v>
      </c>
      <c r="B690" t="s">
        <v>56</v>
      </c>
      <c r="C690">
        <v>2</v>
      </c>
      <c r="D690" s="9">
        <v>3700</v>
      </c>
      <c r="E690" s="9">
        <f>+Tablo3[[#This Row],[Birim Fiyat]]*Tablo3[[#This Row],[Satış Adet]]</f>
        <v>7400</v>
      </c>
      <c r="F690" s="9">
        <v>1400</v>
      </c>
      <c r="G690" t="s">
        <v>61</v>
      </c>
      <c r="H690" t="s">
        <v>40</v>
      </c>
    </row>
    <row r="691" spans="1:8" x14ac:dyDescent="0.25">
      <c r="A691" t="s">
        <v>38</v>
      </c>
      <c r="B691" t="s">
        <v>9</v>
      </c>
      <c r="C691">
        <v>2</v>
      </c>
      <c r="D691" s="9">
        <v>6000</v>
      </c>
      <c r="E691" s="9">
        <f>+Tablo3[[#This Row],[Birim Fiyat]]*Tablo3[[#This Row],[Satış Adet]]</f>
        <v>12000</v>
      </c>
      <c r="F691" s="9">
        <v>4000</v>
      </c>
      <c r="G691" t="s">
        <v>61</v>
      </c>
      <c r="H691" t="s">
        <v>39</v>
      </c>
    </row>
    <row r="692" spans="1:8" x14ac:dyDescent="0.25">
      <c r="A692" t="s">
        <v>46</v>
      </c>
      <c r="B692" t="s">
        <v>50</v>
      </c>
      <c r="C692">
        <v>2</v>
      </c>
      <c r="D692" s="9">
        <v>1250</v>
      </c>
      <c r="E692" s="9">
        <f>+Tablo3[[#This Row],[Birim Fiyat]]*Tablo3[[#This Row],[Satış Adet]]</f>
        <v>2500</v>
      </c>
      <c r="F692" s="9">
        <v>900</v>
      </c>
      <c r="G692" t="s">
        <v>61</v>
      </c>
      <c r="H692" t="s">
        <v>17</v>
      </c>
    </row>
    <row r="693" spans="1:8" x14ac:dyDescent="0.25">
      <c r="A693" t="s">
        <v>48</v>
      </c>
      <c r="B693" t="s">
        <v>23</v>
      </c>
      <c r="C693">
        <v>1</v>
      </c>
      <c r="D693" s="9">
        <v>7600</v>
      </c>
      <c r="E693" s="9">
        <f>+Tablo3[[#This Row],[Birim Fiyat]]*Tablo3[[#This Row],[Satış Adet]]</f>
        <v>7600</v>
      </c>
      <c r="F693" s="9">
        <v>1600</v>
      </c>
      <c r="G693" t="s">
        <v>61</v>
      </c>
      <c r="H693" t="s">
        <v>42</v>
      </c>
    </row>
    <row r="694" spans="1:8" x14ac:dyDescent="0.25">
      <c r="A694" t="s">
        <v>8</v>
      </c>
      <c r="B694" t="s">
        <v>13</v>
      </c>
      <c r="C694">
        <v>2</v>
      </c>
      <c r="D694" s="9">
        <v>1400</v>
      </c>
      <c r="E694" s="9">
        <f>+Tablo3[[#This Row],[Birim Fiyat]]*Tablo3[[#This Row],[Satış Adet]]</f>
        <v>2800</v>
      </c>
      <c r="F694" s="9">
        <v>1200</v>
      </c>
      <c r="G694" t="s">
        <v>61</v>
      </c>
      <c r="H694" t="s">
        <v>40</v>
      </c>
    </row>
    <row r="695" spans="1:8" x14ac:dyDescent="0.25">
      <c r="A695" t="s">
        <v>22</v>
      </c>
      <c r="B695" t="s">
        <v>21</v>
      </c>
      <c r="C695">
        <v>2</v>
      </c>
      <c r="D695" s="9">
        <v>2180</v>
      </c>
      <c r="E695" s="9">
        <f>+Tablo3[[#This Row],[Birim Fiyat]]*Tablo3[[#This Row],[Satış Adet]]</f>
        <v>4360</v>
      </c>
      <c r="F695" s="9">
        <v>1360</v>
      </c>
      <c r="G695" t="s">
        <v>61</v>
      </c>
      <c r="H695" t="s">
        <v>44</v>
      </c>
    </row>
    <row r="696" spans="1:8" x14ac:dyDescent="0.25">
      <c r="A696" t="s">
        <v>8</v>
      </c>
      <c r="B696" t="s">
        <v>31</v>
      </c>
      <c r="C696">
        <v>3</v>
      </c>
      <c r="D696" s="9">
        <v>1800</v>
      </c>
      <c r="E696" s="9">
        <f>+Tablo3[[#This Row],[Birim Fiyat]]*Tablo3[[#This Row],[Satış Adet]]</f>
        <v>5400</v>
      </c>
      <c r="F696" s="9">
        <v>3000</v>
      </c>
      <c r="G696" t="s">
        <v>61</v>
      </c>
      <c r="H696" t="s">
        <v>17</v>
      </c>
    </row>
    <row r="697" spans="1:8" x14ac:dyDescent="0.25">
      <c r="A697" t="s">
        <v>15</v>
      </c>
      <c r="B697" t="s">
        <v>55</v>
      </c>
      <c r="C697">
        <v>1</v>
      </c>
      <c r="D697" s="9">
        <v>1500</v>
      </c>
      <c r="E697" s="9">
        <f>+Tablo3[[#This Row],[Birim Fiyat]]*Tablo3[[#This Row],[Satış Adet]]</f>
        <v>1500</v>
      </c>
      <c r="F697" s="9">
        <v>700</v>
      </c>
      <c r="G697" t="s">
        <v>61</v>
      </c>
      <c r="H697" t="s">
        <v>42</v>
      </c>
    </row>
    <row r="698" spans="1:8" x14ac:dyDescent="0.25">
      <c r="A698" t="s">
        <v>30</v>
      </c>
      <c r="B698" t="s">
        <v>16</v>
      </c>
      <c r="C698">
        <v>3</v>
      </c>
      <c r="D698" s="9">
        <v>8450</v>
      </c>
      <c r="E698" s="9">
        <f>+Tablo3[[#This Row],[Birim Fiyat]]*Tablo3[[#This Row],[Satış Adet]]</f>
        <v>25350</v>
      </c>
      <c r="F698" s="9">
        <v>7350</v>
      </c>
      <c r="G698" t="s">
        <v>61</v>
      </c>
      <c r="H698" t="s">
        <v>27</v>
      </c>
    </row>
    <row r="699" spans="1:8" x14ac:dyDescent="0.25">
      <c r="A699" t="s">
        <v>38</v>
      </c>
      <c r="B699" t="s">
        <v>55</v>
      </c>
      <c r="C699">
        <v>3</v>
      </c>
      <c r="D699" s="9">
        <v>1500</v>
      </c>
      <c r="E699" s="9">
        <f>+Tablo3[[#This Row],[Birim Fiyat]]*Tablo3[[#This Row],[Satış Adet]]</f>
        <v>4500</v>
      </c>
      <c r="F699" s="9">
        <v>2100</v>
      </c>
      <c r="G699" t="s">
        <v>61</v>
      </c>
      <c r="H699" t="s">
        <v>35</v>
      </c>
    </row>
    <row r="700" spans="1:8" x14ac:dyDescent="0.25">
      <c r="A700" t="s">
        <v>67</v>
      </c>
      <c r="B700" t="s">
        <v>9</v>
      </c>
      <c r="C700">
        <v>3</v>
      </c>
      <c r="D700" s="9">
        <v>6000</v>
      </c>
      <c r="E700" s="9">
        <f>+Tablo3[[#This Row],[Birim Fiyat]]*Tablo3[[#This Row],[Satış Adet]]</f>
        <v>18000</v>
      </c>
      <c r="F700" s="9">
        <v>6000</v>
      </c>
      <c r="G700" t="s">
        <v>61</v>
      </c>
      <c r="H700" t="s">
        <v>20</v>
      </c>
    </row>
    <row r="701" spans="1:8" x14ac:dyDescent="0.25">
      <c r="A701" t="s">
        <v>48</v>
      </c>
      <c r="B701" t="s">
        <v>51</v>
      </c>
      <c r="C701">
        <v>1</v>
      </c>
      <c r="D701" s="9">
        <v>1200</v>
      </c>
      <c r="E701" s="9">
        <f>+Tablo3[[#This Row],[Birim Fiyat]]*Tablo3[[#This Row],[Satış Adet]]</f>
        <v>1200</v>
      </c>
      <c r="F701" s="9">
        <v>400</v>
      </c>
      <c r="G701" t="s">
        <v>61</v>
      </c>
      <c r="H701" t="s">
        <v>39</v>
      </c>
    </row>
    <row r="702" spans="1:8" x14ac:dyDescent="0.25">
      <c r="A702" t="s">
        <v>8</v>
      </c>
      <c r="B702" t="s">
        <v>43</v>
      </c>
      <c r="C702">
        <v>3</v>
      </c>
      <c r="D702" s="9">
        <v>4200</v>
      </c>
      <c r="E702" s="9">
        <f>+Tablo3[[#This Row],[Birim Fiyat]]*Tablo3[[#This Row],[Satış Adet]]</f>
        <v>12600</v>
      </c>
      <c r="F702" s="9">
        <v>3600</v>
      </c>
      <c r="G702" t="s">
        <v>61</v>
      </c>
      <c r="H702" t="s">
        <v>52</v>
      </c>
    </row>
    <row r="703" spans="1:8" x14ac:dyDescent="0.25">
      <c r="A703" t="s">
        <v>46</v>
      </c>
      <c r="B703" t="s">
        <v>23</v>
      </c>
      <c r="C703">
        <v>3</v>
      </c>
      <c r="D703" s="9">
        <v>7600</v>
      </c>
      <c r="E703" s="9">
        <f>+Tablo3[[#This Row],[Birim Fiyat]]*Tablo3[[#This Row],[Satış Adet]]</f>
        <v>22800</v>
      </c>
      <c r="F703" s="9">
        <v>4800</v>
      </c>
      <c r="G703" t="s">
        <v>61</v>
      </c>
      <c r="H703" t="s">
        <v>40</v>
      </c>
    </row>
    <row r="704" spans="1:8" x14ac:dyDescent="0.25">
      <c r="A704" t="s">
        <v>67</v>
      </c>
      <c r="B704" t="s">
        <v>25</v>
      </c>
      <c r="C704">
        <v>2</v>
      </c>
      <c r="D704" s="9">
        <v>7250</v>
      </c>
      <c r="E704" s="9">
        <f>+Tablo3[[#This Row],[Birim Fiyat]]*Tablo3[[#This Row],[Satış Adet]]</f>
        <v>14500</v>
      </c>
      <c r="F704" s="9">
        <v>4500</v>
      </c>
      <c r="G704" t="s">
        <v>61</v>
      </c>
      <c r="H704" t="s">
        <v>42</v>
      </c>
    </row>
    <row r="705" spans="1:8" x14ac:dyDescent="0.25">
      <c r="A705" t="s">
        <v>12</v>
      </c>
      <c r="B705" t="s">
        <v>53</v>
      </c>
      <c r="C705">
        <v>2</v>
      </c>
      <c r="D705" s="9">
        <v>7530</v>
      </c>
      <c r="E705" s="9">
        <f>+Tablo3[[#This Row],[Birim Fiyat]]*Tablo3[[#This Row],[Satış Adet]]</f>
        <v>15060</v>
      </c>
      <c r="F705" s="9">
        <v>3060</v>
      </c>
      <c r="G705" t="s">
        <v>61</v>
      </c>
      <c r="H705" t="s">
        <v>14</v>
      </c>
    </row>
    <row r="706" spans="1:8" x14ac:dyDescent="0.25">
      <c r="A706" t="s">
        <v>15</v>
      </c>
      <c r="B706" t="s">
        <v>25</v>
      </c>
      <c r="C706">
        <v>2</v>
      </c>
      <c r="D706" s="9">
        <v>7250</v>
      </c>
      <c r="E706" s="9">
        <f>+Tablo3[[#This Row],[Birim Fiyat]]*Tablo3[[#This Row],[Satış Adet]]</f>
        <v>14500</v>
      </c>
      <c r="F706" s="9">
        <v>4500</v>
      </c>
      <c r="G706" t="s">
        <v>61</v>
      </c>
      <c r="H706" t="s">
        <v>20</v>
      </c>
    </row>
    <row r="707" spans="1:8" x14ac:dyDescent="0.25">
      <c r="A707" t="s">
        <v>12</v>
      </c>
      <c r="B707" t="s">
        <v>9</v>
      </c>
      <c r="C707">
        <v>1</v>
      </c>
      <c r="D707" s="9">
        <v>6000</v>
      </c>
      <c r="E707" s="9">
        <f>+Tablo3[[#This Row],[Birim Fiyat]]*Tablo3[[#This Row],[Satış Adet]]</f>
        <v>6000</v>
      </c>
      <c r="F707" s="9">
        <v>2000</v>
      </c>
      <c r="G707" t="s">
        <v>61</v>
      </c>
      <c r="H707" t="s">
        <v>29</v>
      </c>
    </row>
    <row r="708" spans="1:8" x14ac:dyDescent="0.25">
      <c r="A708" t="s">
        <v>67</v>
      </c>
      <c r="B708" t="s">
        <v>51</v>
      </c>
      <c r="C708">
        <v>3</v>
      </c>
      <c r="D708" s="9">
        <v>1200</v>
      </c>
      <c r="E708" s="9">
        <f>+Tablo3[[#This Row],[Birim Fiyat]]*Tablo3[[#This Row],[Satış Adet]]</f>
        <v>3600</v>
      </c>
      <c r="F708" s="9">
        <v>1200</v>
      </c>
      <c r="G708" t="s">
        <v>62</v>
      </c>
      <c r="H708" t="s">
        <v>27</v>
      </c>
    </row>
    <row r="709" spans="1:8" x14ac:dyDescent="0.25">
      <c r="A709" t="s">
        <v>48</v>
      </c>
      <c r="B709" t="s">
        <v>54</v>
      </c>
      <c r="C709">
        <v>2</v>
      </c>
      <c r="D709" s="9">
        <v>5300</v>
      </c>
      <c r="E709" s="9">
        <f>+Tablo3[[#This Row],[Birim Fiyat]]*Tablo3[[#This Row],[Satış Adet]]</f>
        <v>10600</v>
      </c>
      <c r="F709" s="9">
        <v>2600</v>
      </c>
      <c r="G709" t="s">
        <v>62</v>
      </c>
      <c r="H709" t="s">
        <v>44</v>
      </c>
    </row>
    <row r="710" spans="1:8" x14ac:dyDescent="0.25">
      <c r="A710" t="s">
        <v>36</v>
      </c>
      <c r="B710" t="s">
        <v>16</v>
      </c>
      <c r="C710">
        <v>2</v>
      </c>
      <c r="D710" s="9">
        <v>8450</v>
      </c>
      <c r="E710" s="9">
        <f>+Tablo3[[#This Row],[Birim Fiyat]]*Tablo3[[#This Row],[Satış Adet]]</f>
        <v>16900</v>
      </c>
      <c r="F710" s="9">
        <v>4900</v>
      </c>
      <c r="G710" t="s">
        <v>62</v>
      </c>
      <c r="H710" t="s">
        <v>27</v>
      </c>
    </row>
    <row r="711" spans="1:8" x14ac:dyDescent="0.25">
      <c r="A711" t="s">
        <v>22</v>
      </c>
      <c r="B711" t="s">
        <v>19</v>
      </c>
      <c r="C711">
        <v>1</v>
      </c>
      <c r="D711" s="9">
        <v>1350</v>
      </c>
      <c r="E711" s="9">
        <f>+Tablo3[[#This Row],[Birim Fiyat]]*Tablo3[[#This Row],[Satış Adet]]</f>
        <v>1350</v>
      </c>
      <c r="F711" s="9">
        <v>550</v>
      </c>
      <c r="G711" t="s">
        <v>62</v>
      </c>
      <c r="H711" t="s">
        <v>27</v>
      </c>
    </row>
    <row r="712" spans="1:8" x14ac:dyDescent="0.25">
      <c r="A712" t="s">
        <v>30</v>
      </c>
      <c r="B712" t="s">
        <v>32</v>
      </c>
      <c r="C712">
        <v>1</v>
      </c>
      <c r="D712" s="9">
        <v>1090</v>
      </c>
      <c r="E712" s="9">
        <f>+Tablo3[[#This Row],[Birim Fiyat]]*Tablo3[[#This Row],[Satış Adet]]</f>
        <v>1090</v>
      </c>
      <c r="F712" s="9">
        <v>290</v>
      </c>
      <c r="G712" t="s">
        <v>62</v>
      </c>
      <c r="H712" t="s">
        <v>11</v>
      </c>
    </row>
    <row r="713" spans="1:8" x14ac:dyDescent="0.25">
      <c r="A713" t="s">
        <v>22</v>
      </c>
      <c r="B713" t="s">
        <v>21</v>
      </c>
      <c r="C713">
        <v>1</v>
      </c>
      <c r="D713" s="9">
        <v>2180</v>
      </c>
      <c r="E713" s="9">
        <f>+Tablo3[[#This Row],[Birim Fiyat]]*Tablo3[[#This Row],[Satış Adet]]</f>
        <v>2180</v>
      </c>
      <c r="F713" s="9">
        <v>680</v>
      </c>
      <c r="G713" t="s">
        <v>62</v>
      </c>
      <c r="H713" t="s">
        <v>29</v>
      </c>
    </row>
    <row r="714" spans="1:8" x14ac:dyDescent="0.25">
      <c r="A714" t="s">
        <v>8</v>
      </c>
      <c r="B714" t="s">
        <v>9</v>
      </c>
      <c r="C714">
        <v>2</v>
      </c>
      <c r="D714" s="9">
        <v>6000</v>
      </c>
      <c r="E714" s="9">
        <f>+Tablo3[[#This Row],[Birim Fiyat]]*Tablo3[[#This Row],[Satış Adet]]</f>
        <v>12000</v>
      </c>
      <c r="F714" s="9">
        <v>4000</v>
      </c>
      <c r="G714" t="s">
        <v>62</v>
      </c>
      <c r="H714" t="s">
        <v>42</v>
      </c>
    </row>
    <row r="715" spans="1:8" x14ac:dyDescent="0.25">
      <c r="A715" t="s">
        <v>12</v>
      </c>
      <c r="B715" t="s">
        <v>13</v>
      </c>
      <c r="C715">
        <v>2</v>
      </c>
      <c r="D715" s="9">
        <v>1400</v>
      </c>
      <c r="E715" s="9">
        <f>+Tablo3[[#This Row],[Birim Fiyat]]*Tablo3[[#This Row],[Satış Adet]]</f>
        <v>2800</v>
      </c>
      <c r="F715" s="9">
        <v>1200</v>
      </c>
      <c r="G715" t="s">
        <v>62</v>
      </c>
      <c r="H715" t="s">
        <v>17</v>
      </c>
    </row>
    <row r="716" spans="1:8" x14ac:dyDescent="0.25">
      <c r="A716" t="s">
        <v>15</v>
      </c>
      <c r="B716" t="s">
        <v>16</v>
      </c>
      <c r="C716">
        <v>2</v>
      </c>
      <c r="D716" s="9">
        <v>8450</v>
      </c>
      <c r="E716" s="9">
        <f>+Tablo3[[#This Row],[Birim Fiyat]]*Tablo3[[#This Row],[Satış Adet]]</f>
        <v>16900</v>
      </c>
      <c r="F716" s="9">
        <v>4900</v>
      </c>
      <c r="G716" t="s">
        <v>62</v>
      </c>
      <c r="H716" t="s">
        <v>29</v>
      </c>
    </row>
    <row r="717" spans="1:8" x14ac:dyDescent="0.25">
      <c r="A717" t="s">
        <v>18</v>
      </c>
      <c r="B717" t="s">
        <v>19</v>
      </c>
      <c r="C717">
        <v>3</v>
      </c>
      <c r="D717" s="9">
        <v>1350</v>
      </c>
      <c r="E717" s="9">
        <f>+Tablo3[[#This Row],[Birim Fiyat]]*Tablo3[[#This Row],[Satış Adet]]</f>
        <v>4050</v>
      </c>
      <c r="F717" s="9">
        <v>1650</v>
      </c>
      <c r="G717" t="s">
        <v>62</v>
      </c>
      <c r="H717" t="s">
        <v>42</v>
      </c>
    </row>
    <row r="718" spans="1:8" x14ac:dyDescent="0.25">
      <c r="A718" t="s">
        <v>8</v>
      </c>
      <c r="B718" t="s">
        <v>21</v>
      </c>
      <c r="C718">
        <v>2</v>
      </c>
      <c r="D718" s="9">
        <v>2180</v>
      </c>
      <c r="E718" s="9">
        <f>+Tablo3[[#This Row],[Birim Fiyat]]*Tablo3[[#This Row],[Satış Adet]]</f>
        <v>4360</v>
      </c>
      <c r="F718" s="9">
        <v>1360</v>
      </c>
      <c r="G718" t="s">
        <v>62</v>
      </c>
      <c r="H718" t="s">
        <v>11</v>
      </c>
    </row>
    <row r="719" spans="1:8" x14ac:dyDescent="0.25">
      <c r="A719" t="s">
        <v>22</v>
      </c>
      <c r="B719" t="s">
        <v>23</v>
      </c>
      <c r="C719">
        <v>2</v>
      </c>
      <c r="D719" s="9">
        <v>7600</v>
      </c>
      <c r="E719" s="9">
        <f>+Tablo3[[#This Row],[Birim Fiyat]]*Tablo3[[#This Row],[Satış Adet]]</f>
        <v>15200</v>
      </c>
      <c r="F719" s="9">
        <v>3200</v>
      </c>
      <c r="G719" t="s">
        <v>62</v>
      </c>
      <c r="H719" t="s">
        <v>29</v>
      </c>
    </row>
    <row r="720" spans="1:8" x14ac:dyDescent="0.25">
      <c r="A720" t="s">
        <v>12</v>
      </c>
      <c r="B720" t="s">
        <v>25</v>
      </c>
      <c r="C720">
        <v>2</v>
      </c>
      <c r="D720" s="9">
        <v>7250</v>
      </c>
      <c r="E720" s="9">
        <f>+Tablo3[[#This Row],[Birim Fiyat]]*Tablo3[[#This Row],[Satış Adet]]</f>
        <v>14500</v>
      </c>
      <c r="F720" s="9">
        <v>4500</v>
      </c>
      <c r="G720" t="s">
        <v>62</v>
      </c>
      <c r="H720" t="s">
        <v>29</v>
      </c>
    </row>
    <row r="721" spans="1:8" x14ac:dyDescent="0.25">
      <c r="A721" t="s">
        <v>18</v>
      </c>
      <c r="B721" t="s">
        <v>26</v>
      </c>
      <c r="C721">
        <v>3</v>
      </c>
      <c r="D721" s="9">
        <v>1100</v>
      </c>
      <c r="E721" s="9">
        <f>+Tablo3[[#This Row],[Birim Fiyat]]*Tablo3[[#This Row],[Satış Adet]]</f>
        <v>3300</v>
      </c>
      <c r="F721" s="9">
        <v>900</v>
      </c>
      <c r="G721" t="s">
        <v>62</v>
      </c>
      <c r="H721" t="s">
        <v>24</v>
      </c>
    </row>
    <row r="722" spans="1:8" x14ac:dyDescent="0.25">
      <c r="A722" t="s">
        <v>67</v>
      </c>
      <c r="B722" t="s">
        <v>9</v>
      </c>
      <c r="C722">
        <v>2</v>
      </c>
      <c r="D722" s="9">
        <v>6000</v>
      </c>
      <c r="E722" s="9">
        <f>+Tablo3[[#This Row],[Birim Fiyat]]*Tablo3[[#This Row],[Satış Adet]]</f>
        <v>12000</v>
      </c>
      <c r="F722" s="9">
        <v>4000</v>
      </c>
      <c r="G722" t="s">
        <v>62</v>
      </c>
      <c r="H722" t="s">
        <v>17</v>
      </c>
    </row>
    <row r="723" spans="1:8" x14ac:dyDescent="0.25">
      <c r="A723" t="s">
        <v>8</v>
      </c>
      <c r="B723" t="s">
        <v>28</v>
      </c>
      <c r="C723">
        <v>1</v>
      </c>
      <c r="D723" s="9">
        <v>1200</v>
      </c>
      <c r="E723" s="9">
        <f>+Tablo3[[#This Row],[Birim Fiyat]]*Tablo3[[#This Row],[Satış Adet]]</f>
        <v>1200</v>
      </c>
      <c r="F723" s="9">
        <v>400</v>
      </c>
      <c r="G723" t="s">
        <v>62</v>
      </c>
      <c r="H723" t="s">
        <v>11</v>
      </c>
    </row>
    <row r="724" spans="1:8" x14ac:dyDescent="0.25">
      <c r="A724" t="s">
        <v>30</v>
      </c>
      <c r="B724" t="s">
        <v>31</v>
      </c>
      <c r="C724">
        <v>2</v>
      </c>
      <c r="D724" s="9">
        <v>1800</v>
      </c>
      <c r="E724" s="9">
        <f>+Tablo3[[#This Row],[Birim Fiyat]]*Tablo3[[#This Row],[Satış Adet]]</f>
        <v>3600</v>
      </c>
      <c r="F724" s="9">
        <v>2000</v>
      </c>
      <c r="G724" t="s">
        <v>62</v>
      </c>
      <c r="H724" t="s">
        <v>42</v>
      </c>
    </row>
    <row r="725" spans="1:8" x14ac:dyDescent="0.25">
      <c r="A725" t="s">
        <v>30</v>
      </c>
      <c r="B725" t="s">
        <v>32</v>
      </c>
      <c r="C725">
        <v>2</v>
      </c>
      <c r="D725" s="9">
        <v>1090</v>
      </c>
      <c r="E725" s="9">
        <f>+Tablo3[[#This Row],[Birim Fiyat]]*Tablo3[[#This Row],[Satış Adet]]</f>
        <v>2180</v>
      </c>
      <c r="F725" s="9">
        <v>580</v>
      </c>
      <c r="G725" t="s">
        <v>62</v>
      </c>
      <c r="H725" t="s">
        <v>27</v>
      </c>
    </row>
    <row r="726" spans="1:8" x14ac:dyDescent="0.25">
      <c r="A726" t="s">
        <v>67</v>
      </c>
      <c r="B726" t="s">
        <v>21</v>
      </c>
      <c r="C726">
        <v>3</v>
      </c>
      <c r="D726" s="9">
        <v>2180</v>
      </c>
      <c r="E726" s="9">
        <f>+Tablo3[[#This Row],[Birim Fiyat]]*Tablo3[[#This Row],[Satış Adet]]</f>
        <v>6540</v>
      </c>
      <c r="F726" s="9">
        <v>2040</v>
      </c>
      <c r="G726" t="s">
        <v>62</v>
      </c>
      <c r="H726" t="s">
        <v>42</v>
      </c>
    </row>
    <row r="727" spans="1:8" x14ac:dyDescent="0.25">
      <c r="A727" t="s">
        <v>33</v>
      </c>
      <c r="B727" t="s">
        <v>31</v>
      </c>
      <c r="C727">
        <v>3</v>
      </c>
      <c r="D727" s="9">
        <v>1800</v>
      </c>
      <c r="E727" s="9">
        <f>+Tablo3[[#This Row],[Birim Fiyat]]*Tablo3[[#This Row],[Satış Adet]]</f>
        <v>5400</v>
      </c>
      <c r="F727" s="9">
        <v>3000</v>
      </c>
      <c r="G727" t="s">
        <v>62</v>
      </c>
      <c r="H727" t="s">
        <v>11</v>
      </c>
    </row>
    <row r="728" spans="1:8" x14ac:dyDescent="0.25">
      <c r="A728" t="s">
        <v>22</v>
      </c>
      <c r="B728" t="s">
        <v>34</v>
      </c>
      <c r="C728">
        <v>3</v>
      </c>
      <c r="D728" s="9">
        <v>8000</v>
      </c>
      <c r="E728" s="9">
        <f>+Tablo3[[#This Row],[Birim Fiyat]]*Tablo3[[#This Row],[Satış Adet]]</f>
        <v>24000</v>
      </c>
      <c r="F728" s="9">
        <v>6000</v>
      </c>
      <c r="G728" t="s">
        <v>62</v>
      </c>
      <c r="H728" t="s">
        <v>42</v>
      </c>
    </row>
    <row r="729" spans="1:8" x14ac:dyDescent="0.25">
      <c r="A729" t="s">
        <v>67</v>
      </c>
      <c r="B729" t="s">
        <v>13</v>
      </c>
      <c r="C729">
        <v>1</v>
      </c>
      <c r="D729" s="9">
        <v>1400</v>
      </c>
      <c r="E729" s="9">
        <f>+Tablo3[[#This Row],[Birim Fiyat]]*Tablo3[[#This Row],[Satış Adet]]</f>
        <v>1400</v>
      </c>
      <c r="F729" s="9">
        <v>600</v>
      </c>
      <c r="G729" t="s">
        <v>62</v>
      </c>
      <c r="H729" t="s">
        <v>24</v>
      </c>
    </row>
    <row r="730" spans="1:8" x14ac:dyDescent="0.25">
      <c r="A730" t="s">
        <v>36</v>
      </c>
      <c r="B730" t="s">
        <v>37</v>
      </c>
      <c r="C730">
        <v>1</v>
      </c>
      <c r="D730" s="9">
        <v>10590</v>
      </c>
      <c r="E730" s="9">
        <f>+Tablo3[[#This Row],[Birim Fiyat]]*Tablo3[[#This Row],[Satış Adet]]</f>
        <v>10590</v>
      </c>
      <c r="F730" s="9">
        <v>4590</v>
      </c>
      <c r="G730" t="s">
        <v>62</v>
      </c>
      <c r="H730" t="s">
        <v>17</v>
      </c>
    </row>
    <row r="731" spans="1:8" x14ac:dyDescent="0.25">
      <c r="A731" t="s">
        <v>38</v>
      </c>
      <c r="B731" t="s">
        <v>19</v>
      </c>
      <c r="C731">
        <v>2</v>
      </c>
      <c r="D731" s="9">
        <v>1350</v>
      </c>
      <c r="E731" s="9">
        <f>+Tablo3[[#This Row],[Birim Fiyat]]*Tablo3[[#This Row],[Satış Adet]]</f>
        <v>2700</v>
      </c>
      <c r="F731" s="9">
        <v>1100</v>
      </c>
      <c r="G731" t="s">
        <v>62</v>
      </c>
      <c r="H731" t="s">
        <v>20</v>
      </c>
    </row>
    <row r="732" spans="1:8" x14ac:dyDescent="0.25">
      <c r="A732" t="s">
        <v>30</v>
      </c>
      <c r="B732" t="s">
        <v>13</v>
      </c>
      <c r="C732">
        <v>2</v>
      </c>
      <c r="D732" s="9">
        <v>1400</v>
      </c>
      <c r="E732" s="9">
        <f>+Tablo3[[#This Row],[Birim Fiyat]]*Tablo3[[#This Row],[Satış Adet]]</f>
        <v>2800</v>
      </c>
      <c r="F732" s="9">
        <v>1200</v>
      </c>
      <c r="G732" t="s">
        <v>62</v>
      </c>
      <c r="H732" t="s">
        <v>14</v>
      </c>
    </row>
    <row r="733" spans="1:8" x14ac:dyDescent="0.25">
      <c r="A733" t="s">
        <v>18</v>
      </c>
      <c r="B733" t="s">
        <v>9</v>
      </c>
      <c r="C733">
        <v>1</v>
      </c>
      <c r="D733" s="9">
        <v>6000</v>
      </c>
      <c r="E733" s="9">
        <f>+Tablo3[[#This Row],[Birim Fiyat]]*Tablo3[[#This Row],[Satış Adet]]</f>
        <v>6000</v>
      </c>
      <c r="F733" s="9">
        <v>2000</v>
      </c>
      <c r="G733" t="s">
        <v>62</v>
      </c>
      <c r="H733" t="s">
        <v>11</v>
      </c>
    </row>
    <row r="734" spans="1:8" x14ac:dyDescent="0.25">
      <c r="A734" t="s">
        <v>36</v>
      </c>
      <c r="B734" t="s">
        <v>26</v>
      </c>
      <c r="C734">
        <v>2</v>
      </c>
      <c r="D734" s="9">
        <v>1100</v>
      </c>
      <c r="E734" s="9">
        <f>+Tablo3[[#This Row],[Birim Fiyat]]*Tablo3[[#This Row],[Satış Adet]]</f>
        <v>2200</v>
      </c>
      <c r="F734" s="9">
        <v>600</v>
      </c>
      <c r="G734" t="s">
        <v>62</v>
      </c>
      <c r="H734" t="s">
        <v>39</v>
      </c>
    </row>
    <row r="735" spans="1:8" x14ac:dyDescent="0.25">
      <c r="A735" t="s">
        <v>15</v>
      </c>
      <c r="B735" t="s">
        <v>9</v>
      </c>
      <c r="C735">
        <v>2</v>
      </c>
      <c r="D735" s="9">
        <v>6000</v>
      </c>
      <c r="E735" s="9">
        <f>+Tablo3[[#This Row],[Birim Fiyat]]*Tablo3[[#This Row],[Satış Adet]]</f>
        <v>12000</v>
      </c>
      <c r="F735" s="9">
        <v>4000</v>
      </c>
      <c r="G735" t="s">
        <v>62</v>
      </c>
      <c r="H735" t="s">
        <v>39</v>
      </c>
    </row>
    <row r="736" spans="1:8" x14ac:dyDescent="0.25">
      <c r="A736" t="s">
        <v>38</v>
      </c>
      <c r="B736" t="s">
        <v>41</v>
      </c>
      <c r="C736">
        <v>1</v>
      </c>
      <c r="D736" s="9">
        <v>1490</v>
      </c>
      <c r="E736" s="9">
        <f>+Tablo3[[#This Row],[Birim Fiyat]]*Tablo3[[#This Row],[Satış Adet]]</f>
        <v>1490</v>
      </c>
      <c r="F736" s="9">
        <v>690</v>
      </c>
      <c r="G736" t="s">
        <v>62</v>
      </c>
      <c r="H736" t="s">
        <v>35</v>
      </c>
    </row>
    <row r="737" spans="1:8" x14ac:dyDescent="0.25">
      <c r="A737" t="s">
        <v>36</v>
      </c>
      <c r="B737" t="s">
        <v>37</v>
      </c>
      <c r="C737">
        <v>2</v>
      </c>
      <c r="D737" s="9">
        <v>10590</v>
      </c>
      <c r="E737" s="9">
        <f>+Tablo3[[#This Row],[Birim Fiyat]]*Tablo3[[#This Row],[Satış Adet]]</f>
        <v>21180</v>
      </c>
      <c r="F737" s="9">
        <v>9180</v>
      </c>
      <c r="G737" t="s">
        <v>62</v>
      </c>
      <c r="H737" t="s">
        <v>42</v>
      </c>
    </row>
    <row r="738" spans="1:8" x14ac:dyDescent="0.25">
      <c r="A738" t="s">
        <v>15</v>
      </c>
      <c r="B738" t="s">
        <v>34</v>
      </c>
      <c r="C738">
        <v>3</v>
      </c>
      <c r="D738" s="9">
        <v>8000</v>
      </c>
      <c r="E738" s="9">
        <f>+Tablo3[[#This Row],[Birim Fiyat]]*Tablo3[[#This Row],[Satış Adet]]</f>
        <v>24000</v>
      </c>
      <c r="F738" s="9">
        <v>6000</v>
      </c>
      <c r="G738" t="s">
        <v>62</v>
      </c>
      <c r="H738" t="s">
        <v>29</v>
      </c>
    </row>
    <row r="739" spans="1:8" x14ac:dyDescent="0.25">
      <c r="A739" t="s">
        <v>30</v>
      </c>
      <c r="B739" t="s">
        <v>26</v>
      </c>
      <c r="C739">
        <v>1</v>
      </c>
      <c r="D739" s="9">
        <v>1100</v>
      </c>
      <c r="E739" s="9">
        <f>+Tablo3[[#This Row],[Birim Fiyat]]*Tablo3[[#This Row],[Satış Adet]]</f>
        <v>1100</v>
      </c>
      <c r="F739" s="9">
        <v>300</v>
      </c>
      <c r="G739" t="s">
        <v>62</v>
      </c>
      <c r="H739" t="s">
        <v>14</v>
      </c>
    </row>
    <row r="740" spans="1:8" x14ac:dyDescent="0.25">
      <c r="A740" t="s">
        <v>38</v>
      </c>
      <c r="B740" t="s">
        <v>28</v>
      </c>
      <c r="C740">
        <v>1</v>
      </c>
      <c r="D740" s="9">
        <v>1200</v>
      </c>
      <c r="E740" s="9">
        <f>+Tablo3[[#This Row],[Birim Fiyat]]*Tablo3[[#This Row],[Satış Adet]]</f>
        <v>1200</v>
      </c>
      <c r="F740" s="9">
        <v>400</v>
      </c>
      <c r="G740" t="s">
        <v>62</v>
      </c>
      <c r="H740" t="s">
        <v>24</v>
      </c>
    </row>
    <row r="741" spans="1:8" x14ac:dyDescent="0.25">
      <c r="A741" t="s">
        <v>22</v>
      </c>
      <c r="B741" t="s">
        <v>43</v>
      </c>
      <c r="C741">
        <v>2</v>
      </c>
      <c r="D741" s="9">
        <v>4200</v>
      </c>
      <c r="E741" s="9">
        <f>+Tablo3[[#This Row],[Birim Fiyat]]*Tablo3[[#This Row],[Satış Adet]]</f>
        <v>8400</v>
      </c>
      <c r="F741" s="9">
        <v>2400</v>
      </c>
      <c r="G741" t="s">
        <v>62</v>
      </c>
      <c r="H741" t="s">
        <v>42</v>
      </c>
    </row>
    <row r="742" spans="1:8" x14ac:dyDescent="0.25">
      <c r="A742" t="s">
        <v>12</v>
      </c>
      <c r="B742" t="s">
        <v>45</v>
      </c>
      <c r="C742">
        <v>3</v>
      </c>
      <c r="D742" s="9">
        <v>5775</v>
      </c>
      <c r="E742" s="9">
        <f>+Tablo3[[#This Row],[Birim Fiyat]]*Tablo3[[#This Row],[Satış Adet]]</f>
        <v>17325</v>
      </c>
      <c r="F742" s="9">
        <v>5325</v>
      </c>
      <c r="G742" t="s">
        <v>62</v>
      </c>
      <c r="H742" t="s">
        <v>39</v>
      </c>
    </row>
    <row r="743" spans="1:8" x14ac:dyDescent="0.25">
      <c r="A743" t="s">
        <v>46</v>
      </c>
      <c r="B743" t="s">
        <v>23</v>
      </c>
      <c r="C743">
        <v>3</v>
      </c>
      <c r="D743" s="9">
        <v>7600</v>
      </c>
      <c r="E743" s="9">
        <f>+Tablo3[[#This Row],[Birim Fiyat]]*Tablo3[[#This Row],[Satış Adet]]</f>
        <v>22800</v>
      </c>
      <c r="F743" s="9">
        <v>4800</v>
      </c>
      <c r="G743" t="s">
        <v>62</v>
      </c>
      <c r="H743" t="s">
        <v>52</v>
      </c>
    </row>
    <row r="744" spans="1:8" x14ac:dyDescent="0.25">
      <c r="A744" t="s">
        <v>12</v>
      </c>
      <c r="B744" t="s">
        <v>25</v>
      </c>
      <c r="C744">
        <v>3</v>
      </c>
      <c r="D744" s="9">
        <v>7250</v>
      </c>
      <c r="E744" s="9">
        <f>+Tablo3[[#This Row],[Birim Fiyat]]*Tablo3[[#This Row],[Satış Adet]]</f>
        <v>21750</v>
      </c>
      <c r="F744" s="9">
        <v>6750</v>
      </c>
      <c r="G744" t="s">
        <v>62</v>
      </c>
      <c r="H744" t="s">
        <v>42</v>
      </c>
    </row>
    <row r="745" spans="1:8" x14ac:dyDescent="0.25">
      <c r="A745" t="s">
        <v>8</v>
      </c>
      <c r="B745" t="s">
        <v>25</v>
      </c>
      <c r="C745">
        <v>3</v>
      </c>
      <c r="D745" s="9">
        <v>7250</v>
      </c>
      <c r="E745" s="9">
        <f>+Tablo3[[#This Row],[Birim Fiyat]]*Tablo3[[#This Row],[Satış Adet]]</f>
        <v>21750</v>
      </c>
      <c r="F745" s="9">
        <v>6750</v>
      </c>
      <c r="G745" t="s">
        <v>62</v>
      </c>
      <c r="H745" t="s">
        <v>17</v>
      </c>
    </row>
    <row r="746" spans="1:8" x14ac:dyDescent="0.25">
      <c r="A746" t="s">
        <v>36</v>
      </c>
      <c r="B746" t="s">
        <v>25</v>
      </c>
      <c r="C746">
        <v>3</v>
      </c>
      <c r="D746" s="9">
        <v>7250</v>
      </c>
      <c r="E746" s="9">
        <f>+Tablo3[[#This Row],[Birim Fiyat]]*Tablo3[[#This Row],[Satış Adet]]</f>
        <v>21750</v>
      </c>
      <c r="F746" s="9">
        <v>6750</v>
      </c>
      <c r="G746" t="s">
        <v>62</v>
      </c>
      <c r="H746" t="s">
        <v>11</v>
      </c>
    </row>
    <row r="747" spans="1:8" x14ac:dyDescent="0.25">
      <c r="A747" t="s">
        <v>67</v>
      </c>
      <c r="B747" t="s">
        <v>19</v>
      </c>
      <c r="C747">
        <v>1</v>
      </c>
      <c r="D747" s="9">
        <v>1350</v>
      </c>
      <c r="E747" s="9">
        <f>+Tablo3[[#This Row],[Birim Fiyat]]*Tablo3[[#This Row],[Satış Adet]]</f>
        <v>1350</v>
      </c>
      <c r="F747" s="9">
        <v>550</v>
      </c>
      <c r="G747" t="s">
        <v>62</v>
      </c>
      <c r="H747" t="s">
        <v>52</v>
      </c>
    </row>
    <row r="748" spans="1:8" x14ac:dyDescent="0.25">
      <c r="A748" t="s">
        <v>12</v>
      </c>
      <c r="B748" t="s">
        <v>25</v>
      </c>
      <c r="C748">
        <v>2</v>
      </c>
      <c r="D748" s="9">
        <v>7250</v>
      </c>
      <c r="E748" s="9">
        <f>+Tablo3[[#This Row],[Birim Fiyat]]*Tablo3[[#This Row],[Satış Adet]]</f>
        <v>14500</v>
      </c>
      <c r="F748" s="9">
        <v>4500</v>
      </c>
      <c r="G748" t="s">
        <v>62</v>
      </c>
      <c r="H748" t="s">
        <v>35</v>
      </c>
    </row>
    <row r="749" spans="1:8" x14ac:dyDescent="0.25">
      <c r="A749" t="s">
        <v>30</v>
      </c>
      <c r="B749" t="s">
        <v>23</v>
      </c>
      <c r="C749">
        <v>1</v>
      </c>
      <c r="D749" s="9">
        <v>7600</v>
      </c>
      <c r="E749" s="9">
        <f>+Tablo3[[#This Row],[Birim Fiyat]]*Tablo3[[#This Row],[Satış Adet]]</f>
        <v>7600</v>
      </c>
      <c r="F749" s="9">
        <v>1600</v>
      </c>
      <c r="G749" t="s">
        <v>62</v>
      </c>
      <c r="H749" t="s">
        <v>20</v>
      </c>
    </row>
    <row r="750" spans="1:8" x14ac:dyDescent="0.25">
      <c r="A750" t="s">
        <v>48</v>
      </c>
      <c r="B750" t="s">
        <v>23</v>
      </c>
      <c r="C750">
        <v>3</v>
      </c>
      <c r="D750" s="9">
        <v>7600</v>
      </c>
      <c r="E750" s="9">
        <f>+Tablo3[[#This Row],[Birim Fiyat]]*Tablo3[[#This Row],[Satış Adet]]</f>
        <v>22800</v>
      </c>
      <c r="F750" s="9">
        <v>4800</v>
      </c>
      <c r="G750" t="s">
        <v>62</v>
      </c>
      <c r="H750" t="s">
        <v>42</v>
      </c>
    </row>
    <row r="751" spans="1:8" x14ac:dyDescent="0.25">
      <c r="A751" t="s">
        <v>12</v>
      </c>
      <c r="B751" t="s">
        <v>41</v>
      </c>
      <c r="C751">
        <v>3</v>
      </c>
      <c r="D751" s="9">
        <v>1490</v>
      </c>
      <c r="E751" s="9">
        <f>+Tablo3[[#This Row],[Birim Fiyat]]*Tablo3[[#This Row],[Satış Adet]]</f>
        <v>4470</v>
      </c>
      <c r="F751" s="9">
        <v>2070</v>
      </c>
      <c r="G751" t="s">
        <v>62</v>
      </c>
      <c r="H751" t="s">
        <v>42</v>
      </c>
    </row>
    <row r="752" spans="1:8" x14ac:dyDescent="0.25">
      <c r="A752" t="s">
        <v>67</v>
      </c>
      <c r="B752" t="s">
        <v>49</v>
      </c>
      <c r="C752">
        <v>2</v>
      </c>
      <c r="D752" s="9">
        <v>2900</v>
      </c>
      <c r="E752" s="9">
        <f>+Tablo3[[#This Row],[Birim Fiyat]]*Tablo3[[#This Row],[Satış Adet]]</f>
        <v>5800</v>
      </c>
      <c r="F752" s="9">
        <v>1800</v>
      </c>
      <c r="G752" t="s">
        <v>62</v>
      </c>
      <c r="H752" t="s">
        <v>17</v>
      </c>
    </row>
    <row r="753" spans="1:8" x14ac:dyDescent="0.25">
      <c r="A753" t="s">
        <v>38</v>
      </c>
      <c r="B753" t="s">
        <v>41</v>
      </c>
      <c r="C753">
        <v>1</v>
      </c>
      <c r="D753" s="9">
        <v>1490</v>
      </c>
      <c r="E753" s="9">
        <f>+Tablo3[[#This Row],[Birim Fiyat]]*Tablo3[[#This Row],[Satış Adet]]</f>
        <v>1490</v>
      </c>
      <c r="F753" s="9">
        <v>690</v>
      </c>
      <c r="G753" t="s">
        <v>62</v>
      </c>
      <c r="H753" t="s">
        <v>44</v>
      </c>
    </row>
    <row r="754" spans="1:8" x14ac:dyDescent="0.25">
      <c r="A754" t="s">
        <v>38</v>
      </c>
      <c r="B754" t="s">
        <v>32</v>
      </c>
      <c r="C754">
        <v>2</v>
      </c>
      <c r="D754" s="9">
        <v>1090</v>
      </c>
      <c r="E754" s="9">
        <f>+Tablo3[[#This Row],[Birim Fiyat]]*Tablo3[[#This Row],[Satış Adet]]</f>
        <v>2180</v>
      </c>
      <c r="F754" s="9">
        <v>580</v>
      </c>
      <c r="G754" t="s">
        <v>62</v>
      </c>
      <c r="H754" t="s">
        <v>17</v>
      </c>
    </row>
    <row r="755" spans="1:8" x14ac:dyDescent="0.25">
      <c r="A755" t="s">
        <v>67</v>
      </c>
      <c r="B755" t="s">
        <v>28</v>
      </c>
      <c r="C755">
        <v>2</v>
      </c>
      <c r="D755" s="9">
        <v>1200</v>
      </c>
      <c r="E755" s="9">
        <f>+Tablo3[[#This Row],[Birim Fiyat]]*Tablo3[[#This Row],[Satış Adet]]</f>
        <v>2400</v>
      </c>
      <c r="F755" s="9">
        <v>800</v>
      </c>
      <c r="G755" t="s">
        <v>62</v>
      </c>
      <c r="H755" t="s">
        <v>24</v>
      </c>
    </row>
    <row r="756" spans="1:8" x14ac:dyDescent="0.25">
      <c r="A756" t="s">
        <v>36</v>
      </c>
      <c r="B756" t="s">
        <v>37</v>
      </c>
      <c r="C756">
        <v>2</v>
      </c>
      <c r="D756" s="9">
        <v>10590</v>
      </c>
      <c r="E756" s="9">
        <f>+Tablo3[[#This Row],[Birim Fiyat]]*Tablo3[[#This Row],[Satış Adet]]</f>
        <v>21180</v>
      </c>
      <c r="F756" s="9">
        <v>9180</v>
      </c>
      <c r="G756" t="s">
        <v>62</v>
      </c>
      <c r="H756" t="s">
        <v>39</v>
      </c>
    </row>
    <row r="757" spans="1:8" x14ac:dyDescent="0.25">
      <c r="A757" t="s">
        <v>30</v>
      </c>
      <c r="B757" t="s">
        <v>43</v>
      </c>
      <c r="C757">
        <v>3</v>
      </c>
      <c r="D757" s="9">
        <v>4200</v>
      </c>
      <c r="E757" s="9">
        <f>+Tablo3[[#This Row],[Birim Fiyat]]*Tablo3[[#This Row],[Satış Adet]]</f>
        <v>12600</v>
      </c>
      <c r="F757" s="9">
        <v>3600</v>
      </c>
      <c r="G757" t="s">
        <v>62</v>
      </c>
      <c r="H757" t="s">
        <v>20</v>
      </c>
    </row>
    <row r="758" spans="1:8" x14ac:dyDescent="0.25">
      <c r="A758" t="s">
        <v>18</v>
      </c>
      <c r="B758" t="s">
        <v>43</v>
      </c>
      <c r="C758">
        <v>3</v>
      </c>
      <c r="D758" s="9">
        <v>4200</v>
      </c>
      <c r="E758" s="9">
        <f>+Tablo3[[#This Row],[Birim Fiyat]]*Tablo3[[#This Row],[Satış Adet]]</f>
        <v>12600</v>
      </c>
      <c r="F758" s="9">
        <v>3600</v>
      </c>
      <c r="G758" t="s">
        <v>62</v>
      </c>
      <c r="H758" t="s">
        <v>11</v>
      </c>
    </row>
    <row r="759" spans="1:8" x14ac:dyDescent="0.25">
      <c r="A759" t="s">
        <v>33</v>
      </c>
      <c r="B759" t="s">
        <v>37</v>
      </c>
      <c r="C759">
        <v>2</v>
      </c>
      <c r="D759" s="9">
        <v>10590</v>
      </c>
      <c r="E759" s="9">
        <f>+Tablo3[[#This Row],[Birim Fiyat]]*Tablo3[[#This Row],[Satış Adet]]</f>
        <v>21180</v>
      </c>
      <c r="F759" s="9">
        <v>9180</v>
      </c>
      <c r="G759" t="s">
        <v>62</v>
      </c>
      <c r="H759" t="s">
        <v>20</v>
      </c>
    </row>
    <row r="760" spans="1:8" x14ac:dyDescent="0.25">
      <c r="A760" t="s">
        <v>48</v>
      </c>
      <c r="B760" t="s">
        <v>50</v>
      </c>
      <c r="C760">
        <v>1</v>
      </c>
      <c r="D760" s="9">
        <v>1250</v>
      </c>
      <c r="E760" s="9">
        <f>+Tablo3[[#This Row],[Birim Fiyat]]*Tablo3[[#This Row],[Satış Adet]]</f>
        <v>1250</v>
      </c>
      <c r="F760" s="9">
        <v>450</v>
      </c>
      <c r="G760" t="s">
        <v>62</v>
      </c>
      <c r="H760" t="s">
        <v>39</v>
      </c>
    </row>
    <row r="761" spans="1:8" x14ac:dyDescent="0.25">
      <c r="A761" t="s">
        <v>8</v>
      </c>
      <c r="B761" t="s">
        <v>41</v>
      </c>
      <c r="C761">
        <v>3</v>
      </c>
      <c r="D761" s="9">
        <v>1490</v>
      </c>
      <c r="E761" s="9">
        <f>+Tablo3[[#This Row],[Birim Fiyat]]*Tablo3[[#This Row],[Satış Adet]]</f>
        <v>4470</v>
      </c>
      <c r="F761" s="9">
        <v>2070</v>
      </c>
      <c r="G761" t="s">
        <v>62</v>
      </c>
      <c r="H761" t="s">
        <v>11</v>
      </c>
    </row>
    <row r="762" spans="1:8" x14ac:dyDescent="0.25">
      <c r="A762" t="s">
        <v>30</v>
      </c>
      <c r="B762" t="s">
        <v>28</v>
      </c>
      <c r="C762">
        <v>2</v>
      </c>
      <c r="D762" s="9">
        <v>1200</v>
      </c>
      <c r="E762" s="9">
        <f>+Tablo3[[#This Row],[Birim Fiyat]]*Tablo3[[#This Row],[Satış Adet]]</f>
        <v>2400</v>
      </c>
      <c r="F762" s="9">
        <v>800</v>
      </c>
      <c r="G762" t="s">
        <v>62</v>
      </c>
      <c r="H762" t="s">
        <v>40</v>
      </c>
    </row>
    <row r="763" spans="1:8" x14ac:dyDescent="0.25">
      <c r="A763" t="s">
        <v>15</v>
      </c>
      <c r="B763" t="s">
        <v>21</v>
      </c>
      <c r="C763">
        <v>3</v>
      </c>
      <c r="D763" s="9">
        <v>2180</v>
      </c>
      <c r="E763" s="9">
        <f>+Tablo3[[#This Row],[Birim Fiyat]]*Tablo3[[#This Row],[Satış Adet]]</f>
        <v>6540</v>
      </c>
      <c r="F763" s="9">
        <v>2040</v>
      </c>
      <c r="G763" t="s">
        <v>62</v>
      </c>
      <c r="H763" t="s">
        <v>35</v>
      </c>
    </row>
    <row r="764" spans="1:8" x14ac:dyDescent="0.25">
      <c r="A764" t="s">
        <v>38</v>
      </c>
      <c r="B764" t="s">
        <v>51</v>
      </c>
      <c r="C764">
        <v>3</v>
      </c>
      <c r="D764" s="9">
        <v>1200</v>
      </c>
      <c r="E764" s="9">
        <f>+Tablo3[[#This Row],[Birim Fiyat]]*Tablo3[[#This Row],[Satış Adet]]</f>
        <v>3600</v>
      </c>
      <c r="F764" s="9">
        <v>1200</v>
      </c>
      <c r="G764" t="s">
        <v>62</v>
      </c>
      <c r="H764" t="s">
        <v>39</v>
      </c>
    </row>
    <row r="765" spans="1:8" x14ac:dyDescent="0.25">
      <c r="A765" t="s">
        <v>8</v>
      </c>
      <c r="B765" t="s">
        <v>31</v>
      </c>
      <c r="C765">
        <v>1</v>
      </c>
      <c r="D765" s="9">
        <v>1800</v>
      </c>
      <c r="E765" s="9">
        <f>+Tablo3[[#This Row],[Birim Fiyat]]*Tablo3[[#This Row],[Satış Adet]]</f>
        <v>1800</v>
      </c>
      <c r="F765" s="9">
        <v>1000</v>
      </c>
      <c r="G765" t="s">
        <v>62</v>
      </c>
      <c r="H765" t="s">
        <v>27</v>
      </c>
    </row>
    <row r="766" spans="1:8" x14ac:dyDescent="0.25">
      <c r="A766" t="s">
        <v>15</v>
      </c>
      <c r="B766" t="s">
        <v>23</v>
      </c>
      <c r="C766">
        <v>1</v>
      </c>
      <c r="D766" s="9">
        <v>7600</v>
      </c>
      <c r="E766" s="9">
        <f>+Tablo3[[#This Row],[Birim Fiyat]]*Tablo3[[#This Row],[Satış Adet]]</f>
        <v>7600</v>
      </c>
      <c r="F766" s="9">
        <v>1600</v>
      </c>
      <c r="G766" t="s">
        <v>62</v>
      </c>
      <c r="H766" t="s">
        <v>20</v>
      </c>
    </row>
    <row r="767" spans="1:8" x14ac:dyDescent="0.25">
      <c r="A767" t="s">
        <v>33</v>
      </c>
      <c r="B767" t="s">
        <v>53</v>
      </c>
      <c r="C767">
        <v>1</v>
      </c>
      <c r="D767" s="9">
        <v>7530</v>
      </c>
      <c r="E767" s="9">
        <f>+Tablo3[[#This Row],[Birim Fiyat]]*Tablo3[[#This Row],[Satış Adet]]</f>
        <v>7530</v>
      </c>
      <c r="F767" s="9">
        <v>1530</v>
      </c>
      <c r="G767" t="s">
        <v>62</v>
      </c>
      <c r="H767" t="s">
        <v>20</v>
      </c>
    </row>
    <row r="768" spans="1:8" x14ac:dyDescent="0.25">
      <c r="A768" t="s">
        <v>48</v>
      </c>
      <c r="B768" t="s">
        <v>41</v>
      </c>
      <c r="C768">
        <v>2</v>
      </c>
      <c r="D768" s="9">
        <v>1490</v>
      </c>
      <c r="E768" s="9">
        <f>+Tablo3[[#This Row],[Birim Fiyat]]*Tablo3[[#This Row],[Satış Adet]]</f>
        <v>2980</v>
      </c>
      <c r="F768" s="9">
        <v>1380</v>
      </c>
      <c r="G768" t="s">
        <v>62</v>
      </c>
      <c r="H768" t="s">
        <v>11</v>
      </c>
    </row>
    <row r="769" spans="1:8" x14ac:dyDescent="0.25">
      <c r="A769" t="s">
        <v>8</v>
      </c>
      <c r="B769" t="s">
        <v>54</v>
      </c>
      <c r="C769">
        <v>1</v>
      </c>
      <c r="D769" s="9">
        <v>5300</v>
      </c>
      <c r="E769" s="9">
        <f>+Tablo3[[#This Row],[Birim Fiyat]]*Tablo3[[#This Row],[Satış Adet]]</f>
        <v>5300</v>
      </c>
      <c r="F769" s="9">
        <v>1300</v>
      </c>
      <c r="G769" t="s">
        <v>62</v>
      </c>
      <c r="H769" t="s">
        <v>20</v>
      </c>
    </row>
    <row r="770" spans="1:8" x14ac:dyDescent="0.25">
      <c r="A770" t="s">
        <v>22</v>
      </c>
      <c r="B770" t="s">
        <v>28</v>
      </c>
      <c r="C770">
        <v>2</v>
      </c>
      <c r="D770" s="9">
        <v>1200</v>
      </c>
      <c r="E770" s="9">
        <f>+Tablo3[[#This Row],[Birim Fiyat]]*Tablo3[[#This Row],[Satış Adet]]</f>
        <v>2400</v>
      </c>
      <c r="F770" s="9">
        <v>800</v>
      </c>
      <c r="G770" t="s">
        <v>62</v>
      </c>
      <c r="H770" t="s">
        <v>27</v>
      </c>
    </row>
    <row r="771" spans="1:8" x14ac:dyDescent="0.25">
      <c r="A771" t="s">
        <v>38</v>
      </c>
      <c r="B771" t="s">
        <v>32</v>
      </c>
      <c r="C771">
        <v>1</v>
      </c>
      <c r="D771" s="9">
        <v>1090</v>
      </c>
      <c r="E771" s="9">
        <f>+Tablo3[[#This Row],[Birim Fiyat]]*Tablo3[[#This Row],[Satış Adet]]</f>
        <v>1090</v>
      </c>
      <c r="F771" s="9">
        <v>290</v>
      </c>
      <c r="G771" t="s">
        <v>62</v>
      </c>
      <c r="H771" t="s">
        <v>27</v>
      </c>
    </row>
    <row r="772" spans="1:8" x14ac:dyDescent="0.25">
      <c r="A772" t="s">
        <v>22</v>
      </c>
      <c r="B772" t="s">
        <v>25</v>
      </c>
      <c r="C772">
        <v>1</v>
      </c>
      <c r="D772" s="9">
        <v>7250</v>
      </c>
      <c r="E772" s="9">
        <f>+Tablo3[[#This Row],[Birim Fiyat]]*Tablo3[[#This Row],[Satış Adet]]</f>
        <v>7250</v>
      </c>
      <c r="F772" s="9">
        <v>2250</v>
      </c>
      <c r="G772" t="s">
        <v>62</v>
      </c>
      <c r="H772" t="s">
        <v>11</v>
      </c>
    </row>
    <row r="773" spans="1:8" x14ac:dyDescent="0.25">
      <c r="A773" t="s">
        <v>46</v>
      </c>
      <c r="B773" t="s">
        <v>13</v>
      </c>
      <c r="C773">
        <v>3</v>
      </c>
      <c r="D773" s="9">
        <v>1400</v>
      </c>
      <c r="E773" s="9">
        <f>+Tablo3[[#This Row],[Birim Fiyat]]*Tablo3[[#This Row],[Satış Adet]]</f>
        <v>4200</v>
      </c>
      <c r="F773" s="9">
        <v>1800</v>
      </c>
      <c r="G773" t="s">
        <v>62</v>
      </c>
      <c r="H773" t="s">
        <v>27</v>
      </c>
    </row>
    <row r="774" spans="1:8" x14ac:dyDescent="0.25">
      <c r="A774" t="s">
        <v>15</v>
      </c>
      <c r="B774" t="s">
        <v>55</v>
      </c>
      <c r="C774">
        <v>1</v>
      </c>
      <c r="D774" s="9">
        <v>1500</v>
      </c>
      <c r="E774" s="9">
        <f>+Tablo3[[#This Row],[Birim Fiyat]]*Tablo3[[#This Row],[Satış Adet]]</f>
        <v>1500</v>
      </c>
      <c r="F774" s="9">
        <v>700</v>
      </c>
      <c r="G774" t="s">
        <v>62</v>
      </c>
      <c r="H774" t="s">
        <v>44</v>
      </c>
    </row>
    <row r="775" spans="1:8" x14ac:dyDescent="0.25">
      <c r="A775" t="s">
        <v>33</v>
      </c>
      <c r="B775" t="s">
        <v>19</v>
      </c>
      <c r="C775">
        <v>1</v>
      </c>
      <c r="D775" s="9">
        <v>1350</v>
      </c>
      <c r="E775" s="9">
        <f>+Tablo3[[#This Row],[Birim Fiyat]]*Tablo3[[#This Row],[Satış Adet]]</f>
        <v>1350</v>
      </c>
      <c r="F775" s="9">
        <v>550</v>
      </c>
      <c r="G775" t="s">
        <v>62</v>
      </c>
      <c r="H775" t="s">
        <v>35</v>
      </c>
    </row>
    <row r="776" spans="1:8" x14ac:dyDescent="0.25">
      <c r="A776" t="s">
        <v>33</v>
      </c>
      <c r="B776" t="s">
        <v>28</v>
      </c>
      <c r="C776">
        <v>3</v>
      </c>
      <c r="D776" s="9">
        <v>1200</v>
      </c>
      <c r="E776" s="9">
        <f>+Tablo3[[#This Row],[Birim Fiyat]]*Tablo3[[#This Row],[Satış Adet]]</f>
        <v>3600</v>
      </c>
      <c r="F776" s="9">
        <v>1200</v>
      </c>
      <c r="G776" t="s">
        <v>62</v>
      </c>
      <c r="H776" t="s">
        <v>52</v>
      </c>
    </row>
    <row r="777" spans="1:8" x14ac:dyDescent="0.25">
      <c r="A777" t="s">
        <v>12</v>
      </c>
      <c r="B777" t="s">
        <v>53</v>
      </c>
      <c r="C777">
        <v>3</v>
      </c>
      <c r="D777" s="9">
        <v>7530</v>
      </c>
      <c r="E777" s="9">
        <f>+Tablo3[[#This Row],[Birim Fiyat]]*Tablo3[[#This Row],[Satış Adet]]</f>
        <v>22590</v>
      </c>
      <c r="F777" s="9">
        <v>4590</v>
      </c>
      <c r="G777" t="s">
        <v>62</v>
      </c>
      <c r="H777" t="s">
        <v>42</v>
      </c>
    </row>
    <row r="778" spans="1:8" x14ac:dyDescent="0.25">
      <c r="A778" t="s">
        <v>46</v>
      </c>
      <c r="B778" t="s">
        <v>28</v>
      </c>
      <c r="C778">
        <v>1</v>
      </c>
      <c r="D778" s="9">
        <v>1200</v>
      </c>
      <c r="E778" s="9">
        <f>+Tablo3[[#This Row],[Birim Fiyat]]*Tablo3[[#This Row],[Satış Adet]]</f>
        <v>1200</v>
      </c>
      <c r="F778" s="9">
        <v>400</v>
      </c>
      <c r="G778" t="s">
        <v>62</v>
      </c>
      <c r="H778" t="s">
        <v>17</v>
      </c>
    </row>
    <row r="779" spans="1:8" x14ac:dyDescent="0.25">
      <c r="A779" t="s">
        <v>36</v>
      </c>
      <c r="B779" t="s">
        <v>31</v>
      </c>
      <c r="C779">
        <v>3</v>
      </c>
      <c r="D779" s="9">
        <v>1800</v>
      </c>
      <c r="E779" s="9">
        <f>+Tablo3[[#This Row],[Birim Fiyat]]*Tablo3[[#This Row],[Satış Adet]]</f>
        <v>5400</v>
      </c>
      <c r="F779" s="9">
        <v>3000</v>
      </c>
      <c r="G779" t="s">
        <v>62</v>
      </c>
      <c r="H779" t="s">
        <v>14</v>
      </c>
    </row>
    <row r="780" spans="1:8" x14ac:dyDescent="0.25">
      <c r="A780" t="s">
        <v>8</v>
      </c>
      <c r="B780" t="s">
        <v>25</v>
      </c>
      <c r="C780">
        <v>1</v>
      </c>
      <c r="D780" s="9">
        <v>7250</v>
      </c>
      <c r="E780" s="9">
        <f>+Tablo3[[#This Row],[Birim Fiyat]]*Tablo3[[#This Row],[Satış Adet]]</f>
        <v>7250</v>
      </c>
      <c r="F780" s="9">
        <v>2250</v>
      </c>
      <c r="G780" t="s">
        <v>62</v>
      </c>
      <c r="H780" t="s">
        <v>35</v>
      </c>
    </row>
    <row r="781" spans="1:8" x14ac:dyDescent="0.25">
      <c r="A781" t="s">
        <v>38</v>
      </c>
      <c r="B781" t="s">
        <v>41</v>
      </c>
      <c r="C781">
        <v>3</v>
      </c>
      <c r="D781" s="9">
        <v>1490</v>
      </c>
      <c r="E781" s="9">
        <f>+Tablo3[[#This Row],[Birim Fiyat]]*Tablo3[[#This Row],[Satış Adet]]</f>
        <v>4470</v>
      </c>
      <c r="F781" s="9">
        <v>2070</v>
      </c>
      <c r="G781" t="s">
        <v>62</v>
      </c>
      <c r="H781" t="s">
        <v>27</v>
      </c>
    </row>
    <row r="782" spans="1:8" x14ac:dyDescent="0.25">
      <c r="A782" t="s">
        <v>38</v>
      </c>
      <c r="B782" t="s">
        <v>51</v>
      </c>
      <c r="C782">
        <v>1</v>
      </c>
      <c r="D782" s="9">
        <v>1200</v>
      </c>
      <c r="E782" s="9">
        <f>+Tablo3[[#This Row],[Birim Fiyat]]*Tablo3[[#This Row],[Satış Adet]]</f>
        <v>1200</v>
      </c>
      <c r="F782" s="9">
        <v>400</v>
      </c>
      <c r="G782" t="s">
        <v>62</v>
      </c>
      <c r="H782" t="s">
        <v>52</v>
      </c>
    </row>
    <row r="783" spans="1:8" x14ac:dyDescent="0.25">
      <c r="A783" t="s">
        <v>12</v>
      </c>
      <c r="B783" t="s">
        <v>34</v>
      </c>
      <c r="C783">
        <v>1</v>
      </c>
      <c r="D783" s="9">
        <v>8000</v>
      </c>
      <c r="E783" s="9">
        <f>+Tablo3[[#This Row],[Birim Fiyat]]*Tablo3[[#This Row],[Satış Adet]]</f>
        <v>8000</v>
      </c>
      <c r="F783" s="9">
        <v>2000</v>
      </c>
      <c r="G783" t="s">
        <v>62</v>
      </c>
      <c r="H783" t="s">
        <v>24</v>
      </c>
    </row>
    <row r="784" spans="1:8" x14ac:dyDescent="0.25">
      <c r="A784" t="s">
        <v>30</v>
      </c>
      <c r="B784" t="s">
        <v>13</v>
      </c>
      <c r="C784">
        <v>1</v>
      </c>
      <c r="D784" s="9">
        <v>1400</v>
      </c>
      <c r="E784" s="9">
        <f>+Tablo3[[#This Row],[Birim Fiyat]]*Tablo3[[#This Row],[Satış Adet]]</f>
        <v>1400</v>
      </c>
      <c r="F784" s="9">
        <v>600</v>
      </c>
      <c r="G784" t="s">
        <v>62</v>
      </c>
      <c r="H784" t="s">
        <v>11</v>
      </c>
    </row>
    <row r="785" spans="1:8" x14ac:dyDescent="0.25">
      <c r="A785" t="s">
        <v>67</v>
      </c>
      <c r="B785" t="s">
        <v>19</v>
      </c>
      <c r="C785">
        <v>1</v>
      </c>
      <c r="D785" s="9">
        <v>1350</v>
      </c>
      <c r="E785" s="9">
        <f>+Tablo3[[#This Row],[Birim Fiyat]]*Tablo3[[#This Row],[Satış Adet]]</f>
        <v>1350</v>
      </c>
      <c r="F785" s="9">
        <v>550</v>
      </c>
      <c r="G785" t="s">
        <v>62</v>
      </c>
      <c r="H785" t="s">
        <v>24</v>
      </c>
    </row>
    <row r="786" spans="1:8" x14ac:dyDescent="0.25">
      <c r="A786" t="s">
        <v>36</v>
      </c>
      <c r="B786" t="s">
        <v>51</v>
      </c>
      <c r="C786">
        <v>1</v>
      </c>
      <c r="D786" s="9">
        <v>1200</v>
      </c>
      <c r="E786" s="9">
        <f>+Tablo3[[#This Row],[Birim Fiyat]]*Tablo3[[#This Row],[Satış Adet]]</f>
        <v>1200</v>
      </c>
      <c r="F786" s="9">
        <v>400</v>
      </c>
      <c r="G786" t="s">
        <v>62</v>
      </c>
      <c r="H786" t="s">
        <v>42</v>
      </c>
    </row>
    <row r="787" spans="1:8" x14ac:dyDescent="0.25">
      <c r="A787" t="s">
        <v>30</v>
      </c>
      <c r="B787" t="s">
        <v>54</v>
      </c>
      <c r="C787">
        <v>1</v>
      </c>
      <c r="D787" s="9">
        <v>5300</v>
      </c>
      <c r="E787" s="9">
        <f>+Tablo3[[#This Row],[Birim Fiyat]]*Tablo3[[#This Row],[Satış Adet]]</f>
        <v>5300</v>
      </c>
      <c r="F787" s="9">
        <v>1300</v>
      </c>
      <c r="G787" t="s">
        <v>62</v>
      </c>
      <c r="H787" t="s">
        <v>42</v>
      </c>
    </row>
    <row r="788" spans="1:8" x14ac:dyDescent="0.25">
      <c r="A788" t="s">
        <v>38</v>
      </c>
      <c r="B788" t="s">
        <v>37</v>
      </c>
      <c r="C788">
        <v>3</v>
      </c>
      <c r="D788" s="9">
        <v>10590</v>
      </c>
      <c r="E788" s="9">
        <f>+Tablo3[[#This Row],[Birim Fiyat]]*Tablo3[[#This Row],[Satış Adet]]</f>
        <v>31770</v>
      </c>
      <c r="F788" s="9">
        <v>13770</v>
      </c>
      <c r="G788" t="s">
        <v>62</v>
      </c>
      <c r="H788" t="s">
        <v>11</v>
      </c>
    </row>
    <row r="789" spans="1:8" x14ac:dyDescent="0.25">
      <c r="A789" t="s">
        <v>22</v>
      </c>
      <c r="B789" t="s">
        <v>50</v>
      </c>
      <c r="C789">
        <v>1</v>
      </c>
      <c r="D789" s="9">
        <v>1250</v>
      </c>
      <c r="E789" s="9">
        <f>+Tablo3[[#This Row],[Birim Fiyat]]*Tablo3[[#This Row],[Satış Adet]]</f>
        <v>1250</v>
      </c>
      <c r="F789" s="9">
        <v>450</v>
      </c>
      <c r="G789" t="s">
        <v>62</v>
      </c>
      <c r="H789" t="s">
        <v>27</v>
      </c>
    </row>
    <row r="790" spans="1:8" x14ac:dyDescent="0.25">
      <c r="A790" t="s">
        <v>48</v>
      </c>
      <c r="B790" t="s">
        <v>51</v>
      </c>
      <c r="C790">
        <v>1</v>
      </c>
      <c r="D790" s="9">
        <v>1200</v>
      </c>
      <c r="E790" s="9">
        <f>+Tablo3[[#This Row],[Birim Fiyat]]*Tablo3[[#This Row],[Satış Adet]]</f>
        <v>1200</v>
      </c>
      <c r="F790" s="9">
        <v>400</v>
      </c>
      <c r="G790" t="s">
        <v>62</v>
      </c>
      <c r="H790" t="s">
        <v>17</v>
      </c>
    </row>
    <row r="791" spans="1:8" x14ac:dyDescent="0.25">
      <c r="A791" t="s">
        <v>22</v>
      </c>
      <c r="B791" t="s">
        <v>13</v>
      </c>
      <c r="C791">
        <v>3</v>
      </c>
      <c r="D791" s="9">
        <v>1400</v>
      </c>
      <c r="E791" s="9">
        <f>+Tablo3[[#This Row],[Birim Fiyat]]*Tablo3[[#This Row],[Satış Adet]]</f>
        <v>4200</v>
      </c>
      <c r="F791" s="9">
        <v>1800</v>
      </c>
      <c r="G791" t="s">
        <v>62</v>
      </c>
      <c r="H791" t="s">
        <v>14</v>
      </c>
    </row>
    <row r="792" spans="1:8" x14ac:dyDescent="0.25">
      <c r="A792" t="s">
        <v>48</v>
      </c>
      <c r="B792" t="s">
        <v>53</v>
      </c>
      <c r="C792">
        <v>2</v>
      </c>
      <c r="D792" s="9">
        <v>7530</v>
      </c>
      <c r="E792" s="9">
        <f>+Tablo3[[#This Row],[Birim Fiyat]]*Tablo3[[#This Row],[Satış Adet]]</f>
        <v>15060</v>
      </c>
      <c r="F792" s="9">
        <v>3060</v>
      </c>
      <c r="G792" t="s">
        <v>62</v>
      </c>
      <c r="H792" t="s">
        <v>24</v>
      </c>
    </row>
    <row r="793" spans="1:8" x14ac:dyDescent="0.25">
      <c r="A793" t="s">
        <v>30</v>
      </c>
      <c r="B793" t="s">
        <v>23</v>
      </c>
      <c r="C793">
        <v>1</v>
      </c>
      <c r="D793" s="9">
        <v>7600</v>
      </c>
      <c r="E793" s="9">
        <f>+Tablo3[[#This Row],[Birim Fiyat]]*Tablo3[[#This Row],[Satış Adet]]</f>
        <v>7600</v>
      </c>
      <c r="F793" s="9">
        <v>1600</v>
      </c>
      <c r="G793" t="s">
        <v>62</v>
      </c>
      <c r="H793" t="s">
        <v>29</v>
      </c>
    </row>
    <row r="794" spans="1:8" x14ac:dyDescent="0.25">
      <c r="A794" t="s">
        <v>48</v>
      </c>
      <c r="B794" t="s">
        <v>55</v>
      </c>
      <c r="C794">
        <v>1</v>
      </c>
      <c r="D794" s="9">
        <v>1500</v>
      </c>
      <c r="E794" s="9">
        <f>+Tablo3[[#This Row],[Birim Fiyat]]*Tablo3[[#This Row],[Satış Adet]]</f>
        <v>1500</v>
      </c>
      <c r="F794" s="9">
        <v>700</v>
      </c>
      <c r="G794" t="s">
        <v>62</v>
      </c>
      <c r="H794" t="s">
        <v>40</v>
      </c>
    </row>
    <row r="795" spans="1:8" x14ac:dyDescent="0.25">
      <c r="A795" t="s">
        <v>38</v>
      </c>
      <c r="B795" t="s">
        <v>21</v>
      </c>
      <c r="C795">
        <v>2</v>
      </c>
      <c r="D795" s="9">
        <v>2180</v>
      </c>
      <c r="E795" s="9">
        <f>+Tablo3[[#This Row],[Birim Fiyat]]*Tablo3[[#This Row],[Satış Adet]]</f>
        <v>4360</v>
      </c>
      <c r="F795" s="9">
        <v>1360</v>
      </c>
      <c r="G795" t="s">
        <v>62</v>
      </c>
      <c r="H795" t="s">
        <v>39</v>
      </c>
    </row>
    <row r="796" spans="1:8" x14ac:dyDescent="0.25">
      <c r="A796" t="s">
        <v>18</v>
      </c>
      <c r="B796" t="s">
        <v>21</v>
      </c>
      <c r="C796">
        <v>1</v>
      </c>
      <c r="D796" s="9">
        <v>2180</v>
      </c>
      <c r="E796" s="9">
        <f>+Tablo3[[#This Row],[Birim Fiyat]]*Tablo3[[#This Row],[Satış Adet]]</f>
        <v>2180</v>
      </c>
      <c r="F796" s="9">
        <v>680</v>
      </c>
      <c r="G796" t="s">
        <v>62</v>
      </c>
      <c r="H796" t="s">
        <v>14</v>
      </c>
    </row>
    <row r="797" spans="1:8" x14ac:dyDescent="0.25">
      <c r="A797" t="s">
        <v>38</v>
      </c>
      <c r="B797" t="s">
        <v>45</v>
      </c>
      <c r="C797">
        <v>1</v>
      </c>
      <c r="D797" s="9">
        <v>5775</v>
      </c>
      <c r="E797" s="9">
        <f>+Tablo3[[#This Row],[Birim Fiyat]]*Tablo3[[#This Row],[Satış Adet]]</f>
        <v>5775</v>
      </c>
      <c r="F797" s="9">
        <v>1775</v>
      </c>
      <c r="G797" t="s">
        <v>62</v>
      </c>
      <c r="H797" t="s">
        <v>20</v>
      </c>
    </row>
    <row r="798" spans="1:8" x14ac:dyDescent="0.25">
      <c r="A798" t="s">
        <v>38</v>
      </c>
      <c r="B798" t="s">
        <v>26</v>
      </c>
      <c r="C798">
        <v>3</v>
      </c>
      <c r="D798" s="9">
        <v>1100</v>
      </c>
      <c r="E798" s="9">
        <f>+Tablo3[[#This Row],[Birim Fiyat]]*Tablo3[[#This Row],[Satış Adet]]</f>
        <v>3300</v>
      </c>
      <c r="F798" s="9">
        <v>900</v>
      </c>
      <c r="G798" t="s">
        <v>62</v>
      </c>
      <c r="H798" t="s">
        <v>29</v>
      </c>
    </row>
    <row r="799" spans="1:8" x14ac:dyDescent="0.25">
      <c r="A799" t="s">
        <v>46</v>
      </c>
      <c r="B799" t="s">
        <v>45</v>
      </c>
      <c r="C799">
        <v>1</v>
      </c>
      <c r="D799" s="9">
        <v>5775</v>
      </c>
      <c r="E799" s="9">
        <f>+Tablo3[[#This Row],[Birim Fiyat]]*Tablo3[[#This Row],[Satış Adet]]</f>
        <v>5775</v>
      </c>
      <c r="F799" s="9">
        <v>1775</v>
      </c>
      <c r="G799" t="s">
        <v>62</v>
      </c>
      <c r="H799" t="s">
        <v>11</v>
      </c>
    </row>
    <row r="800" spans="1:8" x14ac:dyDescent="0.25">
      <c r="A800" t="s">
        <v>33</v>
      </c>
      <c r="B800" t="s">
        <v>19</v>
      </c>
      <c r="C800">
        <v>1</v>
      </c>
      <c r="D800" s="9">
        <v>1350</v>
      </c>
      <c r="E800" s="9">
        <f>+Tablo3[[#This Row],[Birim Fiyat]]*Tablo3[[#This Row],[Satış Adet]]</f>
        <v>1350</v>
      </c>
      <c r="F800" s="9">
        <v>550</v>
      </c>
      <c r="G800" t="s">
        <v>62</v>
      </c>
      <c r="H800" t="s">
        <v>24</v>
      </c>
    </row>
    <row r="801" spans="1:8" x14ac:dyDescent="0.25">
      <c r="A801" t="s">
        <v>8</v>
      </c>
      <c r="B801" t="s">
        <v>23</v>
      </c>
      <c r="C801">
        <v>3</v>
      </c>
      <c r="D801" s="9">
        <v>7600</v>
      </c>
      <c r="E801" s="9">
        <f>+Tablo3[[#This Row],[Birim Fiyat]]*Tablo3[[#This Row],[Satış Adet]]</f>
        <v>22800</v>
      </c>
      <c r="F801" s="9">
        <v>4800</v>
      </c>
      <c r="G801" t="s">
        <v>62</v>
      </c>
      <c r="H801" t="s">
        <v>29</v>
      </c>
    </row>
    <row r="802" spans="1:8" x14ac:dyDescent="0.25">
      <c r="A802" t="s">
        <v>15</v>
      </c>
      <c r="B802" t="s">
        <v>25</v>
      </c>
      <c r="C802">
        <v>3</v>
      </c>
      <c r="D802" s="9">
        <v>7250</v>
      </c>
      <c r="E802" s="9">
        <f>+Tablo3[[#This Row],[Birim Fiyat]]*Tablo3[[#This Row],[Satış Adet]]</f>
        <v>21750</v>
      </c>
      <c r="F802" s="9">
        <v>6750</v>
      </c>
      <c r="G802" t="s">
        <v>62</v>
      </c>
      <c r="H802" t="s">
        <v>27</v>
      </c>
    </row>
    <row r="803" spans="1:8" x14ac:dyDescent="0.25">
      <c r="A803" t="s">
        <v>48</v>
      </c>
      <c r="B803" t="s">
        <v>41</v>
      </c>
      <c r="C803">
        <v>2</v>
      </c>
      <c r="D803" s="9">
        <v>1490</v>
      </c>
      <c r="E803" s="9">
        <f>+Tablo3[[#This Row],[Birim Fiyat]]*Tablo3[[#This Row],[Satış Adet]]</f>
        <v>2980</v>
      </c>
      <c r="F803" s="9">
        <v>1380</v>
      </c>
      <c r="G803" t="s">
        <v>62</v>
      </c>
      <c r="H803" t="s">
        <v>17</v>
      </c>
    </row>
    <row r="804" spans="1:8" x14ac:dyDescent="0.25">
      <c r="A804" t="s">
        <v>18</v>
      </c>
      <c r="B804" t="s">
        <v>41</v>
      </c>
      <c r="C804">
        <v>2</v>
      </c>
      <c r="D804" s="9">
        <v>1490</v>
      </c>
      <c r="E804" s="9">
        <f>+Tablo3[[#This Row],[Birim Fiyat]]*Tablo3[[#This Row],[Satış Adet]]</f>
        <v>2980</v>
      </c>
      <c r="F804" s="9">
        <v>1380</v>
      </c>
      <c r="G804" t="s">
        <v>62</v>
      </c>
      <c r="H804" t="s">
        <v>11</v>
      </c>
    </row>
    <row r="805" spans="1:8" x14ac:dyDescent="0.25">
      <c r="A805" t="s">
        <v>36</v>
      </c>
      <c r="B805" t="s">
        <v>32</v>
      </c>
      <c r="C805">
        <v>2</v>
      </c>
      <c r="D805" s="9">
        <v>1090</v>
      </c>
      <c r="E805" s="9">
        <f>+Tablo3[[#This Row],[Birim Fiyat]]*Tablo3[[#This Row],[Satış Adet]]</f>
        <v>2180</v>
      </c>
      <c r="F805" s="9">
        <v>580</v>
      </c>
      <c r="G805" t="s">
        <v>62</v>
      </c>
      <c r="H805" t="s">
        <v>17</v>
      </c>
    </row>
    <row r="806" spans="1:8" x14ac:dyDescent="0.25">
      <c r="A806" t="s">
        <v>36</v>
      </c>
      <c r="B806" t="s">
        <v>28</v>
      </c>
      <c r="C806">
        <v>3</v>
      </c>
      <c r="D806" s="9">
        <v>1200</v>
      </c>
      <c r="E806" s="9">
        <f>+Tablo3[[#This Row],[Birim Fiyat]]*Tablo3[[#This Row],[Satış Adet]]</f>
        <v>3600</v>
      </c>
      <c r="F806" s="9">
        <v>1200</v>
      </c>
      <c r="G806" t="s">
        <v>62</v>
      </c>
      <c r="H806" t="s">
        <v>27</v>
      </c>
    </row>
    <row r="807" spans="1:8" x14ac:dyDescent="0.25">
      <c r="A807" t="s">
        <v>48</v>
      </c>
      <c r="B807" t="s">
        <v>32</v>
      </c>
      <c r="C807">
        <v>2</v>
      </c>
      <c r="D807" s="9">
        <v>1090</v>
      </c>
      <c r="E807" s="9">
        <f>+Tablo3[[#This Row],[Birim Fiyat]]*Tablo3[[#This Row],[Satış Adet]]</f>
        <v>2180</v>
      </c>
      <c r="F807" s="9">
        <v>580</v>
      </c>
      <c r="G807" t="s">
        <v>62</v>
      </c>
      <c r="H807" t="s">
        <v>14</v>
      </c>
    </row>
    <row r="808" spans="1:8" x14ac:dyDescent="0.25">
      <c r="A808" t="s">
        <v>48</v>
      </c>
      <c r="B808" t="s">
        <v>21</v>
      </c>
      <c r="C808">
        <v>3</v>
      </c>
      <c r="D808" s="9">
        <v>2180</v>
      </c>
      <c r="E808" s="9">
        <f>+Tablo3[[#This Row],[Birim Fiyat]]*Tablo3[[#This Row],[Satış Adet]]</f>
        <v>6540</v>
      </c>
      <c r="F808" s="9">
        <v>2040</v>
      </c>
      <c r="G808" t="s">
        <v>62</v>
      </c>
      <c r="H808" t="s">
        <v>20</v>
      </c>
    </row>
    <row r="809" spans="1:8" x14ac:dyDescent="0.25">
      <c r="A809" t="s">
        <v>15</v>
      </c>
      <c r="B809" t="s">
        <v>54</v>
      </c>
      <c r="C809">
        <v>3</v>
      </c>
      <c r="D809" s="9">
        <v>5300</v>
      </c>
      <c r="E809" s="9">
        <f>+Tablo3[[#This Row],[Birim Fiyat]]*Tablo3[[#This Row],[Satış Adet]]</f>
        <v>15900</v>
      </c>
      <c r="F809" s="9">
        <v>3900</v>
      </c>
      <c r="G809" t="s">
        <v>62</v>
      </c>
      <c r="H809" t="s">
        <v>42</v>
      </c>
    </row>
    <row r="810" spans="1:8" x14ac:dyDescent="0.25">
      <c r="A810" t="s">
        <v>48</v>
      </c>
      <c r="B810" t="s">
        <v>54</v>
      </c>
      <c r="C810">
        <v>2</v>
      </c>
      <c r="D810" s="9">
        <v>5300</v>
      </c>
      <c r="E810" s="9">
        <f>+Tablo3[[#This Row],[Birim Fiyat]]*Tablo3[[#This Row],[Satış Adet]]</f>
        <v>10600</v>
      </c>
      <c r="F810" s="9">
        <v>2600</v>
      </c>
      <c r="G810" t="s">
        <v>62</v>
      </c>
      <c r="H810" t="s">
        <v>11</v>
      </c>
    </row>
    <row r="811" spans="1:8" x14ac:dyDescent="0.25">
      <c r="A811" t="s">
        <v>67</v>
      </c>
      <c r="B811" t="s">
        <v>25</v>
      </c>
      <c r="C811">
        <v>2</v>
      </c>
      <c r="D811" s="9">
        <v>7250</v>
      </c>
      <c r="E811" s="9">
        <f>+Tablo3[[#This Row],[Birim Fiyat]]*Tablo3[[#This Row],[Satış Adet]]</f>
        <v>14500</v>
      </c>
      <c r="F811" s="9">
        <v>4500</v>
      </c>
      <c r="G811" t="s">
        <v>62</v>
      </c>
      <c r="H811" t="s">
        <v>20</v>
      </c>
    </row>
    <row r="812" spans="1:8" x14ac:dyDescent="0.25">
      <c r="A812" t="s">
        <v>67</v>
      </c>
      <c r="B812" t="s">
        <v>51</v>
      </c>
      <c r="C812">
        <v>3</v>
      </c>
      <c r="D812" s="9">
        <v>1200</v>
      </c>
      <c r="E812" s="9">
        <f>+Tablo3[[#This Row],[Birim Fiyat]]*Tablo3[[#This Row],[Satış Adet]]</f>
        <v>3600</v>
      </c>
      <c r="F812" s="9">
        <v>1200</v>
      </c>
      <c r="G812" t="s">
        <v>62</v>
      </c>
      <c r="H812" t="s">
        <v>14</v>
      </c>
    </row>
    <row r="813" spans="1:8" x14ac:dyDescent="0.25">
      <c r="A813" t="s">
        <v>18</v>
      </c>
      <c r="B813" t="s">
        <v>9</v>
      </c>
      <c r="C813">
        <v>1</v>
      </c>
      <c r="D813" s="9">
        <v>6000</v>
      </c>
      <c r="E813" s="9">
        <f>+Tablo3[[#This Row],[Birim Fiyat]]*Tablo3[[#This Row],[Satış Adet]]</f>
        <v>6000</v>
      </c>
      <c r="F813" s="9">
        <v>2000</v>
      </c>
      <c r="G813" t="s">
        <v>62</v>
      </c>
      <c r="H813" t="s">
        <v>44</v>
      </c>
    </row>
    <row r="814" spans="1:8" x14ac:dyDescent="0.25">
      <c r="A814" t="s">
        <v>15</v>
      </c>
      <c r="B814" t="s">
        <v>16</v>
      </c>
      <c r="C814">
        <v>3</v>
      </c>
      <c r="D814" s="9">
        <v>8450</v>
      </c>
      <c r="E814" s="9">
        <f>+Tablo3[[#This Row],[Birim Fiyat]]*Tablo3[[#This Row],[Satış Adet]]</f>
        <v>25350</v>
      </c>
      <c r="F814" s="9">
        <v>7350</v>
      </c>
      <c r="G814" t="s">
        <v>62</v>
      </c>
      <c r="H814" t="s">
        <v>11</v>
      </c>
    </row>
    <row r="815" spans="1:8" x14ac:dyDescent="0.25">
      <c r="A815" t="s">
        <v>30</v>
      </c>
      <c r="B815" t="s">
        <v>43</v>
      </c>
      <c r="C815">
        <v>1</v>
      </c>
      <c r="D815" s="9">
        <v>4200</v>
      </c>
      <c r="E815" s="9">
        <f>+Tablo3[[#This Row],[Birim Fiyat]]*Tablo3[[#This Row],[Satış Adet]]</f>
        <v>4200</v>
      </c>
      <c r="F815" s="9">
        <v>1200</v>
      </c>
      <c r="G815" t="s">
        <v>62</v>
      </c>
      <c r="H815" t="s">
        <v>24</v>
      </c>
    </row>
    <row r="816" spans="1:8" x14ac:dyDescent="0.25">
      <c r="A816" t="s">
        <v>30</v>
      </c>
      <c r="B816" t="s">
        <v>37</v>
      </c>
      <c r="C816">
        <v>3</v>
      </c>
      <c r="D816" s="9">
        <v>10590</v>
      </c>
      <c r="E816" s="9">
        <f>+Tablo3[[#This Row],[Birim Fiyat]]*Tablo3[[#This Row],[Satış Adet]]</f>
        <v>31770</v>
      </c>
      <c r="F816" s="9">
        <v>13770</v>
      </c>
      <c r="G816" t="s">
        <v>62</v>
      </c>
      <c r="H816" t="s">
        <v>44</v>
      </c>
    </row>
    <row r="817" spans="1:8" x14ac:dyDescent="0.25">
      <c r="A817" t="s">
        <v>67</v>
      </c>
      <c r="B817" t="s">
        <v>51</v>
      </c>
      <c r="C817">
        <v>1</v>
      </c>
      <c r="D817" s="9">
        <v>1200</v>
      </c>
      <c r="E817" s="9">
        <f>+Tablo3[[#This Row],[Birim Fiyat]]*Tablo3[[#This Row],[Satış Adet]]</f>
        <v>1200</v>
      </c>
      <c r="F817" s="9">
        <v>400</v>
      </c>
      <c r="G817" t="s">
        <v>62</v>
      </c>
      <c r="H817" t="s">
        <v>14</v>
      </c>
    </row>
    <row r="818" spans="1:8" x14ac:dyDescent="0.25">
      <c r="A818" t="s">
        <v>46</v>
      </c>
      <c r="B818" t="s">
        <v>26</v>
      </c>
      <c r="C818">
        <v>2</v>
      </c>
      <c r="D818" s="9">
        <v>1100</v>
      </c>
      <c r="E818" s="9">
        <f>+Tablo3[[#This Row],[Birim Fiyat]]*Tablo3[[#This Row],[Satış Adet]]</f>
        <v>2200</v>
      </c>
      <c r="F818" s="9">
        <v>600</v>
      </c>
      <c r="G818" t="s">
        <v>62</v>
      </c>
      <c r="H818" t="s">
        <v>24</v>
      </c>
    </row>
    <row r="819" spans="1:8" x14ac:dyDescent="0.25">
      <c r="A819" t="s">
        <v>38</v>
      </c>
      <c r="B819" t="s">
        <v>56</v>
      </c>
      <c r="C819">
        <v>2</v>
      </c>
      <c r="D819" s="9">
        <v>3700</v>
      </c>
      <c r="E819" s="9">
        <f>+Tablo3[[#This Row],[Birim Fiyat]]*Tablo3[[#This Row],[Satış Adet]]</f>
        <v>7400</v>
      </c>
      <c r="F819" s="9">
        <v>1400</v>
      </c>
      <c r="G819" t="s">
        <v>62</v>
      </c>
      <c r="H819" t="s">
        <v>44</v>
      </c>
    </row>
    <row r="820" spans="1:8" x14ac:dyDescent="0.25">
      <c r="A820" t="s">
        <v>12</v>
      </c>
      <c r="B820" t="s">
        <v>56</v>
      </c>
      <c r="C820">
        <v>1</v>
      </c>
      <c r="D820" s="9">
        <v>3700</v>
      </c>
      <c r="E820" s="9">
        <f>+Tablo3[[#This Row],[Birim Fiyat]]*Tablo3[[#This Row],[Satış Adet]]</f>
        <v>3700</v>
      </c>
      <c r="F820" s="9">
        <v>700</v>
      </c>
      <c r="G820" t="s">
        <v>62</v>
      </c>
      <c r="H820" t="s">
        <v>14</v>
      </c>
    </row>
    <row r="821" spans="1:8" x14ac:dyDescent="0.25">
      <c r="A821" t="s">
        <v>30</v>
      </c>
      <c r="B821" t="s">
        <v>26</v>
      </c>
      <c r="C821">
        <v>3</v>
      </c>
      <c r="D821" s="9">
        <v>1100</v>
      </c>
      <c r="E821" s="9">
        <f>+Tablo3[[#This Row],[Birim Fiyat]]*Tablo3[[#This Row],[Satış Adet]]</f>
        <v>3300</v>
      </c>
      <c r="F821" s="9">
        <v>900</v>
      </c>
      <c r="G821" t="s">
        <v>62</v>
      </c>
      <c r="H821" t="s">
        <v>44</v>
      </c>
    </row>
    <row r="822" spans="1:8" x14ac:dyDescent="0.25">
      <c r="A822" t="s">
        <v>67</v>
      </c>
      <c r="B822" t="s">
        <v>56</v>
      </c>
      <c r="C822">
        <v>1</v>
      </c>
      <c r="D822" s="9">
        <v>3700</v>
      </c>
      <c r="E822" s="9">
        <f>+Tablo3[[#This Row],[Birim Fiyat]]*Tablo3[[#This Row],[Satış Adet]]</f>
        <v>3700</v>
      </c>
      <c r="F822" s="9">
        <v>700</v>
      </c>
      <c r="G822" t="s">
        <v>62</v>
      </c>
      <c r="H822" t="s">
        <v>27</v>
      </c>
    </row>
    <row r="823" spans="1:8" x14ac:dyDescent="0.25">
      <c r="A823" t="s">
        <v>46</v>
      </c>
      <c r="B823" t="s">
        <v>41</v>
      </c>
      <c r="C823">
        <v>1</v>
      </c>
      <c r="D823" s="9">
        <v>1490</v>
      </c>
      <c r="E823" s="9">
        <f>+Tablo3[[#This Row],[Birim Fiyat]]*Tablo3[[#This Row],[Satış Adet]]</f>
        <v>1490</v>
      </c>
      <c r="F823" s="9">
        <v>690</v>
      </c>
      <c r="G823" t="s">
        <v>62</v>
      </c>
      <c r="H823" t="s">
        <v>44</v>
      </c>
    </row>
    <row r="824" spans="1:8" x14ac:dyDescent="0.25">
      <c r="A824" t="s">
        <v>38</v>
      </c>
      <c r="B824" t="s">
        <v>55</v>
      </c>
      <c r="C824">
        <v>1</v>
      </c>
      <c r="D824" s="9">
        <v>1500</v>
      </c>
      <c r="E824" s="9">
        <f>+Tablo3[[#This Row],[Birim Fiyat]]*Tablo3[[#This Row],[Satış Adet]]</f>
        <v>1500</v>
      </c>
      <c r="F824" s="9">
        <v>700</v>
      </c>
      <c r="G824" t="s">
        <v>62</v>
      </c>
      <c r="H824" t="s">
        <v>44</v>
      </c>
    </row>
    <row r="825" spans="1:8" x14ac:dyDescent="0.25">
      <c r="A825" t="s">
        <v>36</v>
      </c>
      <c r="B825" t="s">
        <v>32</v>
      </c>
      <c r="C825">
        <v>2</v>
      </c>
      <c r="D825" s="9">
        <v>1090</v>
      </c>
      <c r="E825" s="9">
        <f>+Tablo3[[#This Row],[Birim Fiyat]]*Tablo3[[#This Row],[Satış Adet]]</f>
        <v>2180</v>
      </c>
      <c r="F825" s="9">
        <v>580</v>
      </c>
      <c r="G825" t="s">
        <v>62</v>
      </c>
      <c r="H825" t="s">
        <v>27</v>
      </c>
    </row>
    <row r="826" spans="1:8" x14ac:dyDescent="0.25">
      <c r="A826" t="s">
        <v>46</v>
      </c>
      <c r="B826" t="s">
        <v>31</v>
      </c>
      <c r="C826">
        <v>3</v>
      </c>
      <c r="D826" s="9">
        <v>1800</v>
      </c>
      <c r="E826" s="9">
        <f>+Tablo3[[#This Row],[Birim Fiyat]]*Tablo3[[#This Row],[Satış Adet]]</f>
        <v>5400</v>
      </c>
      <c r="F826" s="9">
        <v>3000</v>
      </c>
      <c r="G826" t="s">
        <v>62</v>
      </c>
      <c r="H826" t="s">
        <v>42</v>
      </c>
    </row>
    <row r="827" spans="1:8" x14ac:dyDescent="0.25">
      <c r="A827" t="s">
        <v>33</v>
      </c>
      <c r="B827" t="s">
        <v>53</v>
      </c>
      <c r="C827">
        <v>2</v>
      </c>
      <c r="D827" s="9">
        <v>7530</v>
      </c>
      <c r="E827" s="9">
        <f>+Tablo3[[#This Row],[Birim Fiyat]]*Tablo3[[#This Row],[Satış Adet]]</f>
        <v>15060</v>
      </c>
      <c r="F827" s="9">
        <v>3060</v>
      </c>
      <c r="G827" t="s">
        <v>62</v>
      </c>
      <c r="H827" t="s">
        <v>44</v>
      </c>
    </row>
    <row r="828" spans="1:8" x14ac:dyDescent="0.25">
      <c r="A828" t="s">
        <v>30</v>
      </c>
      <c r="B828" t="s">
        <v>26</v>
      </c>
      <c r="C828">
        <v>3</v>
      </c>
      <c r="D828" s="9">
        <v>1100</v>
      </c>
      <c r="E828" s="9">
        <f>+Tablo3[[#This Row],[Birim Fiyat]]*Tablo3[[#This Row],[Satış Adet]]</f>
        <v>3300</v>
      </c>
      <c r="F828" s="9">
        <v>900</v>
      </c>
      <c r="G828" t="s">
        <v>62</v>
      </c>
      <c r="H828" t="s">
        <v>44</v>
      </c>
    </row>
    <row r="829" spans="1:8" x14ac:dyDescent="0.25">
      <c r="A829" t="s">
        <v>38</v>
      </c>
      <c r="B829" t="s">
        <v>19</v>
      </c>
      <c r="C829">
        <v>3</v>
      </c>
      <c r="D829" s="9">
        <v>1350</v>
      </c>
      <c r="E829" s="9">
        <f>+Tablo3[[#This Row],[Birim Fiyat]]*Tablo3[[#This Row],[Satış Adet]]</f>
        <v>4050</v>
      </c>
      <c r="F829" s="9">
        <v>1650</v>
      </c>
      <c r="G829" t="s">
        <v>62</v>
      </c>
      <c r="H829" t="s">
        <v>35</v>
      </c>
    </row>
    <row r="830" spans="1:8" x14ac:dyDescent="0.25">
      <c r="A830" t="s">
        <v>36</v>
      </c>
      <c r="B830" t="s">
        <v>19</v>
      </c>
      <c r="C830">
        <v>1</v>
      </c>
      <c r="D830" s="9">
        <v>1350</v>
      </c>
      <c r="E830" s="9">
        <f>+Tablo3[[#This Row],[Birim Fiyat]]*Tablo3[[#This Row],[Satış Adet]]</f>
        <v>1350</v>
      </c>
      <c r="F830" s="9">
        <v>550</v>
      </c>
      <c r="G830" t="s">
        <v>62</v>
      </c>
      <c r="H830" t="s">
        <v>27</v>
      </c>
    </row>
    <row r="831" spans="1:8" x14ac:dyDescent="0.25">
      <c r="A831" t="s">
        <v>33</v>
      </c>
      <c r="B831" t="s">
        <v>32</v>
      </c>
      <c r="C831">
        <v>2</v>
      </c>
      <c r="D831" s="9">
        <v>1090</v>
      </c>
      <c r="E831" s="9">
        <f>+Tablo3[[#This Row],[Birim Fiyat]]*Tablo3[[#This Row],[Satış Adet]]</f>
        <v>2180</v>
      </c>
      <c r="F831" s="9">
        <v>580</v>
      </c>
      <c r="G831" t="s">
        <v>62</v>
      </c>
      <c r="H831" t="s">
        <v>14</v>
      </c>
    </row>
    <row r="832" spans="1:8" x14ac:dyDescent="0.25">
      <c r="A832" t="s">
        <v>33</v>
      </c>
      <c r="B832" t="s">
        <v>43</v>
      </c>
      <c r="C832">
        <v>1</v>
      </c>
      <c r="D832" s="9">
        <v>4200</v>
      </c>
      <c r="E832" s="9">
        <f>+Tablo3[[#This Row],[Birim Fiyat]]*Tablo3[[#This Row],[Satış Adet]]</f>
        <v>4200</v>
      </c>
      <c r="F832" s="9">
        <v>1200</v>
      </c>
      <c r="G832" t="s">
        <v>62</v>
      </c>
      <c r="H832" t="s">
        <v>17</v>
      </c>
    </row>
    <row r="833" spans="1:8" x14ac:dyDescent="0.25">
      <c r="A833" t="s">
        <v>38</v>
      </c>
      <c r="B833" t="s">
        <v>31</v>
      </c>
      <c r="C833">
        <v>2</v>
      </c>
      <c r="D833" s="9">
        <v>1800</v>
      </c>
      <c r="E833" s="9">
        <f>+Tablo3[[#This Row],[Birim Fiyat]]*Tablo3[[#This Row],[Satış Adet]]</f>
        <v>3600</v>
      </c>
      <c r="F833" s="9">
        <v>2000</v>
      </c>
      <c r="G833" t="s">
        <v>62</v>
      </c>
      <c r="H833" t="s">
        <v>24</v>
      </c>
    </row>
    <row r="834" spans="1:8" x14ac:dyDescent="0.25">
      <c r="A834" t="s">
        <v>48</v>
      </c>
      <c r="B834" t="s">
        <v>32</v>
      </c>
      <c r="C834">
        <v>1</v>
      </c>
      <c r="D834" s="9">
        <v>1090</v>
      </c>
      <c r="E834" s="9">
        <f>+Tablo3[[#This Row],[Birim Fiyat]]*Tablo3[[#This Row],[Satış Adet]]</f>
        <v>1090</v>
      </c>
      <c r="F834" s="9">
        <v>290</v>
      </c>
      <c r="G834" t="s">
        <v>62</v>
      </c>
      <c r="H834" t="s">
        <v>39</v>
      </c>
    </row>
    <row r="835" spans="1:8" x14ac:dyDescent="0.25">
      <c r="A835" t="s">
        <v>8</v>
      </c>
      <c r="B835" t="s">
        <v>23</v>
      </c>
      <c r="C835">
        <v>1</v>
      </c>
      <c r="D835" s="9">
        <v>7600</v>
      </c>
      <c r="E835" s="9">
        <f>+Tablo3[[#This Row],[Birim Fiyat]]*Tablo3[[#This Row],[Satış Adet]]</f>
        <v>7600</v>
      </c>
      <c r="F835" s="9">
        <v>1600</v>
      </c>
      <c r="G835" t="s">
        <v>62</v>
      </c>
      <c r="H835" t="s">
        <v>17</v>
      </c>
    </row>
    <row r="836" spans="1:8" x14ac:dyDescent="0.25">
      <c r="A836" t="s">
        <v>36</v>
      </c>
      <c r="B836" t="s">
        <v>23</v>
      </c>
      <c r="C836">
        <v>3</v>
      </c>
      <c r="D836" s="9">
        <v>7600</v>
      </c>
      <c r="E836" s="9">
        <f>+Tablo3[[#This Row],[Birim Fiyat]]*Tablo3[[#This Row],[Satış Adet]]</f>
        <v>22800</v>
      </c>
      <c r="F836" s="9">
        <v>4800</v>
      </c>
      <c r="G836" t="s">
        <v>62</v>
      </c>
      <c r="H836" t="s">
        <v>29</v>
      </c>
    </row>
    <row r="837" spans="1:8" x14ac:dyDescent="0.25">
      <c r="A837" t="s">
        <v>15</v>
      </c>
      <c r="B837" t="s">
        <v>56</v>
      </c>
      <c r="C837">
        <v>1</v>
      </c>
      <c r="D837" s="9">
        <v>3700</v>
      </c>
      <c r="E837" s="9">
        <f>+Tablo3[[#This Row],[Birim Fiyat]]*Tablo3[[#This Row],[Satış Adet]]</f>
        <v>3700</v>
      </c>
      <c r="F837" s="9">
        <v>700</v>
      </c>
      <c r="G837" t="s">
        <v>62</v>
      </c>
      <c r="H837" t="s">
        <v>52</v>
      </c>
    </row>
    <row r="838" spans="1:8" x14ac:dyDescent="0.25">
      <c r="A838" t="s">
        <v>22</v>
      </c>
      <c r="B838" t="s">
        <v>25</v>
      </c>
      <c r="C838">
        <v>3</v>
      </c>
      <c r="D838" s="9">
        <v>7250</v>
      </c>
      <c r="E838" s="9">
        <f>+Tablo3[[#This Row],[Birim Fiyat]]*Tablo3[[#This Row],[Satış Adet]]</f>
        <v>21750</v>
      </c>
      <c r="F838" s="9">
        <v>6750</v>
      </c>
      <c r="G838" t="s">
        <v>62</v>
      </c>
      <c r="H838" t="s">
        <v>35</v>
      </c>
    </row>
    <row r="839" spans="1:8" x14ac:dyDescent="0.25">
      <c r="A839" t="s">
        <v>12</v>
      </c>
      <c r="B839" t="s">
        <v>23</v>
      </c>
      <c r="C839">
        <v>3</v>
      </c>
      <c r="D839" s="9">
        <v>7600</v>
      </c>
      <c r="E839" s="9">
        <f>+Tablo3[[#This Row],[Birim Fiyat]]*Tablo3[[#This Row],[Satış Adet]]</f>
        <v>22800</v>
      </c>
      <c r="F839" s="9">
        <v>4800</v>
      </c>
      <c r="G839" t="s">
        <v>62</v>
      </c>
      <c r="H839" t="s">
        <v>11</v>
      </c>
    </row>
    <row r="840" spans="1:8" x14ac:dyDescent="0.25">
      <c r="A840" t="s">
        <v>46</v>
      </c>
      <c r="B840" t="s">
        <v>43</v>
      </c>
      <c r="C840">
        <v>1</v>
      </c>
      <c r="D840" s="9">
        <v>4200</v>
      </c>
      <c r="E840" s="9">
        <f>+Tablo3[[#This Row],[Birim Fiyat]]*Tablo3[[#This Row],[Satış Adet]]</f>
        <v>4200</v>
      </c>
      <c r="F840" s="9">
        <v>1200</v>
      </c>
      <c r="G840" t="s">
        <v>62</v>
      </c>
      <c r="H840" t="s">
        <v>14</v>
      </c>
    </row>
    <row r="841" spans="1:8" x14ac:dyDescent="0.25">
      <c r="A841" t="s">
        <v>30</v>
      </c>
      <c r="B841" t="s">
        <v>50</v>
      </c>
      <c r="C841">
        <v>3</v>
      </c>
      <c r="D841" s="9">
        <v>1250</v>
      </c>
      <c r="E841" s="9">
        <f>+Tablo3[[#This Row],[Birim Fiyat]]*Tablo3[[#This Row],[Satış Adet]]</f>
        <v>3750</v>
      </c>
      <c r="F841" s="9">
        <v>1350</v>
      </c>
      <c r="G841" t="s">
        <v>62</v>
      </c>
      <c r="H841" t="s">
        <v>44</v>
      </c>
    </row>
    <row r="842" spans="1:8" x14ac:dyDescent="0.25">
      <c r="A842" t="s">
        <v>36</v>
      </c>
      <c r="B842" t="s">
        <v>32</v>
      </c>
      <c r="C842">
        <v>1</v>
      </c>
      <c r="D842" s="9">
        <v>1090</v>
      </c>
      <c r="E842" s="9">
        <f>+Tablo3[[#This Row],[Birim Fiyat]]*Tablo3[[#This Row],[Satış Adet]]</f>
        <v>1090</v>
      </c>
      <c r="F842" s="9">
        <v>290</v>
      </c>
      <c r="G842" t="s">
        <v>62</v>
      </c>
      <c r="H842" t="s">
        <v>29</v>
      </c>
    </row>
    <row r="843" spans="1:8" x14ac:dyDescent="0.25">
      <c r="A843" t="s">
        <v>18</v>
      </c>
      <c r="B843" t="s">
        <v>21</v>
      </c>
      <c r="C843">
        <v>1</v>
      </c>
      <c r="D843" s="9">
        <v>2180</v>
      </c>
      <c r="E843" s="9">
        <f>+Tablo3[[#This Row],[Birim Fiyat]]*Tablo3[[#This Row],[Satış Adet]]</f>
        <v>2180</v>
      </c>
      <c r="F843" s="9">
        <v>680</v>
      </c>
      <c r="G843" t="s">
        <v>62</v>
      </c>
      <c r="H843" t="s">
        <v>17</v>
      </c>
    </row>
    <row r="844" spans="1:8" x14ac:dyDescent="0.25">
      <c r="A844" t="s">
        <v>48</v>
      </c>
      <c r="B844" t="s">
        <v>56</v>
      </c>
      <c r="C844">
        <v>2</v>
      </c>
      <c r="D844" s="9">
        <v>3700</v>
      </c>
      <c r="E844" s="9">
        <f>+Tablo3[[#This Row],[Birim Fiyat]]*Tablo3[[#This Row],[Satış Adet]]</f>
        <v>7400</v>
      </c>
      <c r="F844" s="9">
        <v>1400</v>
      </c>
      <c r="G844" t="s">
        <v>62</v>
      </c>
      <c r="H844" t="s">
        <v>40</v>
      </c>
    </row>
    <row r="845" spans="1:8" x14ac:dyDescent="0.25">
      <c r="A845" t="s">
        <v>38</v>
      </c>
      <c r="B845" t="s">
        <v>9</v>
      </c>
      <c r="C845">
        <v>2</v>
      </c>
      <c r="D845" s="9">
        <v>6000</v>
      </c>
      <c r="E845" s="9">
        <f>+Tablo3[[#This Row],[Birim Fiyat]]*Tablo3[[#This Row],[Satış Adet]]</f>
        <v>12000</v>
      </c>
      <c r="F845" s="9">
        <v>4000</v>
      </c>
      <c r="G845" t="s">
        <v>62</v>
      </c>
      <c r="H845" t="s">
        <v>27</v>
      </c>
    </row>
    <row r="846" spans="1:8" x14ac:dyDescent="0.25">
      <c r="A846" t="s">
        <v>46</v>
      </c>
      <c r="B846" t="s">
        <v>50</v>
      </c>
      <c r="C846">
        <v>2</v>
      </c>
      <c r="D846" s="9">
        <v>1250</v>
      </c>
      <c r="E846" s="9">
        <f>+Tablo3[[#This Row],[Birim Fiyat]]*Tablo3[[#This Row],[Satış Adet]]</f>
        <v>2500</v>
      </c>
      <c r="F846" s="9">
        <v>900</v>
      </c>
      <c r="G846" t="s">
        <v>62</v>
      </c>
      <c r="H846" t="s">
        <v>14</v>
      </c>
    </row>
    <row r="847" spans="1:8" x14ac:dyDescent="0.25">
      <c r="A847" t="s">
        <v>48</v>
      </c>
      <c r="B847" t="s">
        <v>23</v>
      </c>
      <c r="C847">
        <v>1</v>
      </c>
      <c r="D847" s="9">
        <v>7600</v>
      </c>
      <c r="E847" s="9">
        <f>+Tablo3[[#This Row],[Birim Fiyat]]*Tablo3[[#This Row],[Satış Adet]]</f>
        <v>7600</v>
      </c>
      <c r="F847" s="9">
        <v>1600</v>
      </c>
      <c r="G847" t="s">
        <v>62</v>
      </c>
      <c r="H847" t="s">
        <v>35</v>
      </c>
    </row>
    <row r="848" spans="1:8" x14ac:dyDescent="0.25">
      <c r="A848" t="s">
        <v>8</v>
      </c>
      <c r="B848" t="s">
        <v>13</v>
      </c>
      <c r="C848">
        <v>2</v>
      </c>
      <c r="D848" s="9">
        <v>1400</v>
      </c>
      <c r="E848" s="9">
        <f>+Tablo3[[#This Row],[Birim Fiyat]]*Tablo3[[#This Row],[Satış Adet]]</f>
        <v>2800</v>
      </c>
      <c r="F848" s="9">
        <v>1200</v>
      </c>
      <c r="G848" t="s">
        <v>62</v>
      </c>
      <c r="H848" t="s">
        <v>39</v>
      </c>
    </row>
    <row r="849" spans="1:8" x14ac:dyDescent="0.25">
      <c r="A849" t="s">
        <v>22</v>
      </c>
      <c r="B849" t="s">
        <v>21</v>
      </c>
      <c r="C849">
        <v>2</v>
      </c>
      <c r="D849" s="9">
        <v>2180</v>
      </c>
      <c r="E849" s="9">
        <f>+Tablo3[[#This Row],[Birim Fiyat]]*Tablo3[[#This Row],[Satış Adet]]</f>
        <v>4360</v>
      </c>
      <c r="F849" s="9">
        <v>1360</v>
      </c>
      <c r="G849" t="s">
        <v>62</v>
      </c>
      <c r="H849" t="s">
        <v>40</v>
      </c>
    </row>
    <row r="850" spans="1:8" x14ac:dyDescent="0.25">
      <c r="A850" t="s">
        <v>8</v>
      </c>
      <c r="B850" t="s">
        <v>31</v>
      </c>
      <c r="C850">
        <v>3</v>
      </c>
      <c r="D850" s="9">
        <v>1800</v>
      </c>
      <c r="E850" s="9">
        <f>+Tablo3[[#This Row],[Birim Fiyat]]*Tablo3[[#This Row],[Satış Adet]]</f>
        <v>5400</v>
      </c>
      <c r="F850" s="9">
        <v>3000</v>
      </c>
      <c r="G850" t="s">
        <v>62</v>
      </c>
      <c r="H850" t="s">
        <v>27</v>
      </c>
    </row>
    <row r="851" spans="1:8" x14ac:dyDescent="0.25">
      <c r="A851" t="s">
        <v>15</v>
      </c>
      <c r="B851" t="s">
        <v>55</v>
      </c>
      <c r="C851">
        <v>1</v>
      </c>
      <c r="D851" s="9">
        <v>1500</v>
      </c>
      <c r="E851" s="9">
        <f>+Tablo3[[#This Row],[Birim Fiyat]]*Tablo3[[#This Row],[Satış Adet]]</f>
        <v>1500</v>
      </c>
      <c r="F851" s="9">
        <v>700</v>
      </c>
      <c r="G851" t="s">
        <v>62</v>
      </c>
      <c r="H851" t="s">
        <v>27</v>
      </c>
    </row>
    <row r="852" spans="1:8" x14ac:dyDescent="0.25">
      <c r="A852" t="s">
        <v>30</v>
      </c>
      <c r="B852" t="s">
        <v>16</v>
      </c>
      <c r="C852">
        <v>3</v>
      </c>
      <c r="D852" s="9">
        <v>8450</v>
      </c>
      <c r="E852" s="9">
        <f>+Tablo3[[#This Row],[Birim Fiyat]]*Tablo3[[#This Row],[Satış Adet]]</f>
        <v>25350</v>
      </c>
      <c r="F852" s="9">
        <v>7350</v>
      </c>
      <c r="G852" t="s">
        <v>62</v>
      </c>
      <c r="H852" t="s">
        <v>20</v>
      </c>
    </row>
    <row r="853" spans="1:8" x14ac:dyDescent="0.25">
      <c r="A853" t="s">
        <v>38</v>
      </c>
      <c r="B853" t="s">
        <v>55</v>
      </c>
      <c r="C853">
        <v>3</v>
      </c>
      <c r="D853" s="9">
        <v>1500</v>
      </c>
      <c r="E853" s="9">
        <f>+Tablo3[[#This Row],[Birim Fiyat]]*Tablo3[[#This Row],[Satış Adet]]</f>
        <v>4500</v>
      </c>
      <c r="F853" s="9">
        <v>2100</v>
      </c>
      <c r="G853" t="s">
        <v>62</v>
      </c>
      <c r="H853" t="s">
        <v>39</v>
      </c>
    </row>
    <row r="854" spans="1:8" x14ac:dyDescent="0.25">
      <c r="A854" t="s">
        <v>67</v>
      </c>
      <c r="B854" t="s">
        <v>9</v>
      </c>
      <c r="C854">
        <v>3</v>
      </c>
      <c r="D854" s="9">
        <v>6000</v>
      </c>
      <c r="E854" s="9">
        <f>+Tablo3[[#This Row],[Birim Fiyat]]*Tablo3[[#This Row],[Satış Adet]]</f>
        <v>18000</v>
      </c>
      <c r="F854" s="9">
        <v>6000</v>
      </c>
      <c r="G854" t="s">
        <v>62</v>
      </c>
      <c r="H854" t="s">
        <v>29</v>
      </c>
    </row>
    <row r="855" spans="1:8" x14ac:dyDescent="0.25">
      <c r="A855" t="s">
        <v>48</v>
      </c>
      <c r="B855" t="s">
        <v>51</v>
      </c>
      <c r="C855">
        <v>1</v>
      </c>
      <c r="D855" s="9">
        <v>1200</v>
      </c>
      <c r="E855" s="9">
        <f>+Tablo3[[#This Row],[Birim Fiyat]]*Tablo3[[#This Row],[Satış Adet]]</f>
        <v>1200</v>
      </c>
      <c r="F855" s="9">
        <v>400</v>
      </c>
      <c r="G855" t="s">
        <v>62</v>
      </c>
      <c r="H855" t="s">
        <v>11</v>
      </c>
    </row>
    <row r="856" spans="1:8" x14ac:dyDescent="0.25">
      <c r="A856" t="s">
        <v>8</v>
      </c>
      <c r="B856" t="s">
        <v>43</v>
      </c>
      <c r="C856">
        <v>3</v>
      </c>
      <c r="D856" s="9">
        <v>4200</v>
      </c>
      <c r="E856" s="9">
        <f>+Tablo3[[#This Row],[Birim Fiyat]]*Tablo3[[#This Row],[Satış Adet]]</f>
        <v>12600</v>
      </c>
      <c r="F856" s="9">
        <v>3600</v>
      </c>
      <c r="G856" t="s">
        <v>62</v>
      </c>
      <c r="H856" t="s">
        <v>35</v>
      </c>
    </row>
    <row r="857" spans="1:8" x14ac:dyDescent="0.25">
      <c r="A857" t="s">
        <v>46</v>
      </c>
      <c r="B857" t="s">
        <v>23</v>
      </c>
      <c r="C857">
        <v>3</v>
      </c>
      <c r="D857" s="9">
        <v>7600</v>
      </c>
      <c r="E857" s="9">
        <f>+Tablo3[[#This Row],[Birim Fiyat]]*Tablo3[[#This Row],[Satış Adet]]</f>
        <v>22800</v>
      </c>
      <c r="F857" s="9">
        <v>4800</v>
      </c>
      <c r="G857" t="s">
        <v>62</v>
      </c>
      <c r="H857" t="s">
        <v>14</v>
      </c>
    </row>
    <row r="858" spans="1:8" x14ac:dyDescent="0.25">
      <c r="A858" t="s">
        <v>67</v>
      </c>
      <c r="B858" t="s">
        <v>25</v>
      </c>
      <c r="C858">
        <v>2</v>
      </c>
      <c r="D858" s="9">
        <v>7250</v>
      </c>
      <c r="E858" s="9">
        <f>+Tablo3[[#This Row],[Birim Fiyat]]*Tablo3[[#This Row],[Satış Adet]]</f>
        <v>14500</v>
      </c>
      <c r="F858" s="9">
        <v>4500</v>
      </c>
      <c r="G858" t="s">
        <v>62</v>
      </c>
      <c r="H858" t="s">
        <v>29</v>
      </c>
    </row>
    <row r="859" spans="1:8" x14ac:dyDescent="0.25">
      <c r="A859" t="s">
        <v>12</v>
      </c>
      <c r="B859" t="s">
        <v>53</v>
      </c>
      <c r="C859">
        <v>2</v>
      </c>
      <c r="D859" s="9">
        <v>7530</v>
      </c>
      <c r="E859" s="9">
        <f>+Tablo3[[#This Row],[Birim Fiyat]]*Tablo3[[#This Row],[Satış Adet]]</f>
        <v>15060</v>
      </c>
      <c r="F859" s="9">
        <v>3060</v>
      </c>
      <c r="G859" t="s">
        <v>62</v>
      </c>
      <c r="H859" t="s">
        <v>52</v>
      </c>
    </row>
    <row r="860" spans="1:8" x14ac:dyDescent="0.25">
      <c r="A860" t="s">
        <v>15</v>
      </c>
      <c r="B860" t="s">
        <v>25</v>
      </c>
      <c r="C860">
        <v>2</v>
      </c>
      <c r="D860" s="9">
        <v>7250</v>
      </c>
      <c r="E860" s="9">
        <f>+Tablo3[[#This Row],[Birim Fiyat]]*Tablo3[[#This Row],[Satış Adet]]</f>
        <v>14500</v>
      </c>
      <c r="F860" s="9">
        <v>4500</v>
      </c>
      <c r="G860" t="s">
        <v>62</v>
      </c>
      <c r="H860" t="s">
        <v>24</v>
      </c>
    </row>
    <row r="861" spans="1:8" x14ac:dyDescent="0.25">
      <c r="A861" t="s">
        <v>12</v>
      </c>
      <c r="B861" t="s">
        <v>9</v>
      </c>
      <c r="C861">
        <v>1</v>
      </c>
      <c r="D861" s="9">
        <v>6000</v>
      </c>
      <c r="E861" s="9">
        <f>+Tablo3[[#This Row],[Birim Fiyat]]*Tablo3[[#This Row],[Satış Adet]]</f>
        <v>6000</v>
      </c>
      <c r="F861" s="9">
        <v>2000</v>
      </c>
      <c r="G861" t="s">
        <v>62</v>
      </c>
      <c r="H861" t="s">
        <v>14</v>
      </c>
    </row>
    <row r="862" spans="1:8" x14ac:dyDescent="0.25">
      <c r="A862" t="s">
        <v>67</v>
      </c>
      <c r="B862" t="s">
        <v>51</v>
      </c>
      <c r="C862">
        <v>3</v>
      </c>
      <c r="D862" s="9">
        <v>1200</v>
      </c>
      <c r="E862" s="9">
        <f>+Tablo3[[#This Row],[Birim Fiyat]]*Tablo3[[#This Row],[Satış Adet]]</f>
        <v>3600</v>
      </c>
      <c r="F862" s="9">
        <v>1200</v>
      </c>
      <c r="G862" t="s">
        <v>62</v>
      </c>
      <c r="H862" t="s">
        <v>39</v>
      </c>
    </row>
    <row r="863" spans="1:8" x14ac:dyDescent="0.25">
      <c r="A863" t="s">
        <v>48</v>
      </c>
      <c r="B863" t="s">
        <v>54</v>
      </c>
      <c r="C863">
        <v>2</v>
      </c>
      <c r="D863" s="9">
        <v>5300</v>
      </c>
      <c r="E863" s="9">
        <f>+Tablo3[[#This Row],[Birim Fiyat]]*Tablo3[[#This Row],[Satış Adet]]</f>
        <v>10600</v>
      </c>
      <c r="F863" s="9">
        <v>2600</v>
      </c>
      <c r="G863" t="s">
        <v>62</v>
      </c>
      <c r="H863" t="s">
        <v>35</v>
      </c>
    </row>
    <row r="864" spans="1:8" x14ac:dyDescent="0.25">
      <c r="A864" t="s">
        <v>36</v>
      </c>
      <c r="B864" t="s">
        <v>16</v>
      </c>
      <c r="C864">
        <v>2</v>
      </c>
      <c r="D864" s="9">
        <v>8450</v>
      </c>
      <c r="E864" s="9">
        <f>+Tablo3[[#This Row],[Birim Fiyat]]*Tablo3[[#This Row],[Satış Adet]]</f>
        <v>16900</v>
      </c>
      <c r="F864" s="9">
        <v>4900</v>
      </c>
      <c r="G864" t="s">
        <v>62</v>
      </c>
      <c r="H864" t="s">
        <v>52</v>
      </c>
    </row>
    <row r="865" spans="1:8" x14ac:dyDescent="0.25">
      <c r="A865" t="s">
        <v>22</v>
      </c>
      <c r="B865" t="s">
        <v>19</v>
      </c>
      <c r="C865">
        <v>1</v>
      </c>
      <c r="D865" s="9">
        <v>1350</v>
      </c>
      <c r="E865" s="9">
        <f>+Tablo3[[#This Row],[Birim Fiyat]]*Tablo3[[#This Row],[Satış Adet]]</f>
        <v>1350</v>
      </c>
      <c r="F865" s="9">
        <v>550</v>
      </c>
      <c r="G865" t="s">
        <v>62</v>
      </c>
      <c r="H865" t="s">
        <v>35</v>
      </c>
    </row>
    <row r="866" spans="1:8" x14ac:dyDescent="0.25">
      <c r="A866" t="s">
        <v>30</v>
      </c>
      <c r="B866" t="s">
        <v>32</v>
      </c>
      <c r="C866">
        <v>1</v>
      </c>
      <c r="D866" s="9">
        <v>1090</v>
      </c>
      <c r="E866" s="9">
        <f>+Tablo3[[#This Row],[Birim Fiyat]]*Tablo3[[#This Row],[Satış Adet]]</f>
        <v>1090</v>
      </c>
      <c r="F866" s="9">
        <v>290</v>
      </c>
      <c r="G866" t="s">
        <v>62</v>
      </c>
      <c r="H866" t="s">
        <v>17</v>
      </c>
    </row>
    <row r="867" spans="1:8" x14ac:dyDescent="0.25">
      <c r="A867" t="s">
        <v>22</v>
      </c>
      <c r="B867" t="s">
        <v>21</v>
      </c>
      <c r="C867">
        <v>1</v>
      </c>
      <c r="D867" s="9">
        <v>2180</v>
      </c>
      <c r="E867" s="9">
        <f>+Tablo3[[#This Row],[Birim Fiyat]]*Tablo3[[#This Row],[Satış Adet]]</f>
        <v>2180</v>
      </c>
      <c r="F867" s="9">
        <v>680</v>
      </c>
      <c r="G867" t="s">
        <v>62</v>
      </c>
      <c r="H867" t="s">
        <v>40</v>
      </c>
    </row>
    <row r="868" spans="1:8" x14ac:dyDescent="0.25">
      <c r="A868" t="s">
        <v>8</v>
      </c>
      <c r="B868" t="s">
        <v>9</v>
      </c>
      <c r="C868">
        <v>2</v>
      </c>
      <c r="D868" s="9">
        <v>6000</v>
      </c>
      <c r="E868" s="9">
        <f>+Tablo3[[#This Row],[Birim Fiyat]]*Tablo3[[#This Row],[Satış Adet]]</f>
        <v>12000</v>
      </c>
      <c r="F868" s="9">
        <v>4000</v>
      </c>
      <c r="G868" t="s">
        <v>62</v>
      </c>
      <c r="H868" t="s">
        <v>11</v>
      </c>
    </row>
    <row r="869" spans="1:8" x14ac:dyDescent="0.25">
      <c r="A869" t="s">
        <v>12</v>
      </c>
      <c r="B869" t="s">
        <v>13</v>
      </c>
      <c r="C869">
        <v>2</v>
      </c>
      <c r="D869" s="9">
        <v>1400</v>
      </c>
      <c r="E869" s="9">
        <f>+Tablo3[[#This Row],[Birim Fiyat]]*Tablo3[[#This Row],[Satış Adet]]</f>
        <v>2800</v>
      </c>
      <c r="F869" s="9">
        <v>1200</v>
      </c>
      <c r="G869" t="s">
        <v>62</v>
      </c>
      <c r="H869" t="s">
        <v>52</v>
      </c>
    </row>
    <row r="870" spans="1:8" x14ac:dyDescent="0.25">
      <c r="A870" t="s">
        <v>15</v>
      </c>
      <c r="B870" t="s">
        <v>16</v>
      </c>
      <c r="C870">
        <v>2</v>
      </c>
      <c r="D870" s="9">
        <v>8450</v>
      </c>
      <c r="E870" s="9">
        <f>+Tablo3[[#This Row],[Birim Fiyat]]*Tablo3[[#This Row],[Satış Adet]]</f>
        <v>16900</v>
      </c>
      <c r="F870" s="9">
        <v>4900</v>
      </c>
      <c r="G870" t="s">
        <v>62</v>
      </c>
      <c r="H870" t="s">
        <v>40</v>
      </c>
    </row>
    <row r="871" spans="1:8" x14ac:dyDescent="0.25">
      <c r="A871" t="s">
        <v>18</v>
      </c>
      <c r="B871" t="s">
        <v>19</v>
      </c>
      <c r="C871">
        <v>3</v>
      </c>
      <c r="D871" s="9">
        <v>1350</v>
      </c>
      <c r="E871" s="9">
        <f>+Tablo3[[#This Row],[Birim Fiyat]]*Tablo3[[#This Row],[Satış Adet]]</f>
        <v>4050</v>
      </c>
      <c r="F871" s="9">
        <v>1650</v>
      </c>
      <c r="G871" t="s">
        <v>62</v>
      </c>
      <c r="H871" t="s">
        <v>35</v>
      </c>
    </row>
    <row r="872" spans="1:8" x14ac:dyDescent="0.25">
      <c r="A872" t="s">
        <v>8</v>
      </c>
      <c r="B872" t="s">
        <v>21</v>
      </c>
      <c r="C872">
        <v>2</v>
      </c>
      <c r="D872" s="9">
        <v>2180</v>
      </c>
      <c r="E872" s="9">
        <f>+Tablo3[[#This Row],[Birim Fiyat]]*Tablo3[[#This Row],[Satış Adet]]</f>
        <v>4360</v>
      </c>
      <c r="F872" s="9">
        <v>1360</v>
      </c>
      <c r="G872" t="s">
        <v>62</v>
      </c>
      <c r="H872" t="s">
        <v>20</v>
      </c>
    </row>
    <row r="873" spans="1:8" x14ac:dyDescent="0.25">
      <c r="A873" t="s">
        <v>22</v>
      </c>
      <c r="B873" t="s">
        <v>23</v>
      </c>
      <c r="C873">
        <v>2</v>
      </c>
      <c r="D873" s="9">
        <v>7600</v>
      </c>
      <c r="E873" s="9">
        <f>+Tablo3[[#This Row],[Birim Fiyat]]*Tablo3[[#This Row],[Satış Adet]]</f>
        <v>15200</v>
      </c>
      <c r="F873" s="9">
        <v>3200</v>
      </c>
      <c r="G873" t="s">
        <v>62</v>
      </c>
      <c r="H873" t="s">
        <v>39</v>
      </c>
    </row>
    <row r="874" spans="1:8" x14ac:dyDescent="0.25">
      <c r="A874" t="s">
        <v>12</v>
      </c>
      <c r="B874" t="s">
        <v>25</v>
      </c>
      <c r="C874">
        <v>2</v>
      </c>
      <c r="D874" s="9">
        <v>7250</v>
      </c>
      <c r="E874" s="9">
        <f>+Tablo3[[#This Row],[Birim Fiyat]]*Tablo3[[#This Row],[Satış Adet]]</f>
        <v>14500</v>
      </c>
      <c r="F874" s="9">
        <v>4500</v>
      </c>
      <c r="G874" t="s">
        <v>62</v>
      </c>
      <c r="H874" t="s">
        <v>14</v>
      </c>
    </row>
    <row r="875" spans="1:8" x14ac:dyDescent="0.25">
      <c r="A875" t="s">
        <v>18</v>
      </c>
      <c r="B875" t="s">
        <v>26</v>
      </c>
      <c r="C875">
        <v>3</v>
      </c>
      <c r="D875" s="9">
        <v>1100</v>
      </c>
      <c r="E875" s="9">
        <f>+Tablo3[[#This Row],[Birim Fiyat]]*Tablo3[[#This Row],[Satış Adet]]</f>
        <v>3300</v>
      </c>
      <c r="F875" s="9">
        <v>900</v>
      </c>
      <c r="G875" t="s">
        <v>62</v>
      </c>
      <c r="H875" t="s">
        <v>29</v>
      </c>
    </row>
    <row r="876" spans="1:8" x14ac:dyDescent="0.25">
      <c r="A876" t="s">
        <v>67</v>
      </c>
      <c r="B876" t="s">
        <v>9</v>
      </c>
      <c r="C876">
        <v>2</v>
      </c>
      <c r="D876" s="9">
        <v>6000</v>
      </c>
      <c r="E876" s="9">
        <f>+Tablo3[[#This Row],[Birim Fiyat]]*Tablo3[[#This Row],[Satış Adet]]</f>
        <v>12000</v>
      </c>
      <c r="F876" s="9">
        <v>4000</v>
      </c>
      <c r="G876" t="s">
        <v>62</v>
      </c>
      <c r="H876" t="s">
        <v>24</v>
      </c>
    </row>
    <row r="877" spans="1:8" x14ac:dyDescent="0.25">
      <c r="A877" t="s">
        <v>8</v>
      </c>
      <c r="B877" t="s">
        <v>28</v>
      </c>
      <c r="C877">
        <v>1</v>
      </c>
      <c r="D877" s="9">
        <v>1200</v>
      </c>
      <c r="E877" s="9">
        <f>+Tablo3[[#This Row],[Birim Fiyat]]*Tablo3[[#This Row],[Satış Adet]]</f>
        <v>1200</v>
      </c>
      <c r="F877" s="9">
        <v>400</v>
      </c>
      <c r="G877" t="s">
        <v>62</v>
      </c>
      <c r="H877" t="s">
        <v>40</v>
      </c>
    </row>
    <row r="878" spans="1:8" x14ac:dyDescent="0.25">
      <c r="A878" t="s">
        <v>30</v>
      </c>
      <c r="B878" t="s">
        <v>31</v>
      </c>
      <c r="C878">
        <v>2</v>
      </c>
      <c r="D878" s="9">
        <v>1800</v>
      </c>
      <c r="E878" s="9">
        <f>+Tablo3[[#This Row],[Birim Fiyat]]*Tablo3[[#This Row],[Satış Adet]]</f>
        <v>3600</v>
      </c>
      <c r="F878" s="9">
        <v>2000</v>
      </c>
      <c r="G878" t="s">
        <v>62</v>
      </c>
      <c r="H878" t="s">
        <v>27</v>
      </c>
    </row>
    <row r="879" spans="1:8" x14ac:dyDescent="0.25">
      <c r="A879" t="s">
        <v>30</v>
      </c>
      <c r="B879" t="s">
        <v>32</v>
      </c>
      <c r="C879">
        <v>2</v>
      </c>
      <c r="D879" s="9">
        <v>1090</v>
      </c>
      <c r="E879" s="9">
        <f>+Tablo3[[#This Row],[Birim Fiyat]]*Tablo3[[#This Row],[Satış Adet]]</f>
        <v>2180</v>
      </c>
      <c r="F879" s="9">
        <v>580</v>
      </c>
      <c r="G879" t="s">
        <v>62</v>
      </c>
      <c r="H879" t="s">
        <v>40</v>
      </c>
    </row>
    <row r="880" spans="1:8" x14ac:dyDescent="0.25">
      <c r="A880" t="s">
        <v>67</v>
      </c>
      <c r="B880" t="s">
        <v>21</v>
      </c>
      <c r="C880">
        <v>3</v>
      </c>
      <c r="D880" s="9">
        <v>2180</v>
      </c>
      <c r="E880" s="9">
        <f>+Tablo3[[#This Row],[Birim Fiyat]]*Tablo3[[#This Row],[Satış Adet]]</f>
        <v>6540</v>
      </c>
      <c r="F880" s="9">
        <v>2040</v>
      </c>
      <c r="G880" t="s">
        <v>62</v>
      </c>
      <c r="H880" t="s">
        <v>27</v>
      </c>
    </row>
    <row r="881" spans="1:8" x14ac:dyDescent="0.25">
      <c r="A881" t="s">
        <v>33</v>
      </c>
      <c r="B881" t="s">
        <v>31</v>
      </c>
      <c r="C881">
        <v>3</v>
      </c>
      <c r="D881" s="9">
        <v>1800</v>
      </c>
      <c r="E881" s="9">
        <f>+Tablo3[[#This Row],[Birim Fiyat]]*Tablo3[[#This Row],[Satış Adet]]</f>
        <v>5400</v>
      </c>
      <c r="F881" s="9">
        <v>3000</v>
      </c>
      <c r="G881" t="s">
        <v>62</v>
      </c>
      <c r="H881" t="s">
        <v>42</v>
      </c>
    </row>
    <row r="882" spans="1:8" x14ac:dyDescent="0.25">
      <c r="A882" t="s">
        <v>22</v>
      </c>
      <c r="B882" t="s">
        <v>34</v>
      </c>
      <c r="C882">
        <v>3</v>
      </c>
      <c r="D882" s="9">
        <v>8000</v>
      </c>
      <c r="E882" s="9">
        <f>+Tablo3[[#This Row],[Birim Fiyat]]*Tablo3[[#This Row],[Satış Adet]]</f>
        <v>24000</v>
      </c>
      <c r="F882" s="9">
        <v>6000</v>
      </c>
      <c r="G882" t="s">
        <v>62</v>
      </c>
      <c r="H882" t="s">
        <v>11</v>
      </c>
    </row>
    <row r="883" spans="1:8" x14ac:dyDescent="0.25">
      <c r="A883" t="s">
        <v>67</v>
      </c>
      <c r="B883" t="s">
        <v>13</v>
      </c>
      <c r="C883">
        <v>1</v>
      </c>
      <c r="D883" s="9">
        <v>1400</v>
      </c>
      <c r="E883" s="9">
        <f>+Tablo3[[#This Row],[Birim Fiyat]]*Tablo3[[#This Row],[Satış Adet]]</f>
        <v>1400</v>
      </c>
      <c r="F883" s="9">
        <v>600</v>
      </c>
      <c r="G883" t="s">
        <v>62</v>
      </c>
      <c r="H883" t="s">
        <v>40</v>
      </c>
    </row>
    <row r="884" spans="1:8" x14ac:dyDescent="0.25">
      <c r="A884" t="s">
        <v>36</v>
      </c>
      <c r="B884" t="s">
        <v>37</v>
      </c>
      <c r="C884">
        <v>1</v>
      </c>
      <c r="D884" s="9">
        <v>10590</v>
      </c>
      <c r="E884" s="9">
        <f>+Tablo3[[#This Row],[Birim Fiyat]]*Tablo3[[#This Row],[Satış Adet]]</f>
        <v>10590</v>
      </c>
      <c r="F884" s="9">
        <v>4590</v>
      </c>
      <c r="G884" t="s">
        <v>62</v>
      </c>
      <c r="H884" t="s">
        <v>35</v>
      </c>
    </row>
    <row r="885" spans="1:8" x14ac:dyDescent="0.25">
      <c r="A885" t="s">
        <v>38</v>
      </c>
      <c r="B885" t="s">
        <v>19</v>
      </c>
      <c r="C885">
        <v>2</v>
      </c>
      <c r="D885" s="9">
        <v>1350</v>
      </c>
      <c r="E885" s="9">
        <f>+Tablo3[[#This Row],[Birim Fiyat]]*Tablo3[[#This Row],[Satış Adet]]</f>
        <v>2700</v>
      </c>
      <c r="F885" s="9">
        <v>1100</v>
      </c>
      <c r="G885" t="s">
        <v>62</v>
      </c>
      <c r="H885" t="s">
        <v>11</v>
      </c>
    </row>
    <row r="886" spans="1:8" x14ac:dyDescent="0.25">
      <c r="A886" t="s">
        <v>30</v>
      </c>
      <c r="B886" t="s">
        <v>13</v>
      </c>
      <c r="C886">
        <v>2</v>
      </c>
      <c r="D886" s="9">
        <v>1400</v>
      </c>
      <c r="E886" s="9">
        <f>+Tablo3[[#This Row],[Birim Fiyat]]*Tablo3[[#This Row],[Satış Adet]]</f>
        <v>2800</v>
      </c>
      <c r="F886" s="9">
        <v>1200</v>
      </c>
      <c r="G886" t="s">
        <v>62</v>
      </c>
      <c r="H886" t="s">
        <v>39</v>
      </c>
    </row>
    <row r="887" spans="1:8" x14ac:dyDescent="0.25">
      <c r="A887" t="s">
        <v>18</v>
      </c>
      <c r="B887" t="s">
        <v>9</v>
      </c>
      <c r="C887">
        <v>1</v>
      </c>
      <c r="D887" s="9">
        <v>6000</v>
      </c>
      <c r="E887" s="9">
        <f>+Tablo3[[#This Row],[Birim Fiyat]]*Tablo3[[#This Row],[Satış Adet]]</f>
        <v>6000</v>
      </c>
      <c r="F887" s="9">
        <v>2000</v>
      </c>
      <c r="G887" t="s">
        <v>62</v>
      </c>
      <c r="H887" t="s">
        <v>29</v>
      </c>
    </row>
    <row r="888" spans="1:8" x14ac:dyDescent="0.25">
      <c r="A888" t="s">
        <v>36</v>
      </c>
      <c r="B888" t="s">
        <v>26</v>
      </c>
      <c r="C888">
        <v>2</v>
      </c>
      <c r="D888" s="9">
        <v>1100</v>
      </c>
      <c r="E888" s="9">
        <f>+Tablo3[[#This Row],[Birim Fiyat]]*Tablo3[[#This Row],[Satış Adet]]</f>
        <v>2200</v>
      </c>
      <c r="F888" s="9">
        <v>600</v>
      </c>
      <c r="G888" t="s">
        <v>62</v>
      </c>
      <c r="H888" t="s">
        <v>20</v>
      </c>
    </row>
    <row r="889" spans="1:8" x14ac:dyDescent="0.25">
      <c r="A889" t="s">
        <v>15</v>
      </c>
      <c r="B889" t="s">
        <v>9</v>
      </c>
      <c r="C889">
        <v>2</v>
      </c>
      <c r="D889" s="9">
        <v>6000</v>
      </c>
      <c r="E889" s="9">
        <f>+Tablo3[[#This Row],[Birim Fiyat]]*Tablo3[[#This Row],[Satış Adet]]</f>
        <v>12000</v>
      </c>
      <c r="F889" s="9">
        <v>4000</v>
      </c>
      <c r="G889" t="s">
        <v>62</v>
      </c>
      <c r="H889" t="s">
        <v>44</v>
      </c>
    </row>
    <row r="890" spans="1:8" x14ac:dyDescent="0.25">
      <c r="A890" t="s">
        <v>38</v>
      </c>
      <c r="B890" t="s">
        <v>41</v>
      </c>
      <c r="C890">
        <v>1</v>
      </c>
      <c r="D890" s="9">
        <v>1490</v>
      </c>
      <c r="E890" s="9">
        <f>+Tablo3[[#This Row],[Birim Fiyat]]*Tablo3[[#This Row],[Satış Adet]]</f>
        <v>1490</v>
      </c>
      <c r="F890" s="9">
        <v>690</v>
      </c>
      <c r="G890" t="s">
        <v>62</v>
      </c>
      <c r="H890" t="s">
        <v>14</v>
      </c>
    </row>
    <row r="891" spans="1:8" x14ac:dyDescent="0.25">
      <c r="A891" t="s">
        <v>36</v>
      </c>
      <c r="B891" t="s">
        <v>37</v>
      </c>
      <c r="C891">
        <v>2</v>
      </c>
      <c r="D891" s="9">
        <v>10590</v>
      </c>
      <c r="E891" s="9">
        <f>+Tablo3[[#This Row],[Birim Fiyat]]*Tablo3[[#This Row],[Satış Adet]]</f>
        <v>21180</v>
      </c>
      <c r="F891" s="9">
        <v>9180</v>
      </c>
      <c r="G891" t="s">
        <v>62</v>
      </c>
      <c r="H891" t="s">
        <v>11</v>
      </c>
    </row>
    <row r="892" spans="1:8" x14ac:dyDescent="0.25">
      <c r="A892" t="s">
        <v>15</v>
      </c>
      <c r="B892" t="s">
        <v>34</v>
      </c>
      <c r="C892">
        <v>3</v>
      </c>
      <c r="D892" s="9">
        <v>8000</v>
      </c>
      <c r="E892" s="9">
        <f>+Tablo3[[#This Row],[Birim Fiyat]]*Tablo3[[#This Row],[Satış Adet]]</f>
        <v>24000</v>
      </c>
      <c r="F892" s="9">
        <v>6000</v>
      </c>
      <c r="G892" t="s">
        <v>62</v>
      </c>
      <c r="H892" t="s">
        <v>27</v>
      </c>
    </row>
    <row r="893" spans="1:8" x14ac:dyDescent="0.25">
      <c r="A893" t="s">
        <v>30</v>
      </c>
      <c r="B893" t="s">
        <v>26</v>
      </c>
      <c r="C893">
        <v>1</v>
      </c>
      <c r="D893" s="9">
        <v>1100</v>
      </c>
      <c r="E893" s="9">
        <f>+Tablo3[[#This Row],[Birim Fiyat]]*Tablo3[[#This Row],[Satış Adet]]</f>
        <v>1100</v>
      </c>
      <c r="F893" s="9">
        <v>300</v>
      </c>
      <c r="G893" t="s">
        <v>62</v>
      </c>
      <c r="H893" t="s">
        <v>17</v>
      </c>
    </row>
    <row r="894" spans="1:8" x14ac:dyDescent="0.25">
      <c r="A894" t="s">
        <v>38</v>
      </c>
      <c r="B894" t="s">
        <v>28</v>
      </c>
      <c r="C894">
        <v>1</v>
      </c>
      <c r="D894" s="9">
        <v>1200</v>
      </c>
      <c r="E894" s="9">
        <f>+Tablo3[[#This Row],[Birim Fiyat]]*Tablo3[[#This Row],[Satış Adet]]</f>
        <v>1200</v>
      </c>
      <c r="F894" s="9">
        <v>400</v>
      </c>
      <c r="G894" t="s">
        <v>62</v>
      </c>
      <c r="H894" t="s">
        <v>44</v>
      </c>
    </row>
    <row r="895" spans="1:8" x14ac:dyDescent="0.25">
      <c r="A895" t="s">
        <v>22</v>
      </c>
      <c r="B895" t="s">
        <v>43</v>
      </c>
      <c r="C895">
        <v>2</v>
      </c>
      <c r="D895" s="9">
        <v>4200</v>
      </c>
      <c r="E895" s="9">
        <f>+Tablo3[[#This Row],[Birim Fiyat]]*Tablo3[[#This Row],[Satış Adet]]</f>
        <v>8400</v>
      </c>
      <c r="F895" s="9">
        <v>2400</v>
      </c>
      <c r="G895" t="s">
        <v>62</v>
      </c>
      <c r="H895" t="s">
        <v>52</v>
      </c>
    </row>
    <row r="896" spans="1:8" x14ac:dyDescent="0.25">
      <c r="A896" t="s">
        <v>12</v>
      </c>
      <c r="B896" t="s">
        <v>45</v>
      </c>
      <c r="C896">
        <v>3</v>
      </c>
      <c r="D896" s="9">
        <v>5775</v>
      </c>
      <c r="E896" s="9">
        <f>+Tablo3[[#This Row],[Birim Fiyat]]*Tablo3[[#This Row],[Satış Adet]]</f>
        <v>17325</v>
      </c>
      <c r="F896" s="9">
        <v>5325</v>
      </c>
      <c r="G896" t="s">
        <v>62</v>
      </c>
      <c r="H896" t="s">
        <v>39</v>
      </c>
    </row>
    <row r="897" spans="1:8" x14ac:dyDescent="0.25">
      <c r="A897" t="s">
        <v>46</v>
      </c>
      <c r="B897" t="s">
        <v>23</v>
      </c>
      <c r="C897">
        <v>3</v>
      </c>
      <c r="D897" s="9">
        <v>7600</v>
      </c>
      <c r="E897" s="9">
        <f>+Tablo3[[#This Row],[Birim Fiyat]]*Tablo3[[#This Row],[Satış Adet]]</f>
        <v>22800</v>
      </c>
      <c r="F897" s="9">
        <v>4800</v>
      </c>
      <c r="G897" t="s">
        <v>62</v>
      </c>
      <c r="H897" t="s">
        <v>29</v>
      </c>
    </row>
    <row r="898" spans="1:8" x14ac:dyDescent="0.25">
      <c r="A898" t="s">
        <v>12</v>
      </c>
      <c r="B898" t="s">
        <v>25</v>
      </c>
      <c r="C898">
        <v>3</v>
      </c>
      <c r="D898" s="9">
        <v>7250</v>
      </c>
      <c r="E898" s="9">
        <f>+Tablo3[[#This Row],[Birim Fiyat]]*Tablo3[[#This Row],[Satış Adet]]</f>
        <v>21750</v>
      </c>
      <c r="F898" s="9">
        <v>6750</v>
      </c>
      <c r="G898" t="s">
        <v>62</v>
      </c>
      <c r="H898" t="s">
        <v>17</v>
      </c>
    </row>
    <row r="899" spans="1:8" x14ac:dyDescent="0.25">
      <c r="A899" t="s">
        <v>8</v>
      </c>
      <c r="B899" t="s">
        <v>25</v>
      </c>
      <c r="C899">
        <v>3</v>
      </c>
      <c r="D899" s="9">
        <v>7250</v>
      </c>
      <c r="E899" s="9">
        <f>+Tablo3[[#This Row],[Birim Fiyat]]*Tablo3[[#This Row],[Satış Adet]]</f>
        <v>21750</v>
      </c>
      <c r="F899" s="9">
        <v>6750</v>
      </c>
      <c r="G899" t="s">
        <v>62</v>
      </c>
      <c r="H899" t="s">
        <v>44</v>
      </c>
    </row>
    <row r="900" spans="1:8" x14ac:dyDescent="0.25">
      <c r="A900" t="s">
        <v>36</v>
      </c>
      <c r="B900" t="s">
        <v>25</v>
      </c>
      <c r="C900">
        <v>3</v>
      </c>
      <c r="D900" s="9">
        <v>7250</v>
      </c>
      <c r="E900" s="9">
        <f>+Tablo3[[#This Row],[Birim Fiyat]]*Tablo3[[#This Row],[Satış Adet]]</f>
        <v>21750</v>
      </c>
      <c r="F900" s="9">
        <v>6750</v>
      </c>
      <c r="G900" t="s">
        <v>62</v>
      </c>
      <c r="H900" t="s">
        <v>52</v>
      </c>
    </row>
    <row r="901" spans="1:8" x14ac:dyDescent="0.25">
      <c r="A901" t="s">
        <v>67</v>
      </c>
      <c r="B901" t="s">
        <v>19</v>
      </c>
      <c r="C901">
        <v>1</v>
      </c>
      <c r="D901" s="9">
        <v>1350</v>
      </c>
      <c r="E901" s="9">
        <f>+Tablo3[[#This Row],[Birim Fiyat]]*Tablo3[[#This Row],[Satış Adet]]</f>
        <v>1350</v>
      </c>
      <c r="F901" s="9">
        <v>550</v>
      </c>
      <c r="G901" t="s">
        <v>62</v>
      </c>
      <c r="H901" t="s">
        <v>24</v>
      </c>
    </row>
    <row r="902" spans="1:8" x14ac:dyDescent="0.25">
      <c r="A902" t="s">
        <v>12</v>
      </c>
      <c r="B902" t="s">
        <v>25</v>
      </c>
      <c r="C902">
        <v>2</v>
      </c>
      <c r="D902" s="9">
        <v>7250</v>
      </c>
      <c r="E902" s="9">
        <f>+Tablo3[[#This Row],[Birim Fiyat]]*Tablo3[[#This Row],[Satış Adet]]</f>
        <v>14500</v>
      </c>
      <c r="F902" s="9">
        <v>4500</v>
      </c>
      <c r="G902" t="s">
        <v>62</v>
      </c>
      <c r="H902" t="s">
        <v>42</v>
      </c>
    </row>
    <row r="903" spans="1:8" x14ac:dyDescent="0.25">
      <c r="A903" t="s">
        <v>30</v>
      </c>
      <c r="B903" t="s">
        <v>23</v>
      </c>
      <c r="C903">
        <v>1</v>
      </c>
      <c r="D903" s="9">
        <v>7600</v>
      </c>
      <c r="E903" s="9">
        <f>+Tablo3[[#This Row],[Birim Fiyat]]*Tablo3[[#This Row],[Satış Adet]]</f>
        <v>7600</v>
      </c>
      <c r="F903" s="9">
        <v>1600</v>
      </c>
      <c r="G903" t="s">
        <v>62</v>
      </c>
      <c r="H903" t="s">
        <v>52</v>
      </c>
    </row>
    <row r="904" spans="1:8" x14ac:dyDescent="0.25">
      <c r="A904" t="s">
        <v>48</v>
      </c>
      <c r="B904" t="s">
        <v>23</v>
      </c>
      <c r="C904">
        <v>3</v>
      </c>
      <c r="D904" s="9">
        <v>7600</v>
      </c>
      <c r="E904" s="9">
        <f>+Tablo3[[#This Row],[Birim Fiyat]]*Tablo3[[#This Row],[Satış Adet]]</f>
        <v>22800</v>
      </c>
      <c r="F904" s="9">
        <v>4800</v>
      </c>
      <c r="G904" t="s">
        <v>62</v>
      </c>
      <c r="H904" t="s">
        <v>14</v>
      </c>
    </row>
    <row r="905" spans="1:8" x14ac:dyDescent="0.25">
      <c r="A905" t="s">
        <v>12</v>
      </c>
      <c r="B905" t="s">
        <v>41</v>
      </c>
      <c r="C905">
        <v>3</v>
      </c>
      <c r="D905" s="9">
        <v>1490</v>
      </c>
      <c r="E905" s="9">
        <f>+Tablo3[[#This Row],[Birim Fiyat]]*Tablo3[[#This Row],[Satış Adet]]</f>
        <v>4470</v>
      </c>
      <c r="F905" s="9">
        <v>2070</v>
      </c>
      <c r="G905" t="s">
        <v>62</v>
      </c>
      <c r="H905" t="s">
        <v>35</v>
      </c>
    </row>
    <row r="906" spans="1:8" x14ac:dyDescent="0.25">
      <c r="A906" t="s">
        <v>67</v>
      </c>
      <c r="B906" t="s">
        <v>49</v>
      </c>
      <c r="C906">
        <v>2</v>
      </c>
      <c r="D906" s="9">
        <v>2900</v>
      </c>
      <c r="E906" s="9">
        <f>+Tablo3[[#This Row],[Birim Fiyat]]*Tablo3[[#This Row],[Satış Adet]]</f>
        <v>5800</v>
      </c>
      <c r="F906" s="9">
        <v>1800</v>
      </c>
      <c r="G906" t="s">
        <v>62</v>
      </c>
      <c r="H906" t="s">
        <v>11</v>
      </c>
    </row>
    <row r="907" spans="1:8" x14ac:dyDescent="0.25">
      <c r="A907" t="s">
        <v>38</v>
      </c>
      <c r="B907" t="s">
        <v>41</v>
      </c>
      <c r="C907">
        <v>1</v>
      </c>
      <c r="D907" s="9">
        <v>1490</v>
      </c>
      <c r="E907" s="9">
        <f>+Tablo3[[#This Row],[Birim Fiyat]]*Tablo3[[#This Row],[Satış Adet]]</f>
        <v>1490</v>
      </c>
      <c r="F907" s="9">
        <v>690</v>
      </c>
      <c r="G907" t="s">
        <v>62</v>
      </c>
      <c r="H907" t="s">
        <v>20</v>
      </c>
    </row>
    <row r="908" spans="1:8" x14ac:dyDescent="0.25">
      <c r="A908" t="s">
        <v>38</v>
      </c>
      <c r="B908" t="s">
        <v>32</v>
      </c>
      <c r="C908">
        <v>2</v>
      </c>
      <c r="D908" s="9">
        <v>1090</v>
      </c>
      <c r="E908" s="9">
        <f>+Tablo3[[#This Row],[Birim Fiyat]]*Tablo3[[#This Row],[Satış Adet]]</f>
        <v>2180</v>
      </c>
      <c r="F908" s="9">
        <v>580</v>
      </c>
      <c r="G908" t="s">
        <v>62</v>
      </c>
      <c r="H908" t="s">
        <v>42</v>
      </c>
    </row>
    <row r="909" spans="1:8" x14ac:dyDescent="0.25">
      <c r="A909" t="s">
        <v>67</v>
      </c>
      <c r="B909" t="s">
        <v>28</v>
      </c>
      <c r="C909">
        <v>2</v>
      </c>
      <c r="D909" s="9">
        <v>1200</v>
      </c>
      <c r="E909" s="9">
        <f>+Tablo3[[#This Row],[Birim Fiyat]]*Tablo3[[#This Row],[Satış Adet]]</f>
        <v>2400</v>
      </c>
      <c r="F909" s="9">
        <v>800</v>
      </c>
      <c r="G909" t="s">
        <v>62</v>
      </c>
      <c r="H909" t="s">
        <v>39</v>
      </c>
    </row>
    <row r="910" spans="1:8" x14ac:dyDescent="0.25">
      <c r="A910" t="s">
        <v>36</v>
      </c>
      <c r="B910" t="s">
        <v>37</v>
      </c>
      <c r="C910">
        <v>2</v>
      </c>
      <c r="D910" s="9">
        <v>10590</v>
      </c>
      <c r="E910" s="9">
        <f>+Tablo3[[#This Row],[Birim Fiyat]]*Tablo3[[#This Row],[Satış Adet]]</f>
        <v>21180</v>
      </c>
      <c r="F910" s="9">
        <v>9180</v>
      </c>
      <c r="G910" t="s">
        <v>62</v>
      </c>
      <c r="H910" t="s">
        <v>40</v>
      </c>
    </row>
    <row r="911" spans="1:8" x14ac:dyDescent="0.25">
      <c r="A911" t="s">
        <v>30</v>
      </c>
      <c r="B911" t="s">
        <v>43</v>
      </c>
      <c r="C911">
        <v>3</v>
      </c>
      <c r="D911" s="9">
        <v>4200</v>
      </c>
      <c r="E911" s="9">
        <f>+Tablo3[[#This Row],[Birim Fiyat]]*Tablo3[[#This Row],[Satış Adet]]</f>
        <v>12600</v>
      </c>
      <c r="F911" s="9">
        <v>3600</v>
      </c>
      <c r="G911" t="s">
        <v>62</v>
      </c>
      <c r="H911" t="s">
        <v>52</v>
      </c>
    </row>
    <row r="912" spans="1:8" x14ac:dyDescent="0.25">
      <c r="A912" t="s">
        <v>18</v>
      </c>
      <c r="B912" t="s">
        <v>43</v>
      </c>
      <c r="C912">
        <v>3</v>
      </c>
      <c r="D912" s="9">
        <v>4200</v>
      </c>
      <c r="E912" s="9">
        <f>+Tablo3[[#This Row],[Birim Fiyat]]*Tablo3[[#This Row],[Satış Adet]]</f>
        <v>12600</v>
      </c>
      <c r="F912" s="9">
        <v>3600</v>
      </c>
      <c r="G912" t="s">
        <v>62</v>
      </c>
      <c r="H912" t="s">
        <v>35</v>
      </c>
    </row>
    <row r="913" spans="1:8" x14ac:dyDescent="0.25">
      <c r="A913" t="s">
        <v>33</v>
      </c>
      <c r="B913" t="s">
        <v>37</v>
      </c>
      <c r="C913">
        <v>2</v>
      </c>
      <c r="D913" s="9">
        <v>10590</v>
      </c>
      <c r="E913" s="9">
        <f>+Tablo3[[#This Row],[Birim Fiyat]]*Tablo3[[#This Row],[Satış Adet]]</f>
        <v>21180</v>
      </c>
      <c r="F913" s="9">
        <v>9180</v>
      </c>
      <c r="G913" t="s">
        <v>62</v>
      </c>
      <c r="H913" t="s">
        <v>44</v>
      </c>
    </row>
    <row r="914" spans="1:8" x14ac:dyDescent="0.25">
      <c r="A914" t="s">
        <v>48</v>
      </c>
      <c r="B914" t="s">
        <v>50</v>
      </c>
      <c r="C914">
        <v>1</v>
      </c>
      <c r="D914" s="9">
        <v>1250</v>
      </c>
      <c r="E914" s="9">
        <f>+Tablo3[[#This Row],[Birim Fiyat]]*Tablo3[[#This Row],[Satış Adet]]</f>
        <v>1250</v>
      </c>
      <c r="F914" s="9">
        <v>450</v>
      </c>
      <c r="G914" t="s">
        <v>62</v>
      </c>
      <c r="H914" t="s">
        <v>39</v>
      </c>
    </row>
    <row r="915" spans="1:8" x14ac:dyDescent="0.25">
      <c r="A915" t="s">
        <v>8</v>
      </c>
      <c r="B915" t="s">
        <v>41</v>
      </c>
      <c r="C915">
        <v>3</v>
      </c>
      <c r="D915" s="9">
        <v>1490</v>
      </c>
      <c r="E915" s="9">
        <f>+Tablo3[[#This Row],[Birim Fiyat]]*Tablo3[[#This Row],[Satış Adet]]</f>
        <v>4470</v>
      </c>
      <c r="F915" s="9">
        <v>2070</v>
      </c>
      <c r="G915" t="s">
        <v>62</v>
      </c>
      <c r="H915" t="s">
        <v>35</v>
      </c>
    </row>
    <row r="916" spans="1:8" x14ac:dyDescent="0.25">
      <c r="A916" t="s">
        <v>30</v>
      </c>
      <c r="B916" t="s">
        <v>28</v>
      </c>
      <c r="C916">
        <v>2</v>
      </c>
      <c r="D916" s="9">
        <v>1200</v>
      </c>
      <c r="E916" s="9">
        <f>+Tablo3[[#This Row],[Birim Fiyat]]*Tablo3[[#This Row],[Satış Adet]]</f>
        <v>2400</v>
      </c>
      <c r="F916" s="9">
        <v>800</v>
      </c>
      <c r="G916" t="s">
        <v>62</v>
      </c>
      <c r="H916" t="s">
        <v>42</v>
      </c>
    </row>
    <row r="917" spans="1:8" x14ac:dyDescent="0.25">
      <c r="A917" t="s">
        <v>15</v>
      </c>
      <c r="B917" t="s">
        <v>21</v>
      </c>
      <c r="C917">
        <v>3</v>
      </c>
      <c r="D917" s="9">
        <v>2180</v>
      </c>
      <c r="E917" s="9">
        <f>+Tablo3[[#This Row],[Birim Fiyat]]*Tablo3[[#This Row],[Satış Adet]]</f>
        <v>6540</v>
      </c>
      <c r="F917" s="9">
        <v>2040</v>
      </c>
      <c r="G917" t="s">
        <v>62</v>
      </c>
      <c r="H917" t="s">
        <v>24</v>
      </c>
    </row>
    <row r="918" spans="1:8" x14ac:dyDescent="0.25">
      <c r="A918" t="s">
        <v>38</v>
      </c>
      <c r="B918" t="s">
        <v>51</v>
      </c>
      <c r="C918">
        <v>3</v>
      </c>
      <c r="D918" s="9">
        <v>1200</v>
      </c>
      <c r="E918" s="9">
        <f>+Tablo3[[#This Row],[Birim Fiyat]]*Tablo3[[#This Row],[Satış Adet]]</f>
        <v>3600</v>
      </c>
      <c r="F918" s="9">
        <v>1200</v>
      </c>
      <c r="G918" t="s">
        <v>62</v>
      </c>
      <c r="H918" t="s">
        <v>52</v>
      </c>
    </row>
    <row r="919" spans="1:8" x14ac:dyDescent="0.25">
      <c r="A919" t="s">
        <v>8</v>
      </c>
      <c r="B919" t="s">
        <v>31</v>
      </c>
      <c r="C919">
        <v>1</v>
      </c>
      <c r="D919" s="9">
        <v>1800</v>
      </c>
      <c r="E919" s="9">
        <f>+Tablo3[[#This Row],[Birim Fiyat]]*Tablo3[[#This Row],[Satış Adet]]</f>
        <v>1800</v>
      </c>
      <c r="F919" s="9">
        <v>1000</v>
      </c>
      <c r="G919" t="s">
        <v>62</v>
      </c>
      <c r="H919" t="s">
        <v>27</v>
      </c>
    </row>
    <row r="920" spans="1:8" x14ac:dyDescent="0.25">
      <c r="A920" t="s">
        <v>15</v>
      </c>
      <c r="B920" t="s">
        <v>23</v>
      </c>
      <c r="C920">
        <v>1</v>
      </c>
      <c r="D920" s="9">
        <v>7600</v>
      </c>
      <c r="E920" s="9">
        <f>+Tablo3[[#This Row],[Birim Fiyat]]*Tablo3[[#This Row],[Satış Adet]]</f>
        <v>7600</v>
      </c>
      <c r="F920" s="9">
        <v>1600</v>
      </c>
      <c r="G920" t="s">
        <v>62</v>
      </c>
      <c r="H920" t="s">
        <v>40</v>
      </c>
    </row>
    <row r="921" spans="1:8" x14ac:dyDescent="0.25">
      <c r="A921" t="s">
        <v>33</v>
      </c>
      <c r="B921" t="s">
        <v>53</v>
      </c>
      <c r="C921">
        <v>1</v>
      </c>
      <c r="D921" s="9">
        <v>7530</v>
      </c>
      <c r="E921" s="9">
        <f>+Tablo3[[#This Row],[Birim Fiyat]]*Tablo3[[#This Row],[Satış Adet]]</f>
        <v>7530</v>
      </c>
      <c r="F921" s="9">
        <v>1530</v>
      </c>
      <c r="G921" t="s">
        <v>62</v>
      </c>
      <c r="H921" t="s">
        <v>44</v>
      </c>
    </row>
    <row r="922" spans="1:8" x14ac:dyDescent="0.25">
      <c r="A922" t="s">
        <v>48</v>
      </c>
      <c r="B922" t="s">
        <v>41</v>
      </c>
      <c r="C922">
        <v>2</v>
      </c>
      <c r="D922" s="9">
        <v>1490</v>
      </c>
      <c r="E922" s="9">
        <f>+Tablo3[[#This Row],[Birim Fiyat]]*Tablo3[[#This Row],[Satış Adet]]</f>
        <v>2980</v>
      </c>
      <c r="F922" s="9">
        <v>1380</v>
      </c>
      <c r="G922" t="s">
        <v>62</v>
      </c>
      <c r="H922" t="s">
        <v>20</v>
      </c>
    </row>
    <row r="923" spans="1:8" x14ac:dyDescent="0.25">
      <c r="A923" t="s">
        <v>8</v>
      </c>
      <c r="B923" t="s">
        <v>54</v>
      </c>
      <c r="C923">
        <v>1</v>
      </c>
      <c r="D923" s="9">
        <v>5300</v>
      </c>
      <c r="E923" s="9">
        <f>+Tablo3[[#This Row],[Birim Fiyat]]*Tablo3[[#This Row],[Satış Adet]]</f>
        <v>5300</v>
      </c>
      <c r="F923" s="9">
        <v>1300</v>
      </c>
      <c r="G923" t="s">
        <v>62</v>
      </c>
      <c r="H923" t="s">
        <v>40</v>
      </c>
    </row>
    <row r="924" spans="1:8" x14ac:dyDescent="0.25">
      <c r="A924" t="s">
        <v>22</v>
      </c>
      <c r="B924" t="s">
        <v>28</v>
      </c>
      <c r="C924">
        <v>2</v>
      </c>
      <c r="D924" s="9">
        <v>1200</v>
      </c>
      <c r="E924" s="9">
        <f>+Tablo3[[#This Row],[Birim Fiyat]]*Tablo3[[#This Row],[Satış Adet]]</f>
        <v>2400</v>
      </c>
      <c r="F924" s="9">
        <v>800</v>
      </c>
      <c r="G924" t="s">
        <v>62</v>
      </c>
      <c r="H924" t="s">
        <v>42</v>
      </c>
    </row>
    <row r="925" spans="1:8" x14ac:dyDescent="0.25">
      <c r="A925" t="s">
        <v>38</v>
      </c>
      <c r="B925" t="s">
        <v>32</v>
      </c>
      <c r="C925">
        <v>1</v>
      </c>
      <c r="D925" s="9">
        <v>1090</v>
      </c>
      <c r="E925" s="9">
        <f>+Tablo3[[#This Row],[Birim Fiyat]]*Tablo3[[#This Row],[Satış Adet]]</f>
        <v>1090</v>
      </c>
      <c r="F925" s="9">
        <v>290</v>
      </c>
      <c r="G925" t="s">
        <v>62</v>
      </c>
      <c r="H925" t="s">
        <v>44</v>
      </c>
    </row>
    <row r="926" spans="1:8" x14ac:dyDescent="0.25">
      <c r="A926" t="s">
        <v>22</v>
      </c>
      <c r="B926" t="s">
        <v>25</v>
      </c>
      <c r="C926">
        <v>1</v>
      </c>
      <c r="D926" s="9">
        <v>7250</v>
      </c>
      <c r="E926" s="9">
        <f>+Tablo3[[#This Row],[Birim Fiyat]]*Tablo3[[#This Row],[Satış Adet]]</f>
        <v>7250</v>
      </c>
      <c r="F926" s="9">
        <v>2250</v>
      </c>
      <c r="G926" t="s">
        <v>62</v>
      </c>
      <c r="H926" t="s">
        <v>14</v>
      </c>
    </row>
    <row r="927" spans="1:8" x14ac:dyDescent="0.25">
      <c r="A927" t="s">
        <v>46</v>
      </c>
      <c r="B927" t="s">
        <v>13</v>
      </c>
      <c r="C927">
        <v>3</v>
      </c>
      <c r="D927" s="9">
        <v>1400</v>
      </c>
      <c r="E927" s="9">
        <f>+Tablo3[[#This Row],[Birim Fiyat]]*Tablo3[[#This Row],[Satış Adet]]</f>
        <v>4200</v>
      </c>
      <c r="F927" s="9">
        <v>1800</v>
      </c>
      <c r="G927" t="s">
        <v>62</v>
      </c>
      <c r="H927" t="s">
        <v>29</v>
      </c>
    </row>
    <row r="928" spans="1:8" x14ac:dyDescent="0.25">
      <c r="A928" t="s">
        <v>15</v>
      </c>
      <c r="B928" t="s">
        <v>55</v>
      </c>
      <c r="C928">
        <v>1</v>
      </c>
      <c r="D928" s="9">
        <v>1500</v>
      </c>
      <c r="E928" s="9">
        <f>+Tablo3[[#This Row],[Birim Fiyat]]*Tablo3[[#This Row],[Satış Adet]]</f>
        <v>1500</v>
      </c>
      <c r="F928" s="9">
        <v>700</v>
      </c>
      <c r="G928" t="s">
        <v>62</v>
      </c>
      <c r="H928" t="s">
        <v>35</v>
      </c>
    </row>
    <row r="929" spans="1:8" x14ac:dyDescent="0.25">
      <c r="A929" t="s">
        <v>33</v>
      </c>
      <c r="B929" t="s">
        <v>19</v>
      </c>
      <c r="C929">
        <v>1</v>
      </c>
      <c r="D929" s="9">
        <v>1350</v>
      </c>
      <c r="E929" s="9">
        <f>+Tablo3[[#This Row],[Birim Fiyat]]*Tablo3[[#This Row],[Satış Adet]]</f>
        <v>1350</v>
      </c>
      <c r="F929" s="9">
        <v>550</v>
      </c>
      <c r="G929" t="s">
        <v>62</v>
      </c>
      <c r="H929" t="s">
        <v>11</v>
      </c>
    </row>
    <row r="930" spans="1:8" x14ac:dyDescent="0.25">
      <c r="A930" t="s">
        <v>33</v>
      </c>
      <c r="B930" t="s">
        <v>28</v>
      </c>
      <c r="C930">
        <v>3</v>
      </c>
      <c r="D930" s="9">
        <v>1200</v>
      </c>
      <c r="E930" s="9">
        <f>+Tablo3[[#This Row],[Birim Fiyat]]*Tablo3[[#This Row],[Satış Adet]]</f>
        <v>3600</v>
      </c>
      <c r="F930" s="9">
        <v>1200</v>
      </c>
      <c r="G930" t="s">
        <v>62</v>
      </c>
      <c r="H930" t="s">
        <v>14</v>
      </c>
    </row>
    <row r="931" spans="1:8" x14ac:dyDescent="0.25">
      <c r="A931" t="s">
        <v>12</v>
      </c>
      <c r="B931" t="s">
        <v>53</v>
      </c>
      <c r="C931">
        <v>3</v>
      </c>
      <c r="D931" s="9">
        <v>7530</v>
      </c>
      <c r="E931" s="9">
        <f>+Tablo3[[#This Row],[Birim Fiyat]]*Tablo3[[#This Row],[Satış Adet]]</f>
        <v>22590</v>
      </c>
      <c r="F931" s="9">
        <v>4590</v>
      </c>
      <c r="G931" t="s">
        <v>62</v>
      </c>
      <c r="H931" t="s">
        <v>29</v>
      </c>
    </row>
    <row r="932" spans="1:8" x14ac:dyDescent="0.25">
      <c r="A932" t="s">
        <v>46</v>
      </c>
      <c r="B932" t="s">
        <v>28</v>
      </c>
      <c r="C932">
        <v>1</v>
      </c>
      <c r="D932" s="9">
        <v>1200</v>
      </c>
      <c r="E932" s="9">
        <f>+Tablo3[[#This Row],[Birim Fiyat]]*Tablo3[[#This Row],[Satış Adet]]</f>
        <v>1200</v>
      </c>
      <c r="F932" s="9">
        <v>400</v>
      </c>
      <c r="G932" t="s">
        <v>62</v>
      </c>
      <c r="H932" t="s">
        <v>52</v>
      </c>
    </row>
    <row r="933" spans="1:8" x14ac:dyDescent="0.25">
      <c r="A933" t="s">
        <v>36</v>
      </c>
      <c r="B933" t="s">
        <v>31</v>
      </c>
      <c r="C933">
        <v>3</v>
      </c>
      <c r="D933" s="9">
        <v>1800</v>
      </c>
      <c r="E933" s="9">
        <f>+Tablo3[[#This Row],[Birim Fiyat]]*Tablo3[[#This Row],[Satış Adet]]</f>
        <v>5400</v>
      </c>
      <c r="F933" s="9">
        <v>3000</v>
      </c>
      <c r="G933" t="s">
        <v>62</v>
      </c>
      <c r="H933" t="s">
        <v>52</v>
      </c>
    </row>
    <row r="934" spans="1:8" x14ac:dyDescent="0.25">
      <c r="A934" t="s">
        <v>8</v>
      </c>
      <c r="B934" t="s">
        <v>25</v>
      </c>
      <c r="C934">
        <v>1</v>
      </c>
      <c r="D934" s="9">
        <v>7250</v>
      </c>
      <c r="E934" s="9">
        <f>+Tablo3[[#This Row],[Birim Fiyat]]*Tablo3[[#This Row],[Satış Adet]]</f>
        <v>7250</v>
      </c>
      <c r="F934" s="9">
        <v>2250</v>
      </c>
      <c r="G934" t="s">
        <v>63</v>
      </c>
      <c r="H934" t="s">
        <v>39</v>
      </c>
    </row>
    <row r="935" spans="1:8" x14ac:dyDescent="0.25">
      <c r="A935" t="s">
        <v>38</v>
      </c>
      <c r="B935" t="s">
        <v>41</v>
      </c>
      <c r="C935">
        <v>3</v>
      </c>
      <c r="D935" s="9">
        <v>1490</v>
      </c>
      <c r="E935" s="9">
        <f>+Tablo3[[#This Row],[Birim Fiyat]]*Tablo3[[#This Row],[Satış Adet]]</f>
        <v>4470</v>
      </c>
      <c r="F935" s="9">
        <v>2070</v>
      </c>
      <c r="G935" t="s">
        <v>63</v>
      </c>
      <c r="H935" t="s">
        <v>40</v>
      </c>
    </row>
    <row r="936" spans="1:8" x14ac:dyDescent="0.25">
      <c r="A936" t="s">
        <v>38</v>
      </c>
      <c r="B936" t="s">
        <v>51</v>
      </c>
      <c r="C936">
        <v>1</v>
      </c>
      <c r="D936" s="9">
        <v>1200</v>
      </c>
      <c r="E936" s="9">
        <f>+Tablo3[[#This Row],[Birim Fiyat]]*Tablo3[[#This Row],[Satış Adet]]</f>
        <v>1200</v>
      </c>
      <c r="F936" s="9">
        <v>400</v>
      </c>
      <c r="G936" t="s">
        <v>63</v>
      </c>
      <c r="H936" t="s">
        <v>42</v>
      </c>
    </row>
    <row r="937" spans="1:8" x14ac:dyDescent="0.25">
      <c r="A937" t="s">
        <v>12</v>
      </c>
      <c r="B937" t="s">
        <v>34</v>
      </c>
      <c r="C937">
        <v>1</v>
      </c>
      <c r="D937" s="9">
        <v>8000</v>
      </c>
      <c r="E937" s="9">
        <f>+Tablo3[[#This Row],[Birim Fiyat]]*Tablo3[[#This Row],[Satış Adet]]</f>
        <v>8000</v>
      </c>
      <c r="F937" s="9">
        <v>2000</v>
      </c>
      <c r="G937" t="s">
        <v>63</v>
      </c>
      <c r="H937" t="s">
        <v>52</v>
      </c>
    </row>
    <row r="938" spans="1:8" x14ac:dyDescent="0.25">
      <c r="A938" t="s">
        <v>30</v>
      </c>
      <c r="B938" t="s">
        <v>13</v>
      </c>
      <c r="C938">
        <v>1</v>
      </c>
      <c r="D938" s="9">
        <v>1400</v>
      </c>
      <c r="E938" s="9">
        <f>+Tablo3[[#This Row],[Birim Fiyat]]*Tablo3[[#This Row],[Satış Adet]]</f>
        <v>1400</v>
      </c>
      <c r="F938" s="9">
        <v>600</v>
      </c>
      <c r="G938" t="s">
        <v>63</v>
      </c>
      <c r="H938" t="s">
        <v>29</v>
      </c>
    </row>
    <row r="939" spans="1:8" x14ac:dyDescent="0.25">
      <c r="A939" t="s">
        <v>67</v>
      </c>
      <c r="B939" t="s">
        <v>19</v>
      </c>
      <c r="C939">
        <v>1</v>
      </c>
      <c r="D939" s="9">
        <v>1350</v>
      </c>
      <c r="E939" s="9">
        <f>+Tablo3[[#This Row],[Birim Fiyat]]*Tablo3[[#This Row],[Satış Adet]]</f>
        <v>1350</v>
      </c>
      <c r="F939" s="9">
        <v>550</v>
      </c>
      <c r="G939" t="s">
        <v>63</v>
      </c>
      <c r="H939" t="s">
        <v>44</v>
      </c>
    </row>
    <row r="940" spans="1:8" x14ac:dyDescent="0.25">
      <c r="A940" t="s">
        <v>36</v>
      </c>
      <c r="B940" t="s">
        <v>51</v>
      </c>
      <c r="C940">
        <v>1</v>
      </c>
      <c r="D940" s="9">
        <v>1200</v>
      </c>
      <c r="E940" s="9">
        <f>+Tablo3[[#This Row],[Birim Fiyat]]*Tablo3[[#This Row],[Satış Adet]]</f>
        <v>1200</v>
      </c>
      <c r="F940" s="9">
        <v>400</v>
      </c>
      <c r="G940" t="s">
        <v>63</v>
      </c>
      <c r="H940" t="s">
        <v>29</v>
      </c>
    </row>
    <row r="941" spans="1:8" x14ac:dyDescent="0.25">
      <c r="A941" t="s">
        <v>30</v>
      </c>
      <c r="B941" t="s">
        <v>54</v>
      </c>
      <c r="C941">
        <v>1</v>
      </c>
      <c r="D941" s="9">
        <v>5300</v>
      </c>
      <c r="E941" s="9">
        <f>+Tablo3[[#This Row],[Birim Fiyat]]*Tablo3[[#This Row],[Satış Adet]]</f>
        <v>5300</v>
      </c>
      <c r="F941" s="9">
        <v>1300</v>
      </c>
      <c r="G941" t="s">
        <v>63</v>
      </c>
      <c r="H941" t="s">
        <v>39</v>
      </c>
    </row>
    <row r="942" spans="1:8" x14ac:dyDescent="0.25">
      <c r="A942" t="s">
        <v>38</v>
      </c>
      <c r="B942" t="s">
        <v>37</v>
      </c>
      <c r="C942">
        <v>3</v>
      </c>
      <c r="D942" s="9">
        <v>10590</v>
      </c>
      <c r="E942" s="9">
        <f>+Tablo3[[#This Row],[Birim Fiyat]]*Tablo3[[#This Row],[Satış Adet]]</f>
        <v>31770</v>
      </c>
      <c r="F942" s="9">
        <v>13770</v>
      </c>
      <c r="G942" t="s">
        <v>63</v>
      </c>
      <c r="H942" t="s">
        <v>44</v>
      </c>
    </row>
    <row r="943" spans="1:8" x14ac:dyDescent="0.25">
      <c r="A943" t="s">
        <v>22</v>
      </c>
      <c r="B943" t="s">
        <v>50</v>
      </c>
      <c r="C943">
        <v>1</v>
      </c>
      <c r="D943" s="9">
        <v>1250</v>
      </c>
      <c r="E943" s="9">
        <f>+Tablo3[[#This Row],[Birim Fiyat]]*Tablo3[[#This Row],[Satış Adet]]</f>
        <v>1250</v>
      </c>
      <c r="F943" s="9">
        <v>450</v>
      </c>
      <c r="G943" t="s">
        <v>63</v>
      </c>
      <c r="H943" t="s">
        <v>42</v>
      </c>
    </row>
    <row r="944" spans="1:8" x14ac:dyDescent="0.25">
      <c r="A944" t="s">
        <v>48</v>
      </c>
      <c r="B944" t="s">
        <v>51</v>
      </c>
      <c r="C944">
        <v>1</v>
      </c>
      <c r="D944" s="9">
        <v>1200</v>
      </c>
      <c r="E944" s="9">
        <f>+Tablo3[[#This Row],[Birim Fiyat]]*Tablo3[[#This Row],[Satış Adet]]</f>
        <v>1200</v>
      </c>
      <c r="F944" s="9">
        <v>400</v>
      </c>
      <c r="G944" t="s">
        <v>63</v>
      </c>
      <c r="H944" t="s">
        <v>11</v>
      </c>
    </row>
    <row r="945" spans="1:8" x14ac:dyDescent="0.25">
      <c r="A945" t="s">
        <v>22</v>
      </c>
      <c r="B945" t="s">
        <v>13</v>
      </c>
      <c r="C945">
        <v>3</v>
      </c>
      <c r="D945" s="9">
        <v>1400</v>
      </c>
      <c r="E945" s="9">
        <f>+Tablo3[[#This Row],[Birim Fiyat]]*Tablo3[[#This Row],[Satış Adet]]</f>
        <v>4200</v>
      </c>
      <c r="F945" s="9">
        <v>1800</v>
      </c>
      <c r="G945" t="s">
        <v>63</v>
      </c>
      <c r="H945" t="s">
        <v>24</v>
      </c>
    </row>
    <row r="946" spans="1:8" x14ac:dyDescent="0.25">
      <c r="A946" t="s">
        <v>48</v>
      </c>
      <c r="B946" t="s">
        <v>53</v>
      </c>
      <c r="C946">
        <v>2</v>
      </c>
      <c r="D946" s="9">
        <v>7530</v>
      </c>
      <c r="E946" s="9">
        <f>+Tablo3[[#This Row],[Birim Fiyat]]*Tablo3[[#This Row],[Satış Adet]]</f>
        <v>15060</v>
      </c>
      <c r="F946" s="9">
        <v>3060</v>
      </c>
      <c r="G946" t="s">
        <v>63</v>
      </c>
      <c r="H946" t="s">
        <v>44</v>
      </c>
    </row>
    <row r="947" spans="1:8" x14ac:dyDescent="0.25">
      <c r="A947" t="s">
        <v>30</v>
      </c>
      <c r="B947" t="s">
        <v>23</v>
      </c>
      <c r="C947">
        <v>1</v>
      </c>
      <c r="D947" s="9">
        <v>7600</v>
      </c>
      <c r="E947" s="9">
        <f>+Tablo3[[#This Row],[Birim Fiyat]]*Tablo3[[#This Row],[Satış Adet]]</f>
        <v>7600</v>
      </c>
      <c r="F947" s="9">
        <v>1600</v>
      </c>
      <c r="G947" t="s">
        <v>63</v>
      </c>
      <c r="H947" t="s">
        <v>14</v>
      </c>
    </row>
    <row r="948" spans="1:8" x14ac:dyDescent="0.25">
      <c r="A948" t="s">
        <v>48</v>
      </c>
      <c r="B948" t="s">
        <v>55</v>
      </c>
      <c r="C948">
        <v>1</v>
      </c>
      <c r="D948" s="9">
        <v>1500</v>
      </c>
      <c r="E948" s="9">
        <f>+Tablo3[[#This Row],[Birim Fiyat]]*Tablo3[[#This Row],[Satış Adet]]</f>
        <v>1500</v>
      </c>
      <c r="F948" s="9">
        <v>700</v>
      </c>
      <c r="G948" t="s">
        <v>63</v>
      </c>
      <c r="H948" t="s">
        <v>20</v>
      </c>
    </row>
    <row r="949" spans="1:8" x14ac:dyDescent="0.25">
      <c r="A949" t="s">
        <v>38</v>
      </c>
      <c r="B949" t="s">
        <v>49</v>
      </c>
      <c r="C949">
        <v>2</v>
      </c>
      <c r="D949" s="9">
        <v>2180</v>
      </c>
      <c r="E949" s="9">
        <f>+Tablo3[[#This Row],[Birim Fiyat]]*Tablo3[[#This Row],[Satış Adet]]</f>
        <v>4360</v>
      </c>
      <c r="F949" s="9">
        <v>1360</v>
      </c>
      <c r="G949" t="s">
        <v>63</v>
      </c>
      <c r="H949" t="s">
        <v>24</v>
      </c>
    </row>
    <row r="950" spans="1:8" x14ac:dyDescent="0.25">
      <c r="A950" t="s">
        <v>18</v>
      </c>
      <c r="B950" t="s">
        <v>21</v>
      </c>
      <c r="C950">
        <v>1</v>
      </c>
      <c r="D950" s="9">
        <v>2180</v>
      </c>
      <c r="E950" s="9">
        <f>+Tablo3[[#This Row],[Birim Fiyat]]*Tablo3[[#This Row],[Satış Adet]]</f>
        <v>2180</v>
      </c>
      <c r="F950" s="9">
        <v>680</v>
      </c>
      <c r="G950" t="s">
        <v>63</v>
      </c>
      <c r="H950" t="s">
        <v>44</v>
      </c>
    </row>
    <row r="951" spans="1:8" x14ac:dyDescent="0.25">
      <c r="A951" t="s">
        <v>38</v>
      </c>
      <c r="B951" t="s">
        <v>45</v>
      </c>
      <c r="C951">
        <v>1</v>
      </c>
      <c r="D951" s="9">
        <v>5775</v>
      </c>
      <c r="E951" s="9">
        <f>+Tablo3[[#This Row],[Birim Fiyat]]*Tablo3[[#This Row],[Satış Adet]]</f>
        <v>5775</v>
      </c>
      <c r="F951" s="9">
        <v>1775</v>
      </c>
      <c r="G951" t="s">
        <v>63</v>
      </c>
      <c r="H951" t="s">
        <v>14</v>
      </c>
    </row>
    <row r="952" spans="1:8" x14ac:dyDescent="0.25">
      <c r="A952" t="s">
        <v>38</v>
      </c>
      <c r="B952" t="s">
        <v>26</v>
      </c>
      <c r="C952">
        <v>3</v>
      </c>
      <c r="D952" s="9">
        <v>1100</v>
      </c>
      <c r="E952" s="9">
        <f>+Tablo3[[#This Row],[Birim Fiyat]]*Tablo3[[#This Row],[Satış Adet]]</f>
        <v>3300</v>
      </c>
      <c r="F952" s="9">
        <v>900</v>
      </c>
      <c r="G952" t="s">
        <v>63</v>
      </c>
      <c r="H952" t="s">
        <v>42</v>
      </c>
    </row>
    <row r="953" spans="1:8" x14ac:dyDescent="0.25">
      <c r="A953" t="s">
        <v>46</v>
      </c>
      <c r="B953" t="s">
        <v>45</v>
      </c>
      <c r="C953">
        <v>1</v>
      </c>
      <c r="D953" s="9">
        <v>5775</v>
      </c>
      <c r="E953" s="9">
        <f>+Tablo3[[#This Row],[Birim Fiyat]]*Tablo3[[#This Row],[Satış Adet]]</f>
        <v>5775</v>
      </c>
      <c r="F953" s="9">
        <v>1775</v>
      </c>
      <c r="G953" t="s">
        <v>63</v>
      </c>
      <c r="H953" t="s">
        <v>39</v>
      </c>
    </row>
    <row r="954" spans="1:8" x14ac:dyDescent="0.25">
      <c r="A954" t="s">
        <v>33</v>
      </c>
      <c r="B954" t="s">
        <v>19</v>
      </c>
      <c r="C954">
        <v>1</v>
      </c>
      <c r="D954" s="9">
        <v>1350</v>
      </c>
      <c r="E954" s="9">
        <f>+Tablo3[[#This Row],[Birim Fiyat]]*Tablo3[[#This Row],[Satış Adet]]</f>
        <v>1350</v>
      </c>
      <c r="F954" s="9">
        <v>550</v>
      </c>
      <c r="G954" t="s">
        <v>63</v>
      </c>
      <c r="H954" t="s">
        <v>29</v>
      </c>
    </row>
    <row r="955" spans="1:8" x14ac:dyDescent="0.25">
      <c r="A955" t="s">
        <v>8</v>
      </c>
      <c r="B955" t="s">
        <v>23</v>
      </c>
      <c r="C955">
        <v>3</v>
      </c>
      <c r="D955" s="9">
        <v>7600</v>
      </c>
      <c r="E955" s="9">
        <f>+Tablo3[[#This Row],[Birim Fiyat]]*Tablo3[[#This Row],[Satış Adet]]</f>
        <v>22800</v>
      </c>
      <c r="F955" s="9">
        <v>4800</v>
      </c>
      <c r="G955" t="s">
        <v>63</v>
      </c>
      <c r="H955" t="s">
        <v>52</v>
      </c>
    </row>
    <row r="956" spans="1:8" x14ac:dyDescent="0.25">
      <c r="A956" t="s">
        <v>15</v>
      </c>
      <c r="B956" t="s">
        <v>25</v>
      </c>
      <c r="C956">
        <v>3</v>
      </c>
      <c r="D956" s="9">
        <v>7250</v>
      </c>
      <c r="E956" s="9">
        <f>+Tablo3[[#This Row],[Birim Fiyat]]*Tablo3[[#This Row],[Satış Adet]]</f>
        <v>21750</v>
      </c>
      <c r="F956" s="9">
        <v>6750</v>
      </c>
      <c r="G956" t="s">
        <v>63</v>
      </c>
      <c r="H956" t="s">
        <v>40</v>
      </c>
    </row>
    <row r="957" spans="1:8" x14ac:dyDescent="0.25">
      <c r="A957" t="s">
        <v>48</v>
      </c>
      <c r="B957" t="s">
        <v>41</v>
      </c>
      <c r="C957">
        <v>2</v>
      </c>
      <c r="D957" s="9">
        <v>1490</v>
      </c>
      <c r="E957" s="9">
        <f>+Tablo3[[#This Row],[Birim Fiyat]]*Tablo3[[#This Row],[Satış Adet]]</f>
        <v>2980</v>
      </c>
      <c r="F957" s="9">
        <v>1380</v>
      </c>
      <c r="G957" t="s">
        <v>63</v>
      </c>
      <c r="H957" t="s">
        <v>17</v>
      </c>
    </row>
    <row r="958" spans="1:8" x14ac:dyDescent="0.25">
      <c r="A958" t="s">
        <v>18</v>
      </c>
      <c r="B958" t="s">
        <v>41</v>
      </c>
      <c r="C958">
        <v>2</v>
      </c>
      <c r="D958" s="9">
        <v>1490</v>
      </c>
      <c r="E958" s="9">
        <f>+Tablo3[[#This Row],[Birim Fiyat]]*Tablo3[[#This Row],[Satış Adet]]</f>
        <v>2980</v>
      </c>
      <c r="F958" s="9">
        <v>1380</v>
      </c>
      <c r="G958" t="s">
        <v>63</v>
      </c>
      <c r="H958" t="s">
        <v>11</v>
      </c>
    </row>
    <row r="959" spans="1:8" x14ac:dyDescent="0.25">
      <c r="A959" t="s">
        <v>36</v>
      </c>
      <c r="B959" t="s">
        <v>32</v>
      </c>
      <c r="C959">
        <v>2</v>
      </c>
      <c r="D959" s="9">
        <v>1090</v>
      </c>
      <c r="E959" s="9">
        <f>+Tablo3[[#This Row],[Birim Fiyat]]*Tablo3[[#This Row],[Satış Adet]]</f>
        <v>2180</v>
      </c>
      <c r="F959" s="9">
        <v>580</v>
      </c>
      <c r="G959" t="s">
        <v>63</v>
      </c>
      <c r="H959" t="s">
        <v>40</v>
      </c>
    </row>
    <row r="960" spans="1:8" x14ac:dyDescent="0.25">
      <c r="A960" t="s">
        <v>36</v>
      </c>
      <c r="B960" t="s">
        <v>28</v>
      </c>
      <c r="C960">
        <v>3</v>
      </c>
      <c r="D960" s="9">
        <v>1200</v>
      </c>
      <c r="E960" s="9">
        <f>+Tablo3[[#This Row],[Birim Fiyat]]*Tablo3[[#This Row],[Satış Adet]]</f>
        <v>3600</v>
      </c>
      <c r="F960" s="9">
        <v>1200</v>
      </c>
      <c r="G960" t="s">
        <v>63</v>
      </c>
      <c r="H960" t="s">
        <v>44</v>
      </c>
    </row>
    <row r="961" spans="1:8" x14ac:dyDescent="0.25">
      <c r="A961" t="s">
        <v>48</v>
      </c>
      <c r="B961" t="s">
        <v>32</v>
      </c>
      <c r="C961">
        <v>2</v>
      </c>
      <c r="D961" s="9">
        <v>1090</v>
      </c>
      <c r="E961" s="9">
        <f>+Tablo3[[#This Row],[Birim Fiyat]]*Tablo3[[#This Row],[Satış Adet]]</f>
        <v>2180</v>
      </c>
      <c r="F961" s="9">
        <v>580</v>
      </c>
      <c r="G961" t="s">
        <v>63</v>
      </c>
      <c r="H961" t="s">
        <v>35</v>
      </c>
    </row>
    <row r="962" spans="1:8" x14ac:dyDescent="0.25">
      <c r="A962" t="s">
        <v>48</v>
      </c>
      <c r="B962" t="s">
        <v>21</v>
      </c>
      <c r="C962">
        <v>3</v>
      </c>
      <c r="D962" s="9">
        <v>2180</v>
      </c>
      <c r="E962" s="9">
        <f>+Tablo3[[#This Row],[Birim Fiyat]]*Tablo3[[#This Row],[Satış Adet]]</f>
        <v>6540</v>
      </c>
      <c r="F962" s="9">
        <v>2040</v>
      </c>
      <c r="G962" t="s">
        <v>63</v>
      </c>
      <c r="H962" t="s">
        <v>11</v>
      </c>
    </row>
    <row r="963" spans="1:8" x14ac:dyDescent="0.25">
      <c r="A963" t="s">
        <v>15</v>
      </c>
      <c r="B963" t="s">
        <v>54</v>
      </c>
      <c r="C963">
        <v>3</v>
      </c>
      <c r="D963" s="9">
        <v>5300</v>
      </c>
      <c r="E963" s="9">
        <f>+Tablo3[[#This Row],[Birim Fiyat]]*Tablo3[[#This Row],[Satış Adet]]</f>
        <v>15900</v>
      </c>
      <c r="F963" s="9">
        <v>3900</v>
      </c>
      <c r="G963" t="s">
        <v>63</v>
      </c>
      <c r="H963" t="s">
        <v>40</v>
      </c>
    </row>
    <row r="964" spans="1:8" x14ac:dyDescent="0.25">
      <c r="A964" t="s">
        <v>48</v>
      </c>
      <c r="B964" t="s">
        <v>54</v>
      </c>
      <c r="C964">
        <v>2</v>
      </c>
      <c r="D964" s="9">
        <v>5300</v>
      </c>
      <c r="E964" s="9">
        <f>+Tablo3[[#This Row],[Birim Fiyat]]*Tablo3[[#This Row],[Satış Adet]]</f>
        <v>10600</v>
      </c>
      <c r="F964" s="9">
        <v>2600</v>
      </c>
      <c r="G964" t="s">
        <v>63</v>
      </c>
      <c r="H964" t="s">
        <v>42</v>
      </c>
    </row>
    <row r="965" spans="1:8" x14ac:dyDescent="0.25">
      <c r="A965" t="s">
        <v>67</v>
      </c>
      <c r="B965" t="s">
        <v>25</v>
      </c>
      <c r="C965">
        <v>2</v>
      </c>
      <c r="D965" s="9">
        <v>7250</v>
      </c>
      <c r="E965" s="9">
        <f>+Tablo3[[#This Row],[Birim Fiyat]]*Tablo3[[#This Row],[Satış Adet]]</f>
        <v>14500</v>
      </c>
      <c r="F965" s="9">
        <v>4500</v>
      </c>
      <c r="G965" t="s">
        <v>63</v>
      </c>
      <c r="H965" t="s">
        <v>11</v>
      </c>
    </row>
    <row r="966" spans="1:8" x14ac:dyDescent="0.25">
      <c r="A966" t="s">
        <v>67</v>
      </c>
      <c r="B966" t="s">
        <v>51</v>
      </c>
      <c r="C966">
        <v>3</v>
      </c>
      <c r="D966" s="9">
        <v>1200</v>
      </c>
      <c r="E966" s="9">
        <f>+Tablo3[[#This Row],[Birim Fiyat]]*Tablo3[[#This Row],[Satış Adet]]</f>
        <v>3600</v>
      </c>
      <c r="F966" s="9">
        <v>1200</v>
      </c>
      <c r="G966" t="s">
        <v>63</v>
      </c>
      <c r="H966" t="s">
        <v>11</v>
      </c>
    </row>
    <row r="967" spans="1:8" x14ac:dyDescent="0.25">
      <c r="A967" t="s">
        <v>18</v>
      </c>
      <c r="B967" t="s">
        <v>9</v>
      </c>
      <c r="C967">
        <v>1</v>
      </c>
      <c r="D967" s="9">
        <v>6000</v>
      </c>
      <c r="E967" s="9">
        <f>+Tablo3[[#This Row],[Birim Fiyat]]*Tablo3[[#This Row],[Satış Adet]]</f>
        <v>6000</v>
      </c>
      <c r="F967" s="9">
        <v>2000</v>
      </c>
      <c r="G967" t="s">
        <v>63</v>
      </c>
      <c r="H967" t="s">
        <v>39</v>
      </c>
    </row>
    <row r="968" spans="1:8" x14ac:dyDescent="0.25">
      <c r="A968" t="s">
        <v>15</v>
      </c>
      <c r="B968" t="s">
        <v>16</v>
      </c>
      <c r="C968">
        <v>3</v>
      </c>
      <c r="D968" s="9">
        <v>8450</v>
      </c>
      <c r="E968" s="9">
        <f>+Tablo3[[#This Row],[Birim Fiyat]]*Tablo3[[#This Row],[Satış Adet]]</f>
        <v>25350</v>
      </c>
      <c r="F968" s="9">
        <v>7350</v>
      </c>
      <c r="G968" t="s">
        <v>63</v>
      </c>
      <c r="H968" t="s">
        <v>24</v>
      </c>
    </row>
    <row r="969" spans="1:8" x14ac:dyDescent="0.25">
      <c r="A969" t="s">
        <v>30</v>
      </c>
      <c r="B969" t="s">
        <v>43</v>
      </c>
      <c r="C969">
        <v>1</v>
      </c>
      <c r="D969" s="9">
        <v>4200</v>
      </c>
      <c r="E969" s="9">
        <f>+Tablo3[[#This Row],[Birim Fiyat]]*Tablo3[[#This Row],[Satış Adet]]</f>
        <v>4200</v>
      </c>
      <c r="F969" s="9">
        <v>1200</v>
      </c>
      <c r="G969" t="s">
        <v>63</v>
      </c>
      <c r="H969" t="s">
        <v>17</v>
      </c>
    </row>
    <row r="970" spans="1:8" x14ac:dyDescent="0.25">
      <c r="A970" t="s">
        <v>30</v>
      </c>
      <c r="B970" t="s">
        <v>37</v>
      </c>
      <c r="C970">
        <v>3</v>
      </c>
      <c r="D970" s="9">
        <v>10590</v>
      </c>
      <c r="E970" s="9">
        <f>+Tablo3[[#This Row],[Birim Fiyat]]*Tablo3[[#This Row],[Satış Adet]]</f>
        <v>31770</v>
      </c>
      <c r="F970" s="9">
        <v>13770</v>
      </c>
      <c r="G970" t="s">
        <v>63</v>
      </c>
      <c r="H970" t="s">
        <v>11</v>
      </c>
    </row>
    <row r="971" spans="1:8" x14ac:dyDescent="0.25">
      <c r="A971" t="s">
        <v>67</v>
      </c>
      <c r="B971" t="s">
        <v>51</v>
      </c>
      <c r="C971">
        <v>1</v>
      </c>
      <c r="D971" s="9">
        <v>1200</v>
      </c>
      <c r="E971" s="9">
        <f>+Tablo3[[#This Row],[Birim Fiyat]]*Tablo3[[#This Row],[Satış Adet]]</f>
        <v>1200</v>
      </c>
      <c r="F971" s="9">
        <v>400</v>
      </c>
      <c r="G971" t="s">
        <v>63</v>
      </c>
      <c r="H971" t="s">
        <v>24</v>
      </c>
    </row>
    <row r="972" spans="1:8" x14ac:dyDescent="0.25">
      <c r="A972" t="s">
        <v>46</v>
      </c>
      <c r="B972" t="s">
        <v>26</v>
      </c>
      <c r="C972">
        <v>2</v>
      </c>
      <c r="D972" s="9">
        <v>1100</v>
      </c>
      <c r="E972" s="9">
        <f>+Tablo3[[#This Row],[Birim Fiyat]]*Tablo3[[#This Row],[Satış Adet]]</f>
        <v>2200</v>
      </c>
      <c r="F972" s="9">
        <v>600</v>
      </c>
      <c r="G972" t="s">
        <v>63</v>
      </c>
      <c r="H972" t="s">
        <v>29</v>
      </c>
    </row>
    <row r="973" spans="1:8" x14ac:dyDescent="0.25">
      <c r="A973" t="s">
        <v>38</v>
      </c>
      <c r="B973" t="s">
        <v>56</v>
      </c>
      <c r="C973">
        <v>2</v>
      </c>
      <c r="D973" s="9">
        <v>3700</v>
      </c>
      <c r="E973" s="9">
        <f>+Tablo3[[#This Row],[Birim Fiyat]]*Tablo3[[#This Row],[Satış Adet]]</f>
        <v>7400</v>
      </c>
      <c r="F973" s="9">
        <v>1400</v>
      </c>
      <c r="G973" t="s">
        <v>63</v>
      </c>
      <c r="H973" t="s">
        <v>14</v>
      </c>
    </row>
    <row r="974" spans="1:8" x14ac:dyDescent="0.25">
      <c r="A974" t="s">
        <v>12</v>
      </c>
      <c r="B974" t="s">
        <v>56</v>
      </c>
      <c r="C974">
        <v>1</v>
      </c>
      <c r="D974" s="9">
        <v>3700</v>
      </c>
      <c r="E974" s="9">
        <f>+Tablo3[[#This Row],[Birim Fiyat]]*Tablo3[[#This Row],[Satış Adet]]</f>
        <v>3700</v>
      </c>
      <c r="F974" s="9">
        <v>700</v>
      </c>
      <c r="G974" t="s">
        <v>63</v>
      </c>
      <c r="H974" t="s">
        <v>20</v>
      </c>
    </row>
    <row r="975" spans="1:8" x14ac:dyDescent="0.25">
      <c r="A975" t="s">
        <v>30</v>
      </c>
      <c r="B975" t="s">
        <v>26</v>
      </c>
      <c r="C975">
        <v>3</v>
      </c>
      <c r="D975" s="9">
        <v>1100</v>
      </c>
      <c r="E975" s="9">
        <f>+Tablo3[[#This Row],[Birim Fiyat]]*Tablo3[[#This Row],[Satış Adet]]</f>
        <v>3300</v>
      </c>
      <c r="F975" s="9">
        <v>900</v>
      </c>
      <c r="G975" t="s">
        <v>63</v>
      </c>
      <c r="H975" t="s">
        <v>42</v>
      </c>
    </row>
    <row r="976" spans="1:8" x14ac:dyDescent="0.25">
      <c r="A976" t="s">
        <v>67</v>
      </c>
      <c r="B976" t="s">
        <v>56</v>
      </c>
      <c r="C976">
        <v>1</v>
      </c>
      <c r="D976" s="9">
        <v>3700</v>
      </c>
      <c r="E976" s="9">
        <f>+Tablo3[[#This Row],[Birim Fiyat]]*Tablo3[[#This Row],[Satış Adet]]</f>
        <v>3700</v>
      </c>
      <c r="F976" s="9">
        <v>700</v>
      </c>
      <c r="G976" t="s">
        <v>63</v>
      </c>
      <c r="H976" t="s">
        <v>40</v>
      </c>
    </row>
    <row r="977" spans="1:8" x14ac:dyDescent="0.25">
      <c r="A977" t="s">
        <v>46</v>
      </c>
      <c r="B977" t="s">
        <v>41</v>
      </c>
      <c r="C977">
        <v>1</v>
      </c>
      <c r="D977" s="9">
        <v>1490</v>
      </c>
      <c r="E977" s="9">
        <f>+Tablo3[[#This Row],[Birim Fiyat]]*Tablo3[[#This Row],[Satış Adet]]</f>
        <v>1490</v>
      </c>
      <c r="F977" s="9">
        <v>690</v>
      </c>
      <c r="G977" t="s">
        <v>63</v>
      </c>
      <c r="H977" t="s">
        <v>20</v>
      </c>
    </row>
    <row r="978" spans="1:8" x14ac:dyDescent="0.25">
      <c r="A978" t="s">
        <v>38</v>
      </c>
      <c r="B978" t="s">
        <v>55</v>
      </c>
      <c r="C978">
        <v>1</v>
      </c>
      <c r="D978" s="9">
        <v>1500</v>
      </c>
      <c r="E978" s="9">
        <f>+Tablo3[[#This Row],[Birim Fiyat]]*Tablo3[[#This Row],[Satış Adet]]</f>
        <v>1500</v>
      </c>
      <c r="F978" s="9">
        <v>700</v>
      </c>
      <c r="G978" t="s">
        <v>63</v>
      </c>
      <c r="H978" t="s">
        <v>52</v>
      </c>
    </row>
    <row r="979" spans="1:8" x14ac:dyDescent="0.25">
      <c r="A979" t="s">
        <v>36</v>
      </c>
      <c r="B979" t="s">
        <v>32</v>
      </c>
      <c r="C979">
        <v>2</v>
      </c>
      <c r="D979" s="9">
        <v>1090</v>
      </c>
      <c r="E979" s="9">
        <f>+Tablo3[[#This Row],[Birim Fiyat]]*Tablo3[[#This Row],[Satış Adet]]</f>
        <v>2180</v>
      </c>
      <c r="F979" s="9">
        <v>580</v>
      </c>
      <c r="G979" t="s">
        <v>63</v>
      </c>
      <c r="H979" t="s">
        <v>40</v>
      </c>
    </row>
    <row r="980" spans="1:8" x14ac:dyDescent="0.25">
      <c r="A980" t="s">
        <v>46</v>
      </c>
      <c r="B980" t="s">
        <v>31</v>
      </c>
      <c r="C980">
        <v>3</v>
      </c>
      <c r="D980" s="9">
        <v>1800</v>
      </c>
      <c r="E980" s="9">
        <f>+Tablo3[[#This Row],[Birim Fiyat]]*Tablo3[[#This Row],[Satış Adet]]</f>
        <v>5400</v>
      </c>
      <c r="F980" s="9">
        <v>3000</v>
      </c>
      <c r="G980" t="s">
        <v>63</v>
      </c>
      <c r="H980" t="s">
        <v>27</v>
      </c>
    </row>
    <row r="981" spans="1:8" x14ac:dyDescent="0.25">
      <c r="A981" t="s">
        <v>33</v>
      </c>
      <c r="B981" t="s">
        <v>53</v>
      </c>
      <c r="C981">
        <v>2</v>
      </c>
      <c r="D981" s="9">
        <v>7530</v>
      </c>
      <c r="E981" s="9">
        <f>+Tablo3[[#This Row],[Birim Fiyat]]*Tablo3[[#This Row],[Satış Adet]]</f>
        <v>15060</v>
      </c>
      <c r="F981" s="9">
        <v>3060</v>
      </c>
      <c r="G981" t="s">
        <v>63</v>
      </c>
      <c r="H981" t="s">
        <v>20</v>
      </c>
    </row>
    <row r="982" spans="1:8" x14ac:dyDescent="0.25">
      <c r="A982" t="s">
        <v>30</v>
      </c>
      <c r="B982" t="s">
        <v>26</v>
      </c>
      <c r="C982">
        <v>3</v>
      </c>
      <c r="D982" s="9">
        <v>1100</v>
      </c>
      <c r="E982" s="9">
        <f>+Tablo3[[#This Row],[Birim Fiyat]]*Tablo3[[#This Row],[Satış Adet]]</f>
        <v>3300</v>
      </c>
      <c r="F982" s="9">
        <v>900</v>
      </c>
      <c r="G982" t="s">
        <v>63</v>
      </c>
      <c r="H982" t="s">
        <v>24</v>
      </c>
    </row>
    <row r="983" spans="1:8" x14ac:dyDescent="0.25">
      <c r="A983" t="s">
        <v>38</v>
      </c>
      <c r="B983" t="s">
        <v>19</v>
      </c>
      <c r="C983">
        <v>3</v>
      </c>
      <c r="D983" s="9">
        <v>1350</v>
      </c>
      <c r="E983" s="9">
        <f>+Tablo3[[#This Row],[Birim Fiyat]]*Tablo3[[#This Row],[Satış Adet]]</f>
        <v>4050</v>
      </c>
      <c r="F983" s="9">
        <v>1650</v>
      </c>
      <c r="G983" t="s">
        <v>63</v>
      </c>
      <c r="H983" t="s">
        <v>29</v>
      </c>
    </row>
    <row r="984" spans="1:8" x14ac:dyDescent="0.25">
      <c r="A984" t="s">
        <v>36</v>
      </c>
      <c r="B984" t="s">
        <v>19</v>
      </c>
      <c r="C984">
        <v>1</v>
      </c>
      <c r="D984" s="9">
        <v>1350</v>
      </c>
      <c r="E984" s="9">
        <f>+Tablo3[[#This Row],[Birim Fiyat]]*Tablo3[[#This Row],[Satış Adet]]</f>
        <v>1350</v>
      </c>
      <c r="F984" s="9">
        <v>550</v>
      </c>
      <c r="G984" t="s">
        <v>63</v>
      </c>
      <c r="H984" t="s">
        <v>35</v>
      </c>
    </row>
    <row r="985" spans="1:8" x14ac:dyDescent="0.25">
      <c r="A985" t="s">
        <v>33</v>
      </c>
      <c r="B985" t="s">
        <v>32</v>
      </c>
      <c r="C985">
        <v>2</v>
      </c>
      <c r="D985" s="9">
        <v>1090</v>
      </c>
      <c r="E985" s="9">
        <f>+Tablo3[[#This Row],[Birim Fiyat]]*Tablo3[[#This Row],[Satış Adet]]</f>
        <v>2180</v>
      </c>
      <c r="F985" s="9">
        <v>580</v>
      </c>
      <c r="G985" t="s">
        <v>63</v>
      </c>
      <c r="H985" t="s">
        <v>39</v>
      </c>
    </row>
    <row r="986" spans="1:8" x14ac:dyDescent="0.25">
      <c r="A986" t="s">
        <v>33</v>
      </c>
      <c r="B986" t="s">
        <v>43</v>
      </c>
      <c r="C986">
        <v>1</v>
      </c>
      <c r="D986" s="9">
        <v>4200</v>
      </c>
      <c r="E986" s="9">
        <f>+Tablo3[[#This Row],[Birim Fiyat]]*Tablo3[[#This Row],[Satış Adet]]</f>
        <v>4200</v>
      </c>
      <c r="F986" s="9">
        <v>1200</v>
      </c>
      <c r="G986" t="s">
        <v>63</v>
      </c>
      <c r="H986" t="s">
        <v>14</v>
      </c>
    </row>
    <row r="987" spans="1:8" x14ac:dyDescent="0.25">
      <c r="A987" t="s">
        <v>38</v>
      </c>
      <c r="B987" t="s">
        <v>31</v>
      </c>
      <c r="C987">
        <v>2</v>
      </c>
      <c r="D987" s="9">
        <v>1800</v>
      </c>
      <c r="E987" s="9">
        <f>+Tablo3[[#This Row],[Birim Fiyat]]*Tablo3[[#This Row],[Satış Adet]]</f>
        <v>3600</v>
      </c>
      <c r="F987" s="9">
        <v>2000</v>
      </c>
      <c r="G987" t="s">
        <v>63</v>
      </c>
      <c r="H987" t="s">
        <v>44</v>
      </c>
    </row>
    <row r="988" spans="1:8" x14ac:dyDescent="0.25">
      <c r="A988" t="s">
        <v>48</v>
      </c>
      <c r="B988" t="s">
        <v>32</v>
      </c>
      <c r="C988">
        <v>1</v>
      </c>
      <c r="D988" s="9">
        <v>1090</v>
      </c>
      <c r="E988" s="9">
        <f>+Tablo3[[#This Row],[Birim Fiyat]]*Tablo3[[#This Row],[Satış Adet]]</f>
        <v>1090</v>
      </c>
      <c r="F988" s="9">
        <v>290</v>
      </c>
      <c r="G988" t="s">
        <v>63</v>
      </c>
      <c r="H988" t="s">
        <v>52</v>
      </c>
    </row>
    <row r="989" spans="1:8" x14ac:dyDescent="0.25">
      <c r="A989" t="s">
        <v>8</v>
      </c>
      <c r="B989" t="s">
        <v>23</v>
      </c>
      <c r="C989">
        <v>1</v>
      </c>
      <c r="D989" s="9">
        <v>7600</v>
      </c>
      <c r="E989" s="9">
        <f>+Tablo3[[#This Row],[Birim Fiyat]]*Tablo3[[#This Row],[Satış Adet]]</f>
        <v>7600</v>
      </c>
      <c r="F989" s="9">
        <v>1600</v>
      </c>
      <c r="G989" t="s">
        <v>63</v>
      </c>
      <c r="H989" t="s">
        <v>39</v>
      </c>
    </row>
    <row r="990" spans="1:8" x14ac:dyDescent="0.25">
      <c r="A990" t="s">
        <v>36</v>
      </c>
      <c r="B990" t="s">
        <v>23</v>
      </c>
      <c r="C990">
        <v>3</v>
      </c>
      <c r="D990" s="9">
        <v>7600</v>
      </c>
      <c r="E990" s="9">
        <f>+Tablo3[[#This Row],[Birim Fiyat]]*Tablo3[[#This Row],[Satış Adet]]</f>
        <v>22800</v>
      </c>
      <c r="F990" s="9">
        <v>4800</v>
      </c>
      <c r="G990" t="s">
        <v>63</v>
      </c>
      <c r="H990" t="s">
        <v>29</v>
      </c>
    </row>
    <row r="991" spans="1:8" x14ac:dyDescent="0.25">
      <c r="A991" t="s">
        <v>15</v>
      </c>
      <c r="B991" t="s">
        <v>56</v>
      </c>
      <c r="C991">
        <v>1</v>
      </c>
      <c r="D991" s="9">
        <v>3700</v>
      </c>
      <c r="E991" s="9">
        <f>+Tablo3[[#This Row],[Birim Fiyat]]*Tablo3[[#This Row],[Satış Adet]]</f>
        <v>3700</v>
      </c>
      <c r="F991" s="9">
        <v>700</v>
      </c>
      <c r="G991" t="s">
        <v>63</v>
      </c>
      <c r="H991" t="s">
        <v>39</v>
      </c>
    </row>
    <row r="992" spans="1:8" x14ac:dyDescent="0.25">
      <c r="A992" t="s">
        <v>22</v>
      </c>
      <c r="B992" t="s">
        <v>25</v>
      </c>
      <c r="C992">
        <v>3</v>
      </c>
      <c r="D992" s="9">
        <v>7250</v>
      </c>
      <c r="E992" s="9">
        <f>+Tablo3[[#This Row],[Birim Fiyat]]*Tablo3[[#This Row],[Satış Adet]]</f>
        <v>21750</v>
      </c>
      <c r="F992" s="9">
        <v>6750</v>
      </c>
      <c r="G992" t="s">
        <v>63</v>
      </c>
      <c r="H992" t="s">
        <v>20</v>
      </c>
    </row>
    <row r="993" spans="1:8" x14ac:dyDescent="0.25">
      <c r="A993" t="s">
        <v>12</v>
      </c>
      <c r="B993" t="s">
        <v>23</v>
      </c>
      <c r="C993">
        <v>3</v>
      </c>
      <c r="D993" s="9">
        <v>7600</v>
      </c>
      <c r="E993" s="9">
        <f>+Tablo3[[#This Row],[Birim Fiyat]]*Tablo3[[#This Row],[Satış Adet]]</f>
        <v>22800</v>
      </c>
      <c r="F993" s="9">
        <v>4800</v>
      </c>
      <c r="G993" t="s">
        <v>63</v>
      </c>
      <c r="H993" t="s">
        <v>29</v>
      </c>
    </row>
    <row r="994" spans="1:8" x14ac:dyDescent="0.25">
      <c r="A994" t="s">
        <v>46</v>
      </c>
      <c r="B994" t="s">
        <v>43</v>
      </c>
      <c r="C994">
        <v>1</v>
      </c>
      <c r="D994" s="9">
        <v>4200</v>
      </c>
      <c r="E994" s="9">
        <f>+Tablo3[[#This Row],[Birim Fiyat]]*Tablo3[[#This Row],[Satış Adet]]</f>
        <v>4200</v>
      </c>
      <c r="F994" s="9">
        <v>1200</v>
      </c>
      <c r="G994" t="s">
        <v>63</v>
      </c>
      <c r="H994" t="s">
        <v>27</v>
      </c>
    </row>
    <row r="995" spans="1:8" x14ac:dyDescent="0.25">
      <c r="A995" t="s">
        <v>30</v>
      </c>
      <c r="B995" t="s">
        <v>50</v>
      </c>
      <c r="C995">
        <v>3</v>
      </c>
      <c r="D995" s="9">
        <v>1250</v>
      </c>
      <c r="E995" s="9">
        <f>+Tablo3[[#This Row],[Birim Fiyat]]*Tablo3[[#This Row],[Satış Adet]]</f>
        <v>3750</v>
      </c>
      <c r="F995" s="9">
        <v>1350</v>
      </c>
      <c r="G995" t="s">
        <v>63</v>
      </c>
      <c r="H995" t="s">
        <v>11</v>
      </c>
    </row>
    <row r="996" spans="1:8" x14ac:dyDescent="0.25">
      <c r="A996" t="s">
        <v>36</v>
      </c>
      <c r="B996" t="s">
        <v>32</v>
      </c>
      <c r="C996">
        <v>1</v>
      </c>
      <c r="D996" s="9">
        <v>1090</v>
      </c>
      <c r="E996" s="9">
        <f>+Tablo3[[#This Row],[Birim Fiyat]]*Tablo3[[#This Row],[Satış Adet]]</f>
        <v>1090</v>
      </c>
      <c r="F996" s="9">
        <v>290</v>
      </c>
      <c r="G996" t="s">
        <v>63</v>
      </c>
      <c r="H996" t="s">
        <v>27</v>
      </c>
    </row>
    <row r="997" spans="1:8" x14ac:dyDescent="0.25">
      <c r="A997" t="s">
        <v>18</v>
      </c>
      <c r="B997" t="s">
        <v>21</v>
      </c>
      <c r="C997">
        <v>1</v>
      </c>
      <c r="D997" s="9">
        <v>2180</v>
      </c>
      <c r="E997" s="9">
        <f>+Tablo3[[#This Row],[Birim Fiyat]]*Tablo3[[#This Row],[Satış Adet]]</f>
        <v>2180</v>
      </c>
      <c r="F997" s="9">
        <v>680</v>
      </c>
      <c r="G997" t="s">
        <v>63</v>
      </c>
      <c r="H997" t="s">
        <v>44</v>
      </c>
    </row>
    <row r="998" spans="1:8" x14ac:dyDescent="0.25">
      <c r="A998" t="s">
        <v>48</v>
      </c>
      <c r="B998" t="s">
        <v>56</v>
      </c>
      <c r="C998">
        <v>2</v>
      </c>
      <c r="D998" s="9">
        <v>3700</v>
      </c>
      <c r="E998" s="9">
        <f>+Tablo3[[#This Row],[Birim Fiyat]]*Tablo3[[#This Row],[Satış Adet]]</f>
        <v>7400</v>
      </c>
      <c r="F998" s="9">
        <v>1400</v>
      </c>
      <c r="G998" t="s">
        <v>63</v>
      </c>
      <c r="H998" t="s">
        <v>52</v>
      </c>
    </row>
    <row r="999" spans="1:8" x14ac:dyDescent="0.25">
      <c r="A999" t="s">
        <v>38</v>
      </c>
      <c r="B999" t="s">
        <v>9</v>
      </c>
      <c r="C999">
        <v>2</v>
      </c>
      <c r="D999" s="9">
        <v>6000</v>
      </c>
      <c r="E999" s="9">
        <f>+Tablo3[[#This Row],[Birim Fiyat]]*Tablo3[[#This Row],[Satış Adet]]</f>
        <v>12000</v>
      </c>
      <c r="F999" s="9">
        <v>4000</v>
      </c>
      <c r="G999" t="s">
        <v>63</v>
      </c>
      <c r="H999" t="s">
        <v>42</v>
      </c>
    </row>
    <row r="1000" spans="1:8" x14ac:dyDescent="0.25">
      <c r="A1000" t="s">
        <v>46</v>
      </c>
      <c r="B1000" t="s">
        <v>50</v>
      </c>
      <c r="C1000">
        <v>2</v>
      </c>
      <c r="D1000" s="9">
        <v>1250</v>
      </c>
      <c r="E1000" s="9">
        <f>+Tablo3[[#This Row],[Birim Fiyat]]*Tablo3[[#This Row],[Satış Adet]]</f>
        <v>2500</v>
      </c>
      <c r="F1000" s="9">
        <v>900</v>
      </c>
      <c r="G1000" t="s">
        <v>63</v>
      </c>
      <c r="H1000" t="s">
        <v>27</v>
      </c>
    </row>
    <row r="1001" spans="1:8" x14ac:dyDescent="0.25">
      <c r="A1001" t="s">
        <v>48</v>
      </c>
      <c r="B1001" t="s">
        <v>23</v>
      </c>
      <c r="C1001">
        <v>1</v>
      </c>
      <c r="D1001" s="9">
        <v>7600</v>
      </c>
      <c r="E1001" s="9">
        <f>+Tablo3[[#This Row],[Birim Fiyat]]*Tablo3[[#This Row],[Satış Adet]]</f>
        <v>7600</v>
      </c>
      <c r="F1001" s="9">
        <v>1600</v>
      </c>
      <c r="G1001" t="s">
        <v>63</v>
      </c>
      <c r="H1001" t="s">
        <v>42</v>
      </c>
    </row>
    <row r="1002" spans="1:8" x14ac:dyDescent="0.25">
      <c r="A1002" t="s">
        <v>8</v>
      </c>
      <c r="B1002" t="s">
        <v>13</v>
      </c>
      <c r="C1002">
        <v>2</v>
      </c>
      <c r="D1002" s="9">
        <v>1400</v>
      </c>
      <c r="E1002" s="9">
        <f>+Tablo3[[#This Row],[Birim Fiyat]]*Tablo3[[#This Row],[Satış Adet]]</f>
        <v>2800</v>
      </c>
      <c r="F1002" s="9">
        <v>1200</v>
      </c>
      <c r="G1002" t="s">
        <v>63</v>
      </c>
      <c r="H1002" t="s">
        <v>44</v>
      </c>
    </row>
    <row r="1003" spans="1:8" x14ac:dyDescent="0.25">
      <c r="A1003" t="s">
        <v>22</v>
      </c>
      <c r="B1003" t="s">
        <v>21</v>
      </c>
      <c r="C1003">
        <v>2</v>
      </c>
      <c r="D1003" s="9">
        <v>2180</v>
      </c>
      <c r="E1003" s="9">
        <f>+Tablo3[[#This Row],[Birim Fiyat]]*Tablo3[[#This Row],[Satış Adet]]</f>
        <v>4360</v>
      </c>
      <c r="F1003" s="9">
        <v>1360</v>
      </c>
      <c r="G1003" t="s">
        <v>63</v>
      </c>
      <c r="H1003" t="s">
        <v>14</v>
      </c>
    </row>
    <row r="1004" spans="1:8" x14ac:dyDescent="0.25">
      <c r="A1004" t="s">
        <v>8</v>
      </c>
      <c r="B1004" t="s">
        <v>31</v>
      </c>
      <c r="C1004">
        <v>3</v>
      </c>
      <c r="D1004" s="9">
        <v>1800</v>
      </c>
      <c r="E1004" s="9">
        <f>+Tablo3[[#This Row],[Birim Fiyat]]*Tablo3[[#This Row],[Satış Adet]]</f>
        <v>5400</v>
      </c>
      <c r="F1004" s="9">
        <v>3000</v>
      </c>
      <c r="G1004" t="s">
        <v>63</v>
      </c>
      <c r="H1004" t="s">
        <v>20</v>
      </c>
    </row>
    <row r="1005" spans="1:8" x14ac:dyDescent="0.25">
      <c r="A1005" t="s">
        <v>15</v>
      </c>
      <c r="B1005" t="s">
        <v>55</v>
      </c>
      <c r="C1005">
        <v>1</v>
      </c>
      <c r="D1005" s="9">
        <v>1500</v>
      </c>
      <c r="E1005" s="9">
        <f>+Tablo3[[#This Row],[Birim Fiyat]]*Tablo3[[#This Row],[Satış Adet]]</f>
        <v>1500</v>
      </c>
      <c r="F1005" s="9">
        <v>700</v>
      </c>
      <c r="G1005" t="s">
        <v>63</v>
      </c>
      <c r="H1005" t="s">
        <v>17</v>
      </c>
    </row>
    <row r="1006" spans="1:8" x14ac:dyDescent="0.25">
      <c r="A1006" t="s">
        <v>30</v>
      </c>
      <c r="B1006" t="s">
        <v>16</v>
      </c>
      <c r="C1006">
        <v>3</v>
      </c>
      <c r="D1006" s="9">
        <v>8450</v>
      </c>
      <c r="E1006" s="9">
        <f>+Tablo3[[#This Row],[Birim Fiyat]]*Tablo3[[#This Row],[Satış Adet]]</f>
        <v>25350</v>
      </c>
      <c r="F1006" s="9">
        <v>7350</v>
      </c>
      <c r="G1006" t="s">
        <v>63</v>
      </c>
      <c r="H1006" t="s">
        <v>52</v>
      </c>
    </row>
    <row r="1007" spans="1:8" x14ac:dyDescent="0.25">
      <c r="A1007" t="s">
        <v>38</v>
      </c>
      <c r="B1007" t="s">
        <v>55</v>
      </c>
      <c r="C1007">
        <v>3</v>
      </c>
      <c r="D1007" s="9">
        <v>1500</v>
      </c>
      <c r="E1007" s="9">
        <f>+Tablo3[[#This Row],[Birim Fiyat]]*Tablo3[[#This Row],[Satış Adet]]</f>
        <v>4500</v>
      </c>
      <c r="F1007" s="9">
        <v>2100</v>
      </c>
      <c r="G1007" t="s">
        <v>63</v>
      </c>
      <c r="H1007" t="s">
        <v>20</v>
      </c>
    </row>
    <row r="1008" spans="1:8" x14ac:dyDescent="0.25">
      <c r="A1008" t="s">
        <v>67</v>
      </c>
      <c r="B1008" t="s">
        <v>9</v>
      </c>
      <c r="C1008">
        <v>3</v>
      </c>
      <c r="D1008" s="9">
        <v>6000</v>
      </c>
      <c r="E1008" s="9">
        <f>+Tablo3[[#This Row],[Birim Fiyat]]*Tablo3[[#This Row],[Satış Adet]]</f>
        <v>18000</v>
      </c>
      <c r="F1008" s="9">
        <v>6000</v>
      </c>
      <c r="G1008" t="s">
        <v>63</v>
      </c>
      <c r="H1008" t="s">
        <v>35</v>
      </c>
    </row>
    <row r="1009" spans="1:8" x14ac:dyDescent="0.25">
      <c r="A1009" t="s">
        <v>48</v>
      </c>
      <c r="B1009" t="s">
        <v>51</v>
      </c>
      <c r="C1009">
        <v>1</v>
      </c>
      <c r="D1009" s="9">
        <v>1200</v>
      </c>
      <c r="E1009" s="9">
        <f>+Tablo3[[#This Row],[Birim Fiyat]]*Tablo3[[#This Row],[Satış Adet]]</f>
        <v>1200</v>
      </c>
      <c r="F1009" s="9">
        <v>400</v>
      </c>
      <c r="G1009" t="s">
        <v>63</v>
      </c>
      <c r="H1009" t="s">
        <v>27</v>
      </c>
    </row>
    <row r="1010" spans="1:8" x14ac:dyDescent="0.25">
      <c r="A1010" t="s">
        <v>8</v>
      </c>
      <c r="B1010" t="s">
        <v>43</v>
      </c>
      <c r="C1010">
        <v>3</v>
      </c>
      <c r="D1010" s="9">
        <v>4200</v>
      </c>
      <c r="E1010" s="9">
        <f>+Tablo3[[#This Row],[Birim Fiyat]]*Tablo3[[#This Row],[Satış Adet]]</f>
        <v>12600</v>
      </c>
      <c r="F1010" s="9">
        <v>3600</v>
      </c>
      <c r="G1010" t="s">
        <v>63</v>
      </c>
      <c r="H1010" t="s">
        <v>17</v>
      </c>
    </row>
    <row r="1011" spans="1:8" x14ac:dyDescent="0.25">
      <c r="A1011" t="s">
        <v>46</v>
      </c>
      <c r="B1011" t="s">
        <v>23</v>
      </c>
      <c r="C1011">
        <v>3</v>
      </c>
      <c r="D1011" s="9">
        <v>7600</v>
      </c>
      <c r="E1011" s="9">
        <f>+Tablo3[[#This Row],[Birim Fiyat]]*Tablo3[[#This Row],[Satış Adet]]</f>
        <v>22800</v>
      </c>
      <c r="F1011" s="9">
        <v>4800</v>
      </c>
      <c r="G1011" t="s">
        <v>63</v>
      </c>
      <c r="H1011" t="s">
        <v>14</v>
      </c>
    </row>
    <row r="1012" spans="1:8" x14ac:dyDescent="0.25">
      <c r="A1012" t="s">
        <v>67</v>
      </c>
      <c r="B1012" t="s">
        <v>25</v>
      </c>
      <c r="C1012">
        <v>2</v>
      </c>
      <c r="D1012" s="9">
        <v>7250</v>
      </c>
      <c r="E1012" s="9">
        <f>+Tablo3[[#This Row],[Birim Fiyat]]*Tablo3[[#This Row],[Satış Adet]]</f>
        <v>14500</v>
      </c>
      <c r="F1012" s="9">
        <v>4500</v>
      </c>
      <c r="G1012" t="s">
        <v>63</v>
      </c>
      <c r="H1012" t="s">
        <v>39</v>
      </c>
    </row>
    <row r="1013" spans="1:8" x14ac:dyDescent="0.25">
      <c r="A1013" t="s">
        <v>12</v>
      </c>
      <c r="B1013" t="s">
        <v>53</v>
      </c>
      <c r="C1013">
        <v>2</v>
      </c>
      <c r="D1013" s="9">
        <v>7530</v>
      </c>
      <c r="E1013" s="9">
        <f>+Tablo3[[#This Row],[Birim Fiyat]]*Tablo3[[#This Row],[Satış Adet]]</f>
        <v>15060</v>
      </c>
      <c r="F1013" s="9">
        <v>3060</v>
      </c>
      <c r="G1013" t="s">
        <v>63</v>
      </c>
      <c r="H1013" t="s">
        <v>39</v>
      </c>
    </row>
    <row r="1014" spans="1:8" x14ac:dyDescent="0.25">
      <c r="A1014" t="s">
        <v>15</v>
      </c>
      <c r="B1014" t="s">
        <v>25</v>
      </c>
      <c r="C1014">
        <v>2</v>
      </c>
      <c r="D1014" s="9">
        <v>7250</v>
      </c>
      <c r="E1014" s="9">
        <f>+Tablo3[[#This Row],[Birim Fiyat]]*Tablo3[[#This Row],[Satış Adet]]</f>
        <v>14500</v>
      </c>
      <c r="F1014" s="9">
        <v>4500</v>
      </c>
      <c r="G1014" t="s">
        <v>63</v>
      </c>
      <c r="H1014" t="s">
        <v>35</v>
      </c>
    </row>
    <row r="1015" spans="1:8" x14ac:dyDescent="0.25">
      <c r="A1015" t="s">
        <v>12</v>
      </c>
      <c r="B1015" t="s">
        <v>9</v>
      </c>
      <c r="C1015">
        <v>1</v>
      </c>
      <c r="D1015" s="9">
        <v>6000</v>
      </c>
      <c r="E1015" s="9">
        <f>+Tablo3[[#This Row],[Birim Fiyat]]*Tablo3[[#This Row],[Satış Adet]]</f>
        <v>6000</v>
      </c>
      <c r="F1015" s="9">
        <v>2000</v>
      </c>
      <c r="G1015" t="s">
        <v>63</v>
      </c>
      <c r="H1015" t="s">
        <v>35</v>
      </c>
    </row>
    <row r="1016" spans="1:8" x14ac:dyDescent="0.25">
      <c r="A1016" t="s">
        <v>67</v>
      </c>
      <c r="B1016" t="s">
        <v>51</v>
      </c>
      <c r="C1016">
        <v>3</v>
      </c>
      <c r="D1016" s="9">
        <v>1200</v>
      </c>
      <c r="E1016" s="9">
        <f>+Tablo3[[#This Row],[Birim Fiyat]]*Tablo3[[#This Row],[Satış Adet]]</f>
        <v>3600</v>
      </c>
      <c r="F1016" s="9">
        <v>1200</v>
      </c>
      <c r="G1016" t="s">
        <v>63</v>
      </c>
      <c r="H1016" t="s">
        <v>14</v>
      </c>
    </row>
    <row r="1017" spans="1:8" x14ac:dyDescent="0.25">
      <c r="A1017" t="s">
        <v>48</v>
      </c>
      <c r="B1017" t="s">
        <v>54</v>
      </c>
      <c r="C1017">
        <v>2</v>
      </c>
      <c r="D1017" s="9">
        <v>5300</v>
      </c>
      <c r="E1017" s="9">
        <f>+Tablo3[[#This Row],[Birim Fiyat]]*Tablo3[[#This Row],[Satış Adet]]</f>
        <v>10600</v>
      </c>
      <c r="F1017" s="9">
        <v>2600</v>
      </c>
      <c r="G1017" t="s">
        <v>63</v>
      </c>
      <c r="H1017" t="s">
        <v>14</v>
      </c>
    </row>
    <row r="1018" spans="1:8" x14ac:dyDescent="0.25">
      <c r="A1018" t="s">
        <v>36</v>
      </c>
      <c r="B1018" t="s">
        <v>16</v>
      </c>
      <c r="C1018">
        <v>2</v>
      </c>
      <c r="D1018" s="9">
        <v>8450</v>
      </c>
      <c r="E1018" s="9">
        <f>+Tablo3[[#This Row],[Birim Fiyat]]*Tablo3[[#This Row],[Satış Adet]]</f>
        <v>16900</v>
      </c>
      <c r="F1018" s="9">
        <v>4900</v>
      </c>
      <c r="G1018" t="s">
        <v>63</v>
      </c>
      <c r="H1018" t="s">
        <v>17</v>
      </c>
    </row>
    <row r="1019" spans="1:8" x14ac:dyDescent="0.25">
      <c r="A1019" t="s">
        <v>22</v>
      </c>
      <c r="B1019" t="s">
        <v>19</v>
      </c>
      <c r="C1019">
        <v>1</v>
      </c>
      <c r="D1019" s="9">
        <v>1350</v>
      </c>
      <c r="E1019" s="9">
        <f>+Tablo3[[#This Row],[Birim Fiyat]]*Tablo3[[#This Row],[Satış Adet]]</f>
        <v>1350</v>
      </c>
      <c r="F1019" s="9">
        <v>550</v>
      </c>
      <c r="G1019" t="s">
        <v>63</v>
      </c>
      <c r="H1019" t="s">
        <v>24</v>
      </c>
    </row>
    <row r="1020" spans="1:8" x14ac:dyDescent="0.25">
      <c r="A1020" t="s">
        <v>30</v>
      </c>
      <c r="B1020" t="s">
        <v>32</v>
      </c>
      <c r="C1020">
        <v>1</v>
      </c>
      <c r="D1020" s="9">
        <v>1090</v>
      </c>
      <c r="E1020" s="9">
        <f>+Tablo3[[#This Row],[Birim Fiyat]]*Tablo3[[#This Row],[Satış Adet]]</f>
        <v>1090</v>
      </c>
      <c r="F1020" s="9">
        <v>290</v>
      </c>
      <c r="G1020" t="s">
        <v>63</v>
      </c>
      <c r="H1020" t="s">
        <v>24</v>
      </c>
    </row>
    <row r="1021" spans="1:8" x14ac:dyDescent="0.25">
      <c r="A1021" t="s">
        <v>22</v>
      </c>
      <c r="B1021" t="s">
        <v>21</v>
      </c>
      <c r="C1021">
        <v>1</v>
      </c>
      <c r="D1021" s="9">
        <v>2180</v>
      </c>
      <c r="E1021" s="9">
        <f>+Tablo3[[#This Row],[Birim Fiyat]]*Tablo3[[#This Row],[Satış Adet]]</f>
        <v>2180</v>
      </c>
      <c r="F1021" s="9">
        <v>680</v>
      </c>
      <c r="G1021" t="s">
        <v>63</v>
      </c>
      <c r="H1021" t="s">
        <v>27</v>
      </c>
    </row>
    <row r="1022" spans="1:8" x14ac:dyDescent="0.25">
      <c r="A1022" t="s">
        <v>12</v>
      </c>
      <c r="B1022" t="s">
        <v>56</v>
      </c>
      <c r="C1022">
        <v>1</v>
      </c>
      <c r="D1022" s="9">
        <v>3700</v>
      </c>
      <c r="E1022" s="9">
        <f>+Tablo3[[#This Row],[Birim Fiyat]]*Tablo3[[#This Row],[Satış Adet]]</f>
        <v>3700</v>
      </c>
      <c r="F1022" s="9">
        <v>700</v>
      </c>
      <c r="G1022" t="s">
        <v>63</v>
      </c>
      <c r="H1022" t="s">
        <v>40</v>
      </c>
    </row>
    <row r="1023" spans="1:8" x14ac:dyDescent="0.25">
      <c r="A1023" t="s">
        <v>30</v>
      </c>
      <c r="B1023" t="s">
        <v>26</v>
      </c>
      <c r="C1023">
        <v>3</v>
      </c>
      <c r="D1023" s="9">
        <v>1100</v>
      </c>
      <c r="E1023" s="9">
        <f>+Tablo3[[#This Row],[Birim Fiyat]]*Tablo3[[#This Row],[Satış Adet]]</f>
        <v>3300</v>
      </c>
      <c r="F1023" s="9">
        <v>900</v>
      </c>
      <c r="G1023" t="s">
        <v>63</v>
      </c>
      <c r="H1023" t="s">
        <v>29</v>
      </c>
    </row>
    <row r="1024" spans="1:8" x14ac:dyDescent="0.25">
      <c r="A1024" t="s">
        <v>67</v>
      </c>
      <c r="B1024" t="s">
        <v>56</v>
      </c>
      <c r="C1024">
        <v>1</v>
      </c>
      <c r="D1024" s="9">
        <v>3700</v>
      </c>
      <c r="E1024" s="9">
        <f>+Tablo3[[#This Row],[Birim Fiyat]]*Tablo3[[#This Row],[Satış Adet]]</f>
        <v>3700</v>
      </c>
      <c r="F1024" s="9">
        <v>700</v>
      </c>
      <c r="G1024" t="s">
        <v>63</v>
      </c>
      <c r="H1024" t="s">
        <v>29</v>
      </c>
    </row>
    <row r="1025" spans="1:8" x14ac:dyDescent="0.25">
      <c r="A1025" t="s">
        <v>46</v>
      </c>
      <c r="B1025" t="s">
        <v>41</v>
      </c>
      <c r="C1025">
        <v>1</v>
      </c>
      <c r="D1025" s="9">
        <v>1490</v>
      </c>
      <c r="E1025" s="9">
        <f>+Tablo3[[#This Row],[Birim Fiyat]]*Tablo3[[#This Row],[Satış Adet]]</f>
        <v>1490</v>
      </c>
      <c r="F1025" s="9">
        <v>690</v>
      </c>
      <c r="G1025" t="s">
        <v>63</v>
      </c>
      <c r="H1025" t="s">
        <v>35</v>
      </c>
    </row>
    <row r="1026" spans="1:8" x14ac:dyDescent="0.25">
      <c r="A1026" t="s">
        <v>38</v>
      </c>
      <c r="B1026" t="s">
        <v>55</v>
      </c>
      <c r="C1026">
        <v>1</v>
      </c>
      <c r="D1026" s="9">
        <v>1500</v>
      </c>
      <c r="E1026" s="9">
        <f>+Tablo3[[#This Row],[Birim Fiyat]]*Tablo3[[#This Row],[Satış Adet]]</f>
        <v>1500</v>
      </c>
      <c r="F1026" s="9">
        <v>700</v>
      </c>
      <c r="G1026" t="s">
        <v>63</v>
      </c>
      <c r="H1026" t="s">
        <v>35</v>
      </c>
    </row>
    <row r="1027" spans="1:8" x14ac:dyDescent="0.25">
      <c r="A1027" t="s">
        <v>36</v>
      </c>
      <c r="B1027" t="s">
        <v>32</v>
      </c>
      <c r="C1027">
        <v>2</v>
      </c>
      <c r="D1027" s="9">
        <v>1090</v>
      </c>
      <c r="E1027" s="9">
        <f>+Tablo3[[#This Row],[Birim Fiyat]]*Tablo3[[#This Row],[Satış Adet]]</f>
        <v>2180</v>
      </c>
      <c r="F1027" s="9">
        <v>580</v>
      </c>
      <c r="G1027" t="s">
        <v>63</v>
      </c>
      <c r="H1027" t="s">
        <v>27</v>
      </c>
    </row>
    <row r="1028" spans="1:8" x14ac:dyDescent="0.25">
      <c r="A1028" t="s">
        <v>46</v>
      </c>
      <c r="B1028" t="s">
        <v>31</v>
      </c>
      <c r="C1028">
        <v>3</v>
      </c>
      <c r="D1028" s="9">
        <v>1800</v>
      </c>
      <c r="E1028" s="9">
        <f>+Tablo3[[#This Row],[Birim Fiyat]]*Tablo3[[#This Row],[Satış Adet]]</f>
        <v>5400</v>
      </c>
      <c r="F1028" s="9">
        <v>3000</v>
      </c>
      <c r="G1028" t="s">
        <v>63</v>
      </c>
      <c r="H1028" t="s">
        <v>44</v>
      </c>
    </row>
    <row r="1029" spans="1:8" x14ac:dyDescent="0.25">
      <c r="A1029" t="s">
        <v>33</v>
      </c>
      <c r="B1029" t="s">
        <v>53</v>
      </c>
      <c r="C1029">
        <v>2</v>
      </c>
      <c r="D1029" s="9">
        <v>7530</v>
      </c>
      <c r="E1029" s="9">
        <f>+Tablo3[[#This Row],[Birim Fiyat]]*Tablo3[[#This Row],[Satış Adet]]</f>
        <v>15060</v>
      </c>
      <c r="F1029" s="9">
        <v>3060</v>
      </c>
      <c r="G1029" t="s">
        <v>63</v>
      </c>
      <c r="H1029" t="s">
        <v>14</v>
      </c>
    </row>
    <row r="1030" spans="1:8" x14ac:dyDescent="0.25">
      <c r="A1030" t="s">
        <v>30</v>
      </c>
      <c r="B1030" t="s">
        <v>26</v>
      </c>
      <c r="C1030">
        <v>3</v>
      </c>
      <c r="D1030" s="9">
        <v>1100</v>
      </c>
      <c r="E1030" s="9">
        <f>+Tablo3[[#This Row],[Birim Fiyat]]*Tablo3[[#This Row],[Satış Adet]]</f>
        <v>3300</v>
      </c>
      <c r="F1030" s="9">
        <v>900</v>
      </c>
      <c r="G1030" t="s">
        <v>63</v>
      </c>
      <c r="H1030" t="s">
        <v>24</v>
      </c>
    </row>
    <row r="1031" spans="1:8" x14ac:dyDescent="0.25">
      <c r="A1031" t="s">
        <v>38</v>
      </c>
      <c r="B1031" t="s">
        <v>19</v>
      </c>
      <c r="C1031">
        <v>3</v>
      </c>
      <c r="D1031" s="9">
        <v>1350</v>
      </c>
      <c r="E1031" s="9">
        <f>+Tablo3[[#This Row],[Birim Fiyat]]*Tablo3[[#This Row],[Satış Adet]]</f>
        <v>4050</v>
      </c>
      <c r="F1031" s="9">
        <v>1650</v>
      </c>
      <c r="G1031" t="s">
        <v>63</v>
      </c>
      <c r="H1031" t="s">
        <v>40</v>
      </c>
    </row>
    <row r="1032" spans="1:8" x14ac:dyDescent="0.25">
      <c r="A1032" t="s">
        <v>36</v>
      </c>
      <c r="B1032" t="s">
        <v>19</v>
      </c>
      <c r="C1032">
        <v>1</v>
      </c>
      <c r="D1032" s="9">
        <v>1350</v>
      </c>
      <c r="E1032" s="9">
        <f>+Tablo3[[#This Row],[Birim Fiyat]]*Tablo3[[#This Row],[Satış Adet]]</f>
        <v>1350</v>
      </c>
      <c r="F1032" s="9">
        <v>550</v>
      </c>
      <c r="G1032" t="s">
        <v>63</v>
      </c>
      <c r="H1032" t="s">
        <v>24</v>
      </c>
    </row>
    <row r="1033" spans="1:8" x14ac:dyDescent="0.25">
      <c r="A1033" t="s">
        <v>33</v>
      </c>
      <c r="B1033" t="s">
        <v>32</v>
      </c>
      <c r="C1033">
        <v>2</v>
      </c>
      <c r="D1033" s="9">
        <v>1090</v>
      </c>
      <c r="E1033" s="9">
        <f>+Tablo3[[#This Row],[Birim Fiyat]]*Tablo3[[#This Row],[Satış Adet]]</f>
        <v>2180</v>
      </c>
      <c r="F1033" s="9">
        <v>580</v>
      </c>
      <c r="G1033" t="s">
        <v>63</v>
      </c>
      <c r="H1033" t="s">
        <v>20</v>
      </c>
    </row>
    <row r="1034" spans="1:8" x14ac:dyDescent="0.25">
      <c r="A1034" t="s">
        <v>33</v>
      </c>
      <c r="B1034" t="s">
        <v>43</v>
      </c>
      <c r="C1034">
        <v>1</v>
      </c>
      <c r="D1034" s="9">
        <v>4200</v>
      </c>
      <c r="E1034" s="9">
        <f>+Tablo3[[#This Row],[Birim Fiyat]]*Tablo3[[#This Row],[Satış Adet]]</f>
        <v>4200</v>
      </c>
      <c r="F1034" s="9">
        <v>1200</v>
      </c>
      <c r="G1034" t="s">
        <v>63</v>
      </c>
      <c r="H1034" t="s">
        <v>17</v>
      </c>
    </row>
    <row r="1035" spans="1:8" x14ac:dyDescent="0.25">
      <c r="A1035" t="s">
        <v>38</v>
      </c>
      <c r="B1035" t="s">
        <v>31</v>
      </c>
      <c r="C1035">
        <v>2</v>
      </c>
      <c r="D1035" s="9">
        <v>1800</v>
      </c>
      <c r="E1035" s="9">
        <f>+Tablo3[[#This Row],[Birim Fiyat]]*Tablo3[[#This Row],[Satış Adet]]</f>
        <v>3600</v>
      </c>
      <c r="F1035" s="9">
        <v>2000</v>
      </c>
      <c r="G1035" t="s">
        <v>63</v>
      </c>
      <c r="H1035" t="s">
        <v>27</v>
      </c>
    </row>
    <row r="1036" spans="1:8" x14ac:dyDescent="0.25">
      <c r="A1036" t="s">
        <v>48</v>
      </c>
      <c r="B1036" t="s">
        <v>32</v>
      </c>
      <c r="C1036">
        <v>1</v>
      </c>
      <c r="D1036" s="9">
        <v>1090</v>
      </c>
      <c r="E1036" s="9">
        <f>+Tablo3[[#This Row],[Birim Fiyat]]*Tablo3[[#This Row],[Satış Adet]]</f>
        <v>1090</v>
      </c>
      <c r="F1036" s="9">
        <v>290</v>
      </c>
      <c r="G1036" t="s">
        <v>63</v>
      </c>
      <c r="H1036" t="s">
        <v>39</v>
      </c>
    </row>
    <row r="1037" spans="1:8" x14ac:dyDescent="0.25">
      <c r="A1037" t="s">
        <v>8</v>
      </c>
      <c r="B1037" t="s">
        <v>23</v>
      </c>
      <c r="C1037">
        <v>1</v>
      </c>
      <c r="D1037" s="9">
        <v>7600</v>
      </c>
      <c r="E1037" s="9">
        <f>+Tablo3[[#This Row],[Birim Fiyat]]*Tablo3[[#This Row],[Satış Adet]]</f>
        <v>7600</v>
      </c>
      <c r="F1037" s="9">
        <v>1600</v>
      </c>
      <c r="G1037" t="s">
        <v>63</v>
      </c>
      <c r="H1037" t="s">
        <v>44</v>
      </c>
    </row>
    <row r="1038" spans="1:8" x14ac:dyDescent="0.25">
      <c r="A1038" t="s">
        <v>36</v>
      </c>
      <c r="B1038" t="s">
        <v>23</v>
      </c>
      <c r="C1038">
        <v>3</v>
      </c>
      <c r="D1038" s="9">
        <v>7600</v>
      </c>
      <c r="E1038" s="9">
        <f>+Tablo3[[#This Row],[Birim Fiyat]]*Tablo3[[#This Row],[Satış Adet]]</f>
        <v>22800</v>
      </c>
      <c r="F1038" s="9">
        <v>4800</v>
      </c>
      <c r="G1038" t="s">
        <v>63</v>
      </c>
      <c r="H1038" t="s">
        <v>11</v>
      </c>
    </row>
    <row r="1039" spans="1:8" x14ac:dyDescent="0.25">
      <c r="A1039" t="s">
        <v>15</v>
      </c>
      <c r="B1039" t="s">
        <v>56</v>
      </c>
      <c r="C1039">
        <v>1</v>
      </c>
      <c r="D1039" s="9">
        <v>3700</v>
      </c>
      <c r="E1039" s="9">
        <f>+Tablo3[[#This Row],[Birim Fiyat]]*Tablo3[[#This Row],[Satış Adet]]</f>
        <v>3700</v>
      </c>
      <c r="F1039" s="9">
        <v>700</v>
      </c>
      <c r="G1039" t="s">
        <v>63</v>
      </c>
      <c r="H1039" t="s">
        <v>17</v>
      </c>
    </row>
    <row r="1040" spans="1:8" x14ac:dyDescent="0.25">
      <c r="A1040" t="s">
        <v>22</v>
      </c>
      <c r="B1040" t="s">
        <v>25</v>
      </c>
      <c r="C1040">
        <v>3</v>
      </c>
      <c r="D1040" s="9">
        <v>7250</v>
      </c>
      <c r="E1040" s="9">
        <f>+Tablo3[[#This Row],[Birim Fiyat]]*Tablo3[[#This Row],[Satış Adet]]</f>
        <v>21750</v>
      </c>
      <c r="F1040" s="9">
        <v>6750</v>
      </c>
      <c r="G1040" t="s">
        <v>63</v>
      </c>
      <c r="H1040" t="s">
        <v>42</v>
      </c>
    </row>
    <row r="1041" spans="1:8" x14ac:dyDescent="0.25">
      <c r="A1041" t="s">
        <v>12</v>
      </c>
      <c r="B1041" t="s">
        <v>23</v>
      </c>
      <c r="C1041">
        <v>3</v>
      </c>
      <c r="D1041" s="9">
        <v>7600</v>
      </c>
      <c r="E1041" s="9">
        <f>+Tablo3[[#This Row],[Birim Fiyat]]*Tablo3[[#This Row],[Satış Adet]]</f>
        <v>22800</v>
      </c>
      <c r="F1041" s="9">
        <v>4800</v>
      </c>
      <c r="G1041" t="s">
        <v>63</v>
      </c>
      <c r="H1041" t="s">
        <v>27</v>
      </c>
    </row>
    <row r="1042" spans="1:8" x14ac:dyDescent="0.25">
      <c r="A1042" t="s">
        <v>46</v>
      </c>
      <c r="B1042" t="s">
        <v>43</v>
      </c>
      <c r="C1042">
        <v>1</v>
      </c>
      <c r="D1042" s="9">
        <v>4200</v>
      </c>
      <c r="E1042" s="9">
        <f>+Tablo3[[#This Row],[Birim Fiyat]]*Tablo3[[#This Row],[Satış Adet]]</f>
        <v>4200</v>
      </c>
      <c r="F1042" s="9">
        <v>1200</v>
      </c>
      <c r="G1042" t="s">
        <v>63</v>
      </c>
      <c r="H1042" t="s">
        <v>24</v>
      </c>
    </row>
    <row r="1043" spans="1:8" x14ac:dyDescent="0.25">
      <c r="A1043" t="s">
        <v>30</v>
      </c>
      <c r="B1043" t="s">
        <v>50</v>
      </c>
      <c r="C1043">
        <v>3</v>
      </c>
      <c r="D1043" s="9">
        <v>1250</v>
      </c>
      <c r="E1043" s="9">
        <f>+Tablo3[[#This Row],[Birim Fiyat]]*Tablo3[[#This Row],[Satış Adet]]</f>
        <v>3750</v>
      </c>
      <c r="F1043" s="9">
        <v>1350</v>
      </c>
      <c r="G1043" t="s">
        <v>63</v>
      </c>
      <c r="H1043" t="s">
        <v>24</v>
      </c>
    </row>
    <row r="1044" spans="1:8" x14ac:dyDescent="0.25">
      <c r="A1044" t="s">
        <v>36</v>
      </c>
      <c r="B1044" t="s">
        <v>32</v>
      </c>
      <c r="C1044">
        <v>1</v>
      </c>
      <c r="D1044" s="9">
        <v>1090</v>
      </c>
      <c r="E1044" s="9">
        <f>+Tablo3[[#This Row],[Birim Fiyat]]*Tablo3[[#This Row],[Satış Adet]]</f>
        <v>1090</v>
      </c>
      <c r="F1044" s="9">
        <v>290</v>
      </c>
      <c r="G1044" t="s">
        <v>63</v>
      </c>
      <c r="H1044" t="s">
        <v>24</v>
      </c>
    </row>
    <row r="1045" spans="1:8" x14ac:dyDescent="0.25">
      <c r="A1045" t="s">
        <v>18</v>
      </c>
      <c r="B1045" t="s">
        <v>21</v>
      </c>
      <c r="C1045">
        <v>1</v>
      </c>
      <c r="D1045" s="9">
        <v>2180</v>
      </c>
      <c r="E1045" s="9">
        <f>+Tablo3[[#This Row],[Birim Fiyat]]*Tablo3[[#This Row],[Satış Adet]]</f>
        <v>2180</v>
      </c>
      <c r="F1045" s="9">
        <v>680</v>
      </c>
      <c r="G1045" t="s">
        <v>63</v>
      </c>
      <c r="H1045" t="s">
        <v>29</v>
      </c>
    </row>
    <row r="1046" spans="1:8" x14ac:dyDescent="0.25">
      <c r="A1046" t="s">
        <v>48</v>
      </c>
      <c r="B1046" t="s">
        <v>56</v>
      </c>
      <c r="C1046">
        <v>2</v>
      </c>
      <c r="D1046" s="9">
        <v>3700</v>
      </c>
      <c r="E1046" s="9">
        <f>+Tablo3[[#This Row],[Birim Fiyat]]*Tablo3[[#This Row],[Satış Adet]]</f>
        <v>7400</v>
      </c>
      <c r="F1046" s="9">
        <v>1400</v>
      </c>
      <c r="G1046" t="s">
        <v>63</v>
      </c>
      <c r="H1046" t="s">
        <v>17</v>
      </c>
    </row>
    <row r="1047" spans="1:8" x14ac:dyDescent="0.25">
      <c r="A1047" t="s">
        <v>38</v>
      </c>
      <c r="B1047" t="s">
        <v>9</v>
      </c>
      <c r="C1047">
        <v>2</v>
      </c>
      <c r="D1047" s="9">
        <v>6000</v>
      </c>
      <c r="E1047" s="9">
        <f>+Tablo3[[#This Row],[Birim Fiyat]]*Tablo3[[#This Row],[Satış Adet]]</f>
        <v>12000</v>
      </c>
      <c r="F1047" s="9">
        <v>4000</v>
      </c>
      <c r="G1047" t="s">
        <v>63</v>
      </c>
      <c r="H1047" t="s">
        <v>40</v>
      </c>
    </row>
    <row r="1048" spans="1:8" x14ac:dyDescent="0.25">
      <c r="A1048" t="s">
        <v>46</v>
      </c>
      <c r="B1048" t="s">
        <v>50</v>
      </c>
      <c r="C1048">
        <v>2</v>
      </c>
      <c r="D1048" s="9">
        <v>1250</v>
      </c>
      <c r="E1048" s="9">
        <f>+Tablo3[[#This Row],[Birim Fiyat]]*Tablo3[[#This Row],[Satış Adet]]</f>
        <v>2500</v>
      </c>
      <c r="F1048" s="9">
        <v>900</v>
      </c>
      <c r="G1048" t="s">
        <v>63</v>
      </c>
      <c r="H1048" t="s">
        <v>39</v>
      </c>
    </row>
    <row r="1049" spans="1:8" x14ac:dyDescent="0.25">
      <c r="A1049" t="s">
        <v>48</v>
      </c>
      <c r="B1049" t="s">
        <v>23</v>
      </c>
      <c r="C1049">
        <v>1</v>
      </c>
      <c r="D1049" s="9">
        <v>7600</v>
      </c>
      <c r="E1049" s="9">
        <f>+Tablo3[[#This Row],[Birim Fiyat]]*Tablo3[[#This Row],[Satış Adet]]</f>
        <v>7600</v>
      </c>
      <c r="F1049" s="9">
        <v>1600</v>
      </c>
      <c r="G1049" t="s">
        <v>63</v>
      </c>
      <c r="H1049" t="s">
        <v>52</v>
      </c>
    </row>
    <row r="1050" spans="1:8" x14ac:dyDescent="0.25">
      <c r="A1050" t="s">
        <v>8</v>
      </c>
      <c r="B1050" t="s">
        <v>13</v>
      </c>
      <c r="C1050">
        <v>2</v>
      </c>
      <c r="D1050" s="9">
        <v>1400</v>
      </c>
      <c r="E1050" s="9">
        <f>+Tablo3[[#This Row],[Birim Fiyat]]*Tablo3[[#This Row],[Satış Adet]]</f>
        <v>2800</v>
      </c>
      <c r="F1050" s="9">
        <v>1200</v>
      </c>
      <c r="G1050" t="s">
        <v>63</v>
      </c>
      <c r="H1050" t="s">
        <v>17</v>
      </c>
    </row>
    <row r="1051" spans="1:8" x14ac:dyDescent="0.25">
      <c r="A1051" t="s">
        <v>22</v>
      </c>
      <c r="B1051" t="s">
        <v>21</v>
      </c>
      <c r="C1051">
        <v>2</v>
      </c>
      <c r="D1051" s="9">
        <v>2180</v>
      </c>
      <c r="E1051" s="9">
        <f>+Tablo3[[#This Row],[Birim Fiyat]]*Tablo3[[#This Row],[Satış Adet]]</f>
        <v>4360</v>
      </c>
      <c r="F1051" s="9">
        <v>1360</v>
      </c>
      <c r="G1051" t="s">
        <v>63</v>
      </c>
      <c r="H1051" t="s">
        <v>42</v>
      </c>
    </row>
    <row r="1052" spans="1:8" x14ac:dyDescent="0.25">
      <c r="A1052" t="s">
        <v>8</v>
      </c>
      <c r="B1052" t="s">
        <v>31</v>
      </c>
      <c r="C1052">
        <v>3</v>
      </c>
      <c r="D1052" s="9">
        <v>1800</v>
      </c>
      <c r="E1052" s="9">
        <f>+Tablo3[[#This Row],[Birim Fiyat]]*Tablo3[[#This Row],[Satış Adet]]</f>
        <v>5400</v>
      </c>
      <c r="F1052" s="9">
        <v>3000</v>
      </c>
      <c r="G1052" t="s">
        <v>63</v>
      </c>
      <c r="H1052" t="s">
        <v>35</v>
      </c>
    </row>
    <row r="1053" spans="1:8" x14ac:dyDescent="0.25">
      <c r="A1053" t="s">
        <v>15</v>
      </c>
      <c r="B1053" t="s">
        <v>55</v>
      </c>
      <c r="C1053">
        <v>1</v>
      </c>
      <c r="D1053" s="9">
        <v>1500</v>
      </c>
      <c r="E1053" s="9">
        <f>+Tablo3[[#This Row],[Birim Fiyat]]*Tablo3[[#This Row],[Satış Adet]]</f>
        <v>1500</v>
      </c>
      <c r="F1053" s="9">
        <v>700</v>
      </c>
      <c r="G1053" t="s">
        <v>63</v>
      </c>
      <c r="H1053" t="s">
        <v>17</v>
      </c>
    </row>
    <row r="1054" spans="1:8" x14ac:dyDescent="0.25">
      <c r="A1054" t="s">
        <v>30</v>
      </c>
      <c r="B1054" t="s">
        <v>16</v>
      </c>
      <c r="C1054">
        <v>3</v>
      </c>
      <c r="D1054" s="9">
        <v>8450</v>
      </c>
      <c r="E1054" s="9">
        <f>+Tablo3[[#This Row],[Birim Fiyat]]*Tablo3[[#This Row],[Satış Adet]]</f>
        <v>25350</v>
      </c>
      <c r="F1054" s="9">
        <v>7350</v>
      </c>
      <c r="G1054" t="s">
        <v>63</v>
      </c>
      <c r="H1054" t="s">
        <v>42</v>
      </c>
    </row>
    <row r="1055" spans="1:8" x14ac:dyDescent="0.25">
      <c r="A1055" t="s">
        <v>38</v>
      </c>
      <c r="B1055" t="s">
        <v>55</v>
      </c>
      <c r="C1055">
        <v>3</v>
      </c>
      <c r="D1055" s="9">
        <v>1500</v>
      </c>
      <c r="E1055" s="9">
        <f>+Tablo3[[#This Row],[Birim Fiyat]]*Tablo3[[#This Row],[Satış Adet]]</f>
        <v>4500</v>
      </c>
      <c r="F1055" s="9">
        <v>2100</v>
      </c>
      <c r="G1055" t="s">
        <v>63</v>
      </c>
      <c r="H1055" t="s">
        <v>27</v>
      </c>
    </row>
    <row r="1056" spans="1:8" x14ac:dyDescent="0.25">
      <c r="A1056" t="s">
        <v>67</v>
      </c>
      <c r="B1056" t="s">
        <v>9</v>
      </c>
      <c r="C1056">
        <v>3</v>
      </c>
      <c r="D1056" s="9">
        <v>6000</v>
      </c>
      <c r="E1056" s="9">
        <f>+Tablo3[[#This Row],[Birim Fiyat]]*Tablo3[[#This Row],[Satış Adet]]</f>
        <v>18000</v>
      </c>
      <c r="F1056" s="9">
        <v>6000</v>
      </c>
      <c r="G1056" t="s">
        <v>63</v>
      </c>
      <c r="H1056" t="s">
        <v>11</v>
      </c>
    </row>
    <row r="1057" spans="1:8" x14ac:dyDescent="0.25">
      <c r="A1057" t="s">
        <v>48</v>
      </c>
      <c r="B1057" t="s">
        <v>51</v>
      </c>
      <c r="C1057">
        <v>1</v>
      </c>
      <c r="D1057" s="9">
        <v>1200</v>
      </c>
      <c r="E1057" s="9">
        <f>+Tablo3[[#This Row],[Birim Fiyat]]*Tablo3[[#This Row],[Satış Adet]]</f>
        <v>1200</v>
      </c>
      <c r="F1057" s="9">
        <v>400</v>
      </c>
      <c r="G1057" t="s">
        <v>63</v>
      </c>
      <c r="H1057" t="s">
        <v>14</v>
      </c>
    </row>
    <row r="1058" spans="1:8" x14ac:dyDescent="0.25">
      <c r="A1058" t="s">
        <v>8</v>
      </c>
      <c r="B1058" t="s">
        <v>43</v>
      </c>
      <c r="C1058">
        <v>3</v>
      </c>
      <c r="D1058" s="9">
        <v>4200</v>
      </c>
      <c r="E1058" s="9">
        <f>+Tablo3[[#This Row],[Birim Fiyat]]*Tablo3[[#This Row],[Satış Adet]]</f>
        <v>12600</v>
      </c>
      <c r="F1058" s="9">
        <v>3600</v>
      </c>
      <c r="G1058" t="s">
        <v>63</v>
      </c>
      <c r="H1058" t="s">
        <v>20</v>
      </c>
    </row>
    <row r="1059" spans="1:8" x14ac:dyDescent="0.25">
      <c r="A1059" t="s">
        <v>46</v>
      </c>
      <c r="B1059" t="s">
        <v>23</v>
      </c>
      <c r="C1059">
        <v>3</v>
      </c>
      <c r="D1059" s="9">
        <v>7600</v>
      </c>
      <c r="E1059" s="9">
        <f>+Tablo3[[#This Row],[Birim Fiyat]]*Tablo3[[#This Row],[Satış Adet]]</f>
        <v>22800</v>
      </c>
      <c r="F1059" s="9">
        <v>4800</v>
      </c>
      <c r="G1059" t="s">
        <v>63</v>
      </c>
      <c r="H1059" t="s">
        <v>27</v>
      </c>
    </row>
    <row r="1060" spans="1:8" x14ac:dyDescent="0.25">
      <c r="A1060" t="s">
        <v>67</v>
      </c>
      <c r="B1060" t="s">
        <v>25</v>
      </c>
      <c r="C1060">
        <v>2</v>
      </c>
      <c r="D1060" s="9">
        <v>7250</v>
      </c>
      <c r="E1060" s="9">
        <f>+Tablo3[[#This Row],[Birim Fiyat]]*Tablo3[[#This Row],[Satış Adet]]</f>
        <v>14500</v>
      </c>
      <c r="F1060" s="9">
        <v>4500</v>
      </c>
      <c r="G1060" t="s">
        <v>63</v>
      </c>
      <c r="H1060" t="s">
        <v>29</v>
      </c>
    </row>
    <row r="1061" spans="1:8" x14ac:dyDescent="0.25">
      <c r="A1061" t="s">
        <v>12</v>
      </c>
      <c r="B1061" t="s">
        <v>53</v>
      </c>
      <c r="C1061">
        <v>2</v>
      </c>
      <c r="D1061" s="9">
        <v>7530</v>
      </c>
      <c r="E1061" s="9">
        <f>+Tablo3[[#This Row],[Birim Fiyat]]*Tablo3[[#This Row],[Satış Adet]]</f>
        <v>15060</v>
      </c>
      <c r="F1061" s="9">
        <v>3060</v>
      </c>
      <c r="G1061" t="s">
        <v>63</v>
      </c>
      <c r="H1061" t="s">
        <v>44</v>
      </c>
    </row>
    <row r="1062" spans="1:8" x14ac:dyDescent="0.25">
      <c r="A1062" t="s">
        <v>15</v>
      </c>
      <c r="B1062" t="s">
        <v>25</v>
      </c>
      <c r="C1062">
        <v>2</v>
      </c>
      <c r="D1062" s="9">
        <v>7250</v>
      </c>
      <c r="E1062" s="9">
        <f>+Tablo3[[#This Row],[Birim Fiyat]]*Tablo3[[#This Row],[Satış Adet]]</f>
        <v>14500</v>
      </c>
      <c r="F1062" s="9">
        <v>4500</v>
      </c>
      <c r="G1062" t="s">
        <v>64</v>
      </c>
      <c r="H1062" t="s">
        <v>11</v>
      </c>
    </row>
    <row r="1063" spans="1:8" x14ac:dyDescent="0.25">
      <c r="A1063" t="s">
        <v>12</v>
      </c>
      <c r="B1063" t="s">
        <v>9</v>
      </c>
      <c r="C1063">
        <v>1</v>
      </c>
      <c r="D1063" s="9">
        <v>6000</v>
      </c>
      <c r="E1063" s="9">
        <f>+Tablo3[[#This Row],[Birim Fiyat]]*Tablo3[[#This Row],[Satış Adet]]</f>
        <v>6000</v>
      </c>
      <c r="F1063" s="9">
        <v>2000</v>
      </c>
      <c r="G1063" t="s">
        <v>64</v>
      </c>
      <c r="H1063" t="s">
        <v>42</v>
      </c>
    </row>
    <row r="1064" spans="1:8" x14ac:dyDescent="0.25">
      <c r="A1064" t="s">
        <v>67</v>
      </c>
      <c r="B1064" t="s">
        <v>51</v>
      </c>
      <c r="C1064">
        <v>3</v>
      </c>
      <c r="D1064" s="9">
        <v>1200</v>
      </c>
      <c r="E1064" s="9">
        <f>+Tablo3[[#This Row],[Birim Fiyat]]*Tablo3[[#This Row],[Satış Adet]]</f>
        <v>3600</v>
      </c>
      <c r="F1064" s="9">
        <v>1200</v>
      </c>
      <c r="G1064" t="s">
        <v>64</v>
      </c>
      <c r="H1064" t="s">
        <v>20</v>
      </c>
    </row>
    <row r="1065" spans="1:8" x14ac:dyDescent="0.25">
      <c r="A1065" t="s">
        <v>48</v>
      </c>
      <c r="B1065" t="s">
        <v>54</v>
      </c>
      <c r="C1065">
        <v>2</v>
      </c>
      <c r="D1065" s="9">
        <v>5300</v>
      </c>
      <c r="E1065" s="9">
        <f>+Tablo3[[#This Row],[Birim Fiyat]]*Tablo3[[#This Row],[Satış Adet]]</f>
        <v>10600</v>
      </c>
      <c r="F1065" s="9">
        <v>2600</v>
      </c>
      <c r="G1065" t="s">
        <v>64</v>
      </c>
      <c r="H1065" t="s">
        <v>14</v>
      </c>
    </row>
    <row r="1066" spans="1:8" x14ac:dyDescent="0.25">
      <c r="A1066" t="s">
        <v>36</v>
      </c>
      <c r="B1066" t="s">
        <v>16</v>
      </c>
      <c r="C1066">
        <v>2</v>
      </c>
      <c r="D1066" s="9">
        <v>8450</v>
      </c>
      <c r="E1066" s="9">
        <f>+Tablo3[[#This Row],[Birim Fiyat]]*Tablo3[[#This Row],[Satış Adet]]</f>
        <v>16900</v>
      </c>
      <c r="F1066" s="9">
        <v>4900</v>
      </c>
      <c r="G1066" t="s">
        <v>64</v>
      </c>
      <c r="H1066" t="s">
        <v>29</v>
      </c>
    </row>
    <row r="1067" spans="1:8" x14ac:dyDescent="0.25">
      <c r="A1067" t="s">
        <v>22</v>
      </c>
      <c r="B1067" t="s">
        <v>19</v>
      </c>
      <c r="C1067">
        <v>1</v>
      </c>
      <c r="D1067" s="9">
        <v>1350</v>
      </c>
      <c r="E1067" s="9">
        <f>+Tablo3[[#This Row],[Birim Fiyat]]*Tablo3[[#This Row],[Satış Adet]]</f>
        <v>1350</v>
      </c>
      <c r="F1067" s="9">
        <v>550</v>
      </c>
      <c r="G1067" t="s">
        <v>64</v>
      </c>
      <c r="H1067" t="s">
        <v>52</v>
      </c>
    </row>
    <row r="1068" spans="1:8" x14ac:dyDescent="0.25">
      <c r="A1068" t="s">
        <v>30</v>
      </c>
      <c r="B1068" t="s">
        <v>32</v>
      </c>
      <c r="C1068">
        <v>1</v>
      </c>
      <c r="D1068" s="9">
        <v>1090</v>
      </c>
      <c r="E1068" s="9">
        <f>+Tablo3[[#This Row],[Birim Fiyat]]*Tablo3[[#This Row],[Satış Adet]]</f>
        <v>1090</v>
      </c>
      <c r="F1068" s="9">
        <v>290</v>
      </c>
      <c r="G1068" t="s">
        <v>64</v>
      </c>
      <c r="H1068" t="s">
        <v>35</v>
      </c>
    </row>
    <row r="1069" spans="1:8" x14ac:dyDescent="0.25">
      <c r="A1069" t="s">
        <v>22</v>
      </c>
      <c r="B1069" t="s">
        <v>21</v>
      </c>
      <c r="C1069">
        <v>1</v>
      </c>
      <c r="D1069" s="9">
        <v>2180</v>
      </c>
      <c r="E1069" s="9">
        <f>+Tablo3[[#This Row],[Birim Fiyat]]*Tablo3[[#This Row],[Satış Adet]]</f>
        <v>2180</v>
      </c>
      <c r="F1069" s="9">
        <v>680</v>
      </c>
      <c r="G1069" t="s">
        <v>64</v>
      </c>
      <c r="H1069" t="s">
        <v>39</v>
      </c>
    </row>
    <row r="1070" spans="1:8" x14ac:dyDescent="0.25">
      <c r="A1070" t="s">
        <v>8</v>
      </c>
      <c r="B1070" t="s">
        <v>9</v>
      </c>
      <c r="C1070">
        <v>2</v>
      </c>
      <c r="D1070" s="9">
        <v>6000</v>
      </c>
      <c r="E1070" s="9">
        <f>+Tablo3[[#This Row],[Birim Fiyat]]*Tablo3[[#This Row],[Satış Adet]]</f>
        <v>12000</v>
      </c>
      <c r="F1070" s="9">
        <v>4000</v>
      </c>
      <c r="G1070" t="s">
        <v>64</v>
      </c>
      <c r="H1070" t="s">
        <v>42</v>
      </c>
    </row>
    <row r="1071" spans="1:8" x14ac:dyDescent="0.25">
      <c r="A1071" t="s">
        <v>12</v>
      </c>
      <c r="B1071" t="s">
        <v>13</v>
      </c>
      <c r="C1071">
        <v>2</v>
      </c>
      <c r="D1071" s="9">
        <v>1400</v>
      </c>
      <c r="E1071" s="9">
        <f>+Tablo3[[#This Row],[Birim Fiyat]]*Tablo3[[#This Row],[Satış Adet]]</f>
        <v>2800</v>
      </c>
      <c r="F1071" s="9">
        <v>1200</v>
      </c>
      <c r="G1071" t="s">
        <v>64</v>
      </c>
      <c r="H1071" t="s">
        <v>35</v>
      </c>
    </row>
    <row r="1072" spans="1:8" x14ac:dyDescent="0.25">
      <c r="A1072" t="s">
        <v>15</v>
      </c>
      <c r="B1072" t="s">
        <v>16</v>
      </c>
      <c r="C1072">
        <v>2</v>
      </c>
      <c r="D1072" s="9">
        <v>8450</v>
      </c>
      <c r="E1072" s="9">
        <f>+Tablo3[[#This Row],[Birim Fiyat]]*Tablo3[[#This Row],[Satış Adet]]</f>
        <v>16900</v>
      </c>
      <c r="F1072" s="9">
        <v>4900</v>
      </c>
      <c r="G1072" t="s">
        <v>64</v>
      </c>
      <c r="H1072" t="s">
        <v>11</v>
      </c>
    </row>
    <row r="1073" spans="1:8" x14ac:dyDescent="0.25">
      <c r="A1073" t="s">
        <v>18</v>
      </c>
      <c r="B1073" t="s">
        <v>19</v>
      </c>
      <c r="C1073">
        <v>3</v>
      </c>
      <c r="D1073" s="9">
        <v>1350</v>
      </c>
      <c r="E1073" s="9">
        <f>+Tablo3[[#This Row],[Birim Fiyat]]*Tablo3[[#This Row],[Satış Adet]]</f>
        <v>4050</v>
      </c>
      <c r="F1073" s="9">
        <v>1650</v>
      </c>
      <c r="G1073" t="s">
        <v>64</v>
      </c>
      <c r="H1073" t="s">
        <v>20</v>
      </c>
    </row>
    <row r="1074" spans="1:8" x14ac:dyDescent="0.25">
      <c r="A1074" t="s">
        <v>8</v>
      </c>
      <c r="B1074" t="s">
        <v>21</v>
      </c>
      <c r="C1074">
        <v>2</v>
      </c>
      <c r="D1074" s="9">
        <v>2180</v>
      </c>
      <c r="E1074" s="9">
        <f>+Tablo3[[#This Row],[Birim Fiyat]]*Tablo3[[#This Row],[Satış Adet]]</f>
        <v>4360</v>
      </c>
      <c r="F1074" s="9">
        <v>1360</v>
      </c>
      <c r="G1074" t="s">
        <v>64</v>
      </c>
      <c r="H1074" t="s">
        <v>24</v>
      </c>
    </row>
    <row r="1075" spans="1:8" x14ac:dyDescent="0.25">
      <c r="A1075" t="s">
        <v>22</v>
      </c>
      <c r="B1075" t="s">
        <v>23</v>
      </c>
      <c r="C1075">
        <v>2</v>
      </c>
      <c r="D1075" s="9">
        <v>7600</v>
      </c>
      <c r="E1075" s="9">
        <f>+Tablo3[[#This Row],[Birim Fiyat]]*Tablo3[[#This Row],[Satış Adet]]</f>
        <v>15200</v>
      </c>
      <c r="F1075" s="9">
        <v>3200</v>
      </c>
      <c r="G1075" t="s">
        <v>64</v>
      </c>
      <c r="H1075" t="s">
        <v>44</v>
      </c>
    </row>
    <row r="1076" spans="1:8" x14ac:dyDescent="0.25">
      <c r="A1076" t="s">
        <v>12</v>
      </c>
      <c r="B1076" t="s">
        <v>25</v>
      </c>
      <c r="C1076">
        <v>2</v>
      </c>
      <c r="D1076" s="9">
        <v>7250</v>
      </c>
      <c r="E1076" s="9">
        <f>+Tablo3[[#This Row],[Birim Fiyat]]*Tablo3[[#This Row],[Satış Adet]]</f>
        <v>14500</v>
      </c>
      <c r="F1076" s="9">
        <v>4500</v>
      </c>
      <c r="G1076" t="s">
        <v>64</v>
      </c>
      <c r="H1076" t="s">
        <v>44</v>
      </c>
    </row>
    <row r="1077" spans="1:8" x14ac:dyDescent="0.25">
      <c r="A1077" t="s">
        <v>18</v>
      </c>
      <c r="B1077" t="s">
        <v>26</v>
      </c>
      <c r="C1077">
        <v>3</v>
      </c>
      <c r="D1077" s="9">
        <v>1100</v>
      </c>
      <c r="E1077" s="9">
        <f>+Tablo3[[#This Row],[Birim Fiyat]]*Tablo3[[#This Row],[Satış Adet]]</f>
        <v>3300</v>
      </c>
      <c r="F1077" s="9">
        <v>900</v>
      </c>
      <c r="G1077" t="s">
        <v>64</v>
      </c>
      <c r="H1077" t="s">
        <v>14</v>
      </c>
    </row>
    <row r="1078" spans="1:8" x14ac:dyDescent="0.25">
      <c r="A1078" t="s">
        <v>67</v>
      </c>
      <c r="B1078" t="s">
        <v>9</v>
      </c>
      <c r="C1078">
        <v>2</v>
      </c>
      <c r="D1078" s="9">
        <v>6000</v>
      </c>
      <c r="E1078" s="9">
        <f>+Tablo3[[#This Row],[Birim Fiyat]]*Tablo3[[#This Row],[Satış Adet]]</f>
        <v>12000</v>
      </c>
      <c r="F1078" s="9">
        <v>4000</v>
      </c>
      <c r="G1078" t="s">
        <v>64</v>
      </c>
      <c r="H1078" t="s">
        <v>11</v>
      </c>
    </row>
    <row r="1079" spans="1:8" x14ac:dyDescent="0.25">
      <c r="A1079" t="s">
        <v>8</v>
      </c>
      <c r="B1079" t="s">
        <v>28</v>
      </c>
      <c r="C1079">
        <v>1</v>
      </c>
      <c r="D1079" s="9">
        <v>1200</v>
      </c>
      <c r="E1079" s="9">
        <f>+Tablo3[[#This Row],[Birim Fiyat]]*Tablo3[[#This Row],[Satış Adet]]</f>
        <v>1200</v>
      </c>
      <c r="F1079" s="9">
        <v>400</v>
      </c>
      <c r="G1079" t="s">
        <v>64</v>
      </c>
      <c r="H1079" t="s">
        <v>20</v>
      </c>
    </row>
    <row r="1080" spans="1:8" x14ac:dyDescent="0.25">
      <c r="A1080" t="s">
        <v>30</v>
      </c>
      <c r="B1080" t="s">
        <v>31</v>
      </c>
      <c r="C1080">
        <v>2</v>
      </c>
      <c r="D1080" s="9">
        <v>1800</v>
      </c>
      <c r="E1080" s="9">
        <f>+Tablo3[[#This Row],[Birim Fiyat]]*Tablo3[[#This Row],[Satış Adet]]</f>
        <v>3600</v>
      </c>
      <c r="F1080" s="9">
        <v>2000</v>
      </c>
      <c r="G1080" t="s">
        <v>64</v>
      </c>
      <c r="H1080" t="s">
        <v>29</v>
      </c>
    </row>
    <row r="1081" spans="1:8" x14ac:dyDescent="0.25">
      <c r="A1081" t="s">
        <v>30</v>
      </c>
      <c r="B1081" t="s">
        <v>32</v>
      </c>
      <c r="C1081">
        <v>2</v>
      </c>
      <c r="D1081" s="9">
        <v>1090</v>
      </c>
      <c r="E1081" s="9">
        <f>+Tablo3[[#This Row],[Birim Fiyat]]*Tablo3[[#This Row],[Satış Adet]]</f>
        <v>2180</v>
      </c>
      <c r="F1081" s="9">
        <v>580</v>
      </c>
      <c r="G1081" t="s">
        <v>64</v>
      </c>
      <c r="H1081" t="s">
        <v>20</v>
      </c>
    </row>
    <row r="1082" spans="1:8" x14ac:dyDescent="0.25">
      <c r="A1082" t="s">
        <v>67</v>
      </c>
      <c r="B1082" t="s">
        <v>21</v>
      </c>
      <c r="C1082">
        <v>3</v>
      </c>
      <c r="D1082" s="9">
        <v>2180</v>
      </c>
      <c r="E1082" s="9">
        <f>+Tablo3[[#This Row],[Birim Fiyat]]*Tablo3[[#This Row],[Satış Adet]]</f>
        <v>6540</v>
      </c>
      <c r="F1082" s="9">
        <v>2040</v>
      </c>
      <c r="G1082" t="s">
        <v>64</v>
      </c>
      <c r="H1082" t="s">
        <v>20</v>
      </c>
    </row>
    <row r="1083" spans="1:8" x14ac:dyDescent="0.25">
      <c r="A1083" t="s">
        <v>33</v>
      </c>
      <c r="B1083" t="s">
        <v>31</v>
      </c>
      <c r="C1083">
        <v>3</v>
      </c>
      <c r="D1083" s="9">
        <v>1800</v>
      </c>
      <c r="E1083" s="9">
        <f>+Tablo3[[#This Row],[Birim Fiyat]]*Tablo3[[#This Row],[Satış Adet]]</f>
        <v>5400</v>
      </c>
      <c r="F1083" s="9">
        <v>3000</v>
      </c>
      <c r="G1083" t="s">
        <v>64</v>
      </c>
      <c r="H1083" t="s">
        <v>20</v>
      </c>
    </row>
    <row r="1084" spans="1:8" x14ac:dyDescent="0.25">
      <c r="A1084" t="s">
        <v>22</v>
      </c>
      <c r="B1084" t="s">
        <v>34</v>
      </c>
      <c r="C1084">
        <v>3</v>
      </c>
      <c r="D1084" s="9">
        <v>8000</v>
      </c>
      <c r="E1084" s="9">
        <f>+Tablo3[[#This Row],[Birim Fiyat]]*Tablo3[[#This Row],[Satış Adet]]</f>
        <v>24000</v>
      </c>
      <c r="F1084" s="9">
        <v>6000</v>
      </c>
      <c r="G1084" t="s">
        <v>64</v>
      </c>
      <c r="H1084" t="s">
        <v>35</v>
      </c>
    </row>
    <row r="1085" spans="1:8" x14ac:dyDescent="0.25">
      <c r="A1085" t="s">
        <v>67</v>
      </c>
      <c r="B1085" t="s">
        <v>13</v>
      </c>
      <c r="C1085">
        <v>1</v>
      </c>
      <c r="D1085" s="9">
        <v>1400</v>
      </c>
      <c r="E1085" s="9">
        <f>+Tablo3[[#This Row],[Birim Fiyat]]*Tablo3[[#This Row],[Satış Adet]]</f>
        <v>1400</v>
      </c>
      <c r="F1085" s="9">
        <v>600</v>
      </c>
      <c r="G1085" t="s">
        <v>64</v>
      </c>
      <c r="H1085" t="s">
        <v>27</v>
      </c>
    </row>
    <row r="1086" spans="1:8" x14ac:dyDescent="0.25">
      <c r="A1086" t="s">
        <v>36</v>
      </c>
      <c r="B1086" t="s">
        <v>37</v>
      </c>
      <c r="C1086">
        <v>1</v>
      </c>
      <c r="D1086" s="9">
        <v>10590</v>
      </c>
      <c r="E1086" s="9">
        <f>+Tablo3[[#This Row],[Birim Fiyat]]*Tablo3[[#This Row],[Satış Adet]]</f>
        <v>10590</v>
      </c>
      <c r="F1086" s="9">
        <v>4590</v>
      </c>
      <c r="G1086" t="s">
        <v>64</v>
      </c>
      <c r="H1086" t="s">
        <v>24</v>
      </c>
    </row>
    <row r="1087" spans="1:8" x14ac:dyDescent="0.25">
      <c r="A1087" t="s">
        <v>38</v>
      </c>
      <c r="B1087" t="s">
        <v>19</v>
      </c>
      <c r="C1087">
        <v>2</v>
      </c>
      <c r="D1087" s="9">
        <v>1350</v>
      </c>
      <c r="E1087" s="9">
        <f>+Tablo3[[#This Row],[Birim Fiyat]]*Tablo3[[#This Row],[Satış Adet]]</f>
        <v>2700</v>
      </c>
      <c r="F1087" s="9">
        <v>1100</v>
      </c>
      <c r="G1087" t="s">
        <v>64</v>
      </c>
      <c r="H1087" t="s">
        <v>35</v>
      </c>
    </row>
    <row r="1088" spans="1:8" x14ac:dyDescent="0.25">
      <c r="A1088" t="s">
        <v>30</v>
      </c>
      <c r="B1088" t="s">
        <v>13</v>
      </c>
      <c r="C1088">
        <v>2</v>
      </c>
      <c r="D1088" s="9">
        <v>1400</v>
      </c>
      <c r="E1088" s="9">
        <f>+Tablo3[[#This Row],[Birim Fiyat]]*Tablo3[[#This Row],[Satış Adet]]</f>
        <v>2800</v>
      </c>
      <c r="F1088" s="9">
        <v>1200</v>
      </c>
      <c r="G1088" t="s">
        <v>64</v>
      </c>
      <c r="H1088" t="s">
        <v>14</v>
      </c>
    </row>
    <row r="1089" spans="1:8" x14ac:dyDescent="0.25">
      <c r="A1089" t="s">
        <v>18</v>
      </c>
      <c r="B1089" t="s">
        <v>9</v>
      </c>
      <c r="C1089">
        <v>1</v>
      </c>
      <c r="D1089" s="9">
        <v>6000</v>
      </c>
      <c r="E1089" s="9">
        <f>+Tablo3[[#This Row],[Birim Fiyat]]*Tablo3[[#This Row],[Satış Adet]]</f>
        <v>6000</v>
      </c>
      <c r="F1089" s="9">
        <v>2000</v>
      </c>
      <c r="G1089" t="s">
        <v>64</v>
      </c>
      <c r="H1089" t="s">
        <v>29</v>
      </c>
    </row>
    <row r="1090" spans="1:8" x14ac:dyDescent="0.25">
      <c r="A1090" t="s">
        <v>36</v>
      </c>
      <c r="B1090" t="s">
        <v>26</v>
      </c>
      <c r="C1090">
        <v>2</v>
      </c>
      <c r="D1090" s="9">
        <v>1100</v>
      </c>
      <c r="E1090" s="9">
        <f>+Tablo3[[#This Row],[Birim Fiyat]]*Tablo3[[#This Row],[Satış Adet]]</f>
        <v>2200</v>
      </c>
      <c r="F1090" s="9">
        <v>600</v>
      </c>
      <c r="G1090" t="s">
        <v>64</v>
      </c>
      <c r="H1090" t="s">
        <v>52</v>
      </c>
    </row>
    <row r="1091" spans="1:8" x14ac:dyDescent="0.25">
      <c r="A1091" t="s">
        <v>15</v>
      </c>
      <c r="B1091" t="s">
        <v>9</v>
      </c>
      <c r="C1091">
        <v>2</v>
      </c>
      <c r="D1091" s="9">
        <v>6000</v>
      </c>
      <c r="E1091" s="9">
        <f>+Tablo3[[#This Row],[Birim Fiyat]]*Tablo3[[#This Row],[Satış Adet]]</f>
        <v>12000</v>
      </c>
      <c r="F1091" s="9">
        <v>4000</v>
      </c>
      <c r="G1091" t="s">
        <v>64</v>
      </c>
      <c r="H1091" t="s">
        <v>20</v>
      </c>
    </row>
    <row r="1092" spans="1:8" x14ac:dyDescent="0.25">
      <c r="A1092" t="s">
        <v>38</v>
      </c>
      <c r="B1092" t="s">
        <v>41</v>
      </c>
      <c r="C1092">
        <v>1</v>
      </c>
      <c r="D1092" s="9">
        <v>1490</v>
      </c>
      <c r="E1092" s="9">
        <f>+Tablo3[[#This Row],[Birim Fiyat]]*Tablo3[[#This Row],[Satış Adet]]</f>
        <v>1490</v>
      </c>
      <c r="F1092" s="9">
        <v>690</v>
      </c>
      <c r="G1092" t="s">
        <v>64</v>
      </c>
      <c r="H1092" t="s">
        <v>29</v>
      </c>
    </row>
    <row r="1093" spans="1:8" x14ac:dyDescent="0.25">
      <c r="A1093" t="s">
        <v>36</v>
      </c>
      <c r="B1093" t="s">
        <v>37</v>
      </c>
      <c r="C1093">
        <v>2</v>
      </c>
      <c r="D1093" s="9">
        <v>10590</v>
      </c>
      <c r="E1093" s="9">
        <f>+Tablo3[[#This Row],[Birim Fiyat]]*Tablo3[[#This Row],[Satış Adet]]</f>
        <v>21180</v>
      </c>
      <c r="F1093" s="9">
        <v>9180</v>
      </c>
      <c r="G1093" t="s">
        <v>64</v>
      </c>
      <c r="H1093" t="s">
        <v>14</v>
      </c>
    </row>
    <row r="1094" spans="1:8" x14ac:dyDescent="0.25">
      <c r="A1094" t="s">
        <v>15</v>
      </c>
      <c r="B1094" t="s">
        <v>34</v>
      </c>
      <c r="C1094">
        <v>3</v>
      </c>
      <c r="D1094" s="9">
        <v>8000</v>
      </c>
      <c r="E1094" s="9">
        <f>+Tablo3[[#This Row],[Birim Fiyat]]*Tablo3[[#This Row],[Satış Adet]]</f>
        <v>24000</v>
      </c>
      <c r="F1094" s="9">
        <v>6000</v>
      </c>
      <c r="G1094" t="s">
        <v>64</v>
      </c>
      <c r="H1094" t="s">
        <v>42</v>
      </c>
    </row>
    <row r="1095" spans="1:8" x14ac:dyDescent="0.25">
      <c r="A1095" t="s">
        <v>30</v>
      </c>
      <c r="B1095" t="s">
        <v>26</v>
      </c>
      <c r="C1095">
        <v>1</v>
      </c>
      <c r="D1095" s="9">
        <v>1100</v>
      </c>
      <c r="E1095" s="9">
        <f>+Tablo3[[#This Row],[Birim Fiyat]]*Tablo3[[#This Row],[Satış Adet]]</f>
        <v>1100</v>
      </c>
      <c r="F1095" s="9">
        <v>300</v>
      </c>
      <c r="G1095" t="s">
        <v>64</v>
      </c>
      <c r="H1095" t="s">
        <v>44</v>
      </c>
    </row>
    <row r="1096" spans="1:8" x14ac:dyDescent="0.25">
      <c r="A1096" t="s">
        <v>38</v>
      </c>
      <c r="B1096" t="s">
        <v>28</v>
      </c>
      <c r="C1096">
        <v>1</v>
      </c>
      <c r="D1096" s="9">
        <v>1200</v>
      </c>
      <c r="E1096" s="9">
        <f>+Tablo3[[#This Row],[Birim Fiyat]]*Tablo3[[#This Row],[Satış Adet]]</f>
        <v>1200</v>
      </c>
      <c r="F1096" s="9">
        <v>400</v>
      </c>
      <c r="G1096" t="s">
        <v>64</v>
      </c>
      <c r="H1096" t="s">
        <v>44</v>
      </c>
    </row>
    <row r="1097" spans="1:8" x14ac:dyDescent="0.25">
      <c r="A1097" t="s">
        <v>22</v>
      </c>
      <c r="B1097" t="s">
        <v>43</v>
      </c>
      <c r="C1097">
        <v>2</v>
      </c>
      <c r="D1097" s="9">
        <v>4200</v>
      </c>
      <c r="E1097" s="9">
        <f>+Tablo3[[#This Row],[Birim Fiyat]]*Tablo3[[#This Row],[Satış Adet]]</f>
        <v>8400</v>
      </c>
      <c r="F1097" s="9">
        <v>2400</v>
      </c>
      <c r="G1097" t="s">
        <v>64</v>
      </c>
      <c r="H1097" t="s">
        <v>24</v>
      </c>
    </row>
    <row r="1098" spans="1:8" x14ac:dyDescent="0.25">
      <c r="A1098" t="s">
        <v>12</v>
      </c>
      <c r="B1098" t="s">
        <v>45</v>
      </c>
      <c r="C1098">
        <v>3</v>
      </c>
      <c r="D1098" s="9">
        <v>5775</v>
      </c>
      <c r="E1098" s="9">
        <f>+Tablo3[[#This Row],[Birim Fiyat]]*Tablo3[[#This Row],[Satış Adet]]</f>
        <v>17325</v>
      </c>
      <c r="F1098" s="9">
        <v>5325</v>
      </c>
      <c r="G1098" t="s">
        <v>64</v>
      </c>
      <c r="H1098" t="s">
        <v>40</v>
      </c>
    </row>
    <row r="1099" spans="1:8" x14ac:dyDescent="0.25">
      <c r="A1099" t="s">
        <v>46</v>
      </c>
      <c r="B1099" t="s">
        <v>23</v>
      </c>
      <c r="C1099">
        <v>3</v>
      </c>
      <c r="D1099" s="9">
        <v>7600</v>
      </c>
      <c r="E1099" s="9">
        <f>+Tablo3[[#This Row],[Birim Fiyat]]*Tablo3[[#This Row],[Satış Adet]]</f>
        <v>22800</v>
      </c>
      <c r="F1099" s="9">
        <v>4800</v>
      </c>
      <c r="G1099" t="s">
        <v>64</v>
      </c>
      <c r="H1099" t="s">
        <v>42</v>
      </c>
    </row>
    <row r="1100" spans="1:8" x14ac:dyDescent="0.25">
      <c r="A1100" t="s">
        <v>12</v>
      </c>
      <c r="B1100" t="s">
        <v>25</v>
      </c>
      <c r="C1100">
        <v>3</v>
      </c>
      <c r="D1100" s="9">
        <v>7250</v>
      </c>
      <c r="E1100" s="9">
        <f>+Tablo3[[#This Row],[Birim Fiyat]]*Tablo3[[#This Row],[Satış Adet]]</f>
        <v>21750</v>
      </c>
      <c r="F1100" s="9">
        <v>6750</v>
      </c>
      <c r="G1100" t="s">
        <v>64</v>
      </c>
      <c r="H1100" t="s">
        <v>52</v>
      </c>
    </row>
    <row r="1101" spans="1:8" x14ac:dyDescent="0.25">
      <c r="A1101" t="s">
        <v>8</v>
      </c>
      <c r="B1101" t="s">
        <v>25</v>
      </c>
      <c r="C1101">
        <v>3</v>
      </c>
      <c r="D1101" s="9">
        <v>7250</v>
      </c>
      <c r="E1101" s="9">
        <f>+Tablo3[[#This Row],[Birim Fiyat]]*Tablo3[[#This Row],[Satış Adet]]</f>
        <v>21750</v>
      </c>
      <c r="F1101" s="9">
        <v>6750</v>
      </c>
      <c r="G1101" t="s">
        <v>64</v>
      </c>
      <c r="H1101" t="s">
        <v>44</v>
      </c>
    </row>
    <row r="1102" spans="1:8" x14ac:dyDescent="0.25">
      <c r="A1102" t="s">
        <v>36</v>
      </c>
      <c r="B1102" t="s">
        <v>25</v>
      </c>
      <c r="C1102">
        <v>3</v>
      </c>
      <c r="D1102" s="9">
        <v>7250</v>
      </c>
      <c r="E1102" s="9">
        <f>+Tablo3[[#This Row],[Birim Fiyat]]*Tablo3[[#This Row],[Satış Adet]]</f>
        <v>21750</v>
      </c>
      <c r="F1102" s="9">
        <v>6750</v>
      </c>
      <c r="G1102" t="s">
        <v>64</v>
      </c>
      <c r="H1102" t="s">
        <v>14</v>
      </c>
    </row>
    <row r="1103" spans="1:8" x14ac:dyDescent="0.25">
      <c r="A1103" t="s">
        <v>67</v>
      </c>
      <c r="B1103" t="s">
        <v>19</v>
      </c>
      <c r="C1103">
        <v>1</v>
      </c>
      <c r="D1103" s="9">
        <v>1350</v>
      </c>
      <c r="E1103" s="9">
        <f>+Tablo3[[#This Row],[Birim Fiyat]]*Tablo3[[#This Row],[Satış Adet]]</f>
        <v>1350</v>
      </c>
      <c r="F1103" s="9">
        <v>550</v>
      </c>
      <c r="G1103" t="s">
        <v>64</v>
      </c>
      <c r="H1103" t="s">
        <v>39</v>
      </c>
    </row>
    <row r="1104" spans="1:8" x14ac:dyDescent="0.25">
      <c r="A1104" t="s">
        <v>12</v>
      </c>
      <c r="B1104" t="s">
        <v>25</v>
      </c>
      <c r="C1104">
        <v>2</v>
      </c>
      <c r="D1104" s="9">
        <v>7250</v>
      </c>
      <c r="E1104" s="9">
        <f>+Tablo3[[#This Row],[Birim Fiyat]]*Tablo3[[#This Row],[Satış Adet]]</f>
        <v>14500</v>
      </c>
      <c r="F1104" s="9">
        <v>4500</v>
      </c>
      <c r="G1104" t="s">
        <v>64</v>
      </c>
      <c r="H1104" t="s">
        <v>39</v>
      </c>
    </row>
    <row r="1105" spans="1:8" x14ac:dyDescent="0.25">
      <c r="A1105" t="s">
        <v>30</v>
      </c>
      <c r="B1105" t="s">
        <v>23</v>
      </c>
      <c r="C1105">
        <v>1</v>
      </c>
      <c r="D1105" s="9">
        <v>7600</v>
      </c>
      <c r="E1105" s="9">
        <f>+Tablo3[[#This Row],[Birim Fiyat]]*Tablo3[[#This Row],[Satış Adet]]</f>
        <v>7600</v>
      </c>
      <c r="F1105" s="9">
        <v>1600</v>
      </c>
      <c r="G1105" t="s">
        <v>64</v>
      </c>
      <c r="H1105" t="s">
        <v>29</v>
      </c>
    </row>
    <row r="1106" spans="1:8" x14ac:dyDescent="0.25">
      <c r="A1106" t="s">
        <v>48</v>
      </c>
      <c r="B1106" t="s">
        <v>23</v>
      </c>
      <c r="C1106">
        <v>3</v>
      </c>
      <c r="D1106" s="9">
        <v>7600</v>
      </c>
      <c r="E1106" s="9">
        <f>+Tablo3[[#This Row],[Birim Fiyat]]*Tablo3[[#This Row],[Satış Adet]]</f>
        <v>22800</v>
      </c>
      <c r="F1106" s="9">
        <v>4800</v>
      </c>
      <c r="G1106" t="s">
        <v>64</v>
      </c>
      <c r="H1106" t="s">
        <v>20</v>
      </c>
    </row>
    <row r="1107" spans="1:8" x14ac:dyDescent="0.25">
      <c r="A1107" t="s">
        <v>12</v>
      </c>
      <c r="B1107" t="s">
        <v>41</v>
      </c>
      <c r="C1107">
        <v>3</v>
      </c>
      <c r="D1107" s="9">
        <v>1490</v>
      </c>
      <c r="E1107" s="9">
        <f>+Tablo3[[#This Row],[Birim Fiyat]]*Tablo3[[#This Row],[Satış Adet]]</f>
        <v>4470</v>
      </c>
      <c r="F1107" s="9">
        <v>2070</v>
      </c>
      <c r="G1107" t="s">
        <v>64</v>
      </c>
      <c r="H1107" t="s">
        <v>24</v>
      </c>
    </row>
    <row r="1108" spans="1:8" x14ac:dyDescent="0.25">
      <c r="A1108" t="s">
        <v>67</v>
      </c>
      <c r="B1108" t="s">
        <v>49</v>
      </c>
      <c r="C1108">
        <v>2</v>
      </c>
      <c r="D1108" s="9">
        <v>2900</v>
      </c>
      <c r="E1108" s="9">
        <f>+Tablo3[[#This Row],[Birim Fiyat]]*Tablo3[[#This Row],[Satış Adet]]</f>
        <v>5800</v>
      </c>
      <c r="F1108" s="9">
        <v>1800</v>
      </c>
      <c r="G1108" t="s">
        <v>64</v>
      </c>
      <c r="H1108" t="s">
        <v>27</v>
      </c>
    </row>
    <row r="1109" spans="1:8" x14ac:dyDescent="0.25">
      <c r="A1109" t="s">
        <v>38</v>
      </c>
      <c r="B1109" t="s">
        <v>41</v>
      </c>
      <c r="C1109">
        <v>1</v>
      </c>
      <c r="D1109" s="9">
        <v>1490</v>
      </c>
      <c r="E1109" s="9">
        <f>+Tablo3[[#This Row],[Birim Fiyat]]*Tablo3[[#This Row],[Satış Adet]]</f>
        <v>1490</v>
      </c>
      <c r="F1109" s="9">
        <v>690</v>
      </c>
      <c r="G1109" t="s">
        <v>64</v>
      </c>
      <c r="H1109" t="s">
        <v>44</v>
      </c>
    </row>
    <row r="1110" spans="1:8" x14ac:dyDescent="0.25">
      <c r="A1110" t="s">
        <v>38</v>
      </c>
      <c r="B1110" t="s">
        <v>32</v>
      </c>
      <c r="C1110">
        <v>2</v>
      </c>
      <c r="D1110" s="9">
        <v>1090</v>
      </c>
      <c r="E1110" s="9">
        <f>+Tablo3[[#This Row],[Birim Fiyat]]*Tablo3[[#This Row],[Satış Adet]]</f>
        <v>2180</v>
      </c>
      <c r="F1110" s="9">
        <v>580</v>
      </c>
      <c r="G1110" t="s">
        <v>64</v>
      </c>
      <c r="H1110" t="s">
        <v>24</v>
      </c>
    </row>
    <row r="1111" spans="1:8" x14ac:dyDescent="0.25">
      <c r="A1111" t="s">
        <v>67</v>
      </c>
      <c r="B1111" t="s">
        <v>28</v>
      </c>
      <c r="C1111">
        <v>2</v>
      </c>
      <c r="D1111" s="9">
        <v>1200</v>
      </c>
      <c r="E1111" s="9">
        <f>+Tablo3[[#This Row],[Birim Fiyat]]*Tablo3[[#This Row],[Satış Adet]]</f>
        <v>2400</v>
      </c>
      <c r="F1111" s="9">
        <v>800</v>
      </c>
      <c r="G1111" t="s">
        <v>64</v>
      </c>
      <c r="H1111" t="s">
        <v>44</v>
      </c>
    </row>
    <row r="1112" spans="1:8" x14ac:dyDescent="0.25">
      <c r="A1112" t="s">
        <v>36</v>
      </c>
      <c r="B1112" t="s">
        <v>37</v>
      </c>
      <c r="C1112">
        <v>2</v>
      </c>
      <c r="D1112" s="9">
        <v>10590</v>
      </c>
      <c r="E1112" s="9">
        <f>+Tablo3[[#This Row],[Birim Fiyat]]*Tablo3[[#This Row],[Satış Adet]]</f>
        <v>21180</v>
      </c>
      <c r="F1112" s="9">
        <v>9180</v>
      </c>
      <c r="G1112" t="s">
        <v>64</v>
      </c>
      <c r="H1112" t="s">
        <v>27</v>
      </c>
    </row>
    <row r="1113" spans="1:8" x14ac:dyDescent="0.25">
      <c r="A1113" t="s">
        <v>30</v>
      </c>
      <c r="B1113" t="s">
        <v>43</v>
      </c>
      <c r="C1113">
        <v>3</v>
      </c>
      <c r="D1113" s="9">
        <v>4200</v>
      </c>
      <c r="E1113" s="9">
        <f>+Tablo3[[#This Row],[Birim Fiyat]]*Tablo3[[#This Row],[Satış Adet]]</f>
        <v>12600</v>
      </c>
      <c r="F1113" s="9">
        <v>3600</v>
      </c>
      <c r="G1113" t="s">
        <v>64</v>
      </c>
      <c r="H1113" t="s">
        <v>35</v>
      </c>
    </row>
    <row r="1114" spans="1:8" x14ac:dyDescent="0.25">
      <c r="A1114" t="s">
        <v>18</v>
      </c>
      <c r="B1114" t="s">
        <v>43</v>
      </c>
      <c r="C1114">
        <v>3</v>
      </c>
      <c r="D1114" s="9">
        <v>4200</v>
      </c>
      <c r="E1114" s="9">
        <f>+Tablo3[[#This Row],[Birim Fiyat]]*Tablo3[[#This Row],[Satış Adet]]</f>
        <v>12600</v>
      </c>
      <c r="F1114" s="9">
        <v>3600</v>
      </c>
      <c r="G1114" t="s">
        <v>64</v>
      </c>
      <c r="H1114" t="s">
        <v>39</v>
      </c>
    </row>
    <row r="1115" spans="1:8" x14ac:dyDescent="0.25">
      <c r="A1115" t="s">
        <v>33</v>
      </c>
      <c r="B1115" t="s">
        <v>37</v>
      </c>
      <c r="C1115">
        <v>2</v>
      </c>
      <c r="D1115" s="9">
        <v>10590</v>
      </c>
      <c r="E1115" s="9">
        <f>+Tablo3[[#This Row],[Birim Fiyat]]*Tablo3[[#This Row],[Satış Adet]]</f>
        <v>21180</v>
      </c>
      <c r="F1115" s="9">
        <v>9180</v>
      </c>
      <c r="G1115" t="s">
        <v>64</v>
      </c>
      <c r="H1115" t="s">
        <v>11</v>
      </c>
    </row>
    <row r="1116" spans="1:8" x14ac:dyDescent="0.25">
      <c r="A1116" t="s">
        <v>48</v>
      </c>
      <c r="B1116" t="s">
        <v>50</v>
      </c>
      <c r="C1116">
        <v>1</v>
      </c>
      <c r="D1116" s="9">
        <v>1250</v>
      </c>
      <c r="E1116" s="9">
        <f>+Tablo3[[#This Row],[Birim Fiyat]]*Tablo3[[#This Row],[Satış Adet]]</f>
        <v>1250</v>
      </c>
      <c r="F1116" s="9">
        <v>450</v>
      </c>
      <c r="G1116" t="s">
        <v>64</v>
      </c>
      <c r="H1116" t="s">
        <v>24</v>
      </c>
    </row>
    <row r="1117" spans="1:8" x14ac:dyDescent="0.25">
      <c r="A1117" t="s">
        <v>8</v>
      </c>
      <c r="B1117" t="s">
        <v>41</v>
      </c>
      <c r="C1117">
        <v>3</v>
      </c>
      <c r="D1117" s="9">
        <v>1490</v>
      </c>
      <c r="E1117" s="9">
        <f>+Tablo3[[#This Row],[Birim Fiyat]]*Tablo3[[#This Row],[Satış Adet]]</f>
        <v>4470</v>
      </c>
      <c r="F1117" s="9">
        <v>2070</v>
      </c>
      <c r="G1117" t="s">
        <v>64</v>
      </c>
      <c r="H1117" t="s">
        <v>20</v>
      </c>
    </row>
    <row r="1118" spans="1:8" x14ac:dyDescent="0.25">
      <c r="A1118" t="s">
        <v>30</v>
      </c>
      <c r="B1118" t="s">
        <v>28</v>
      </c>
      <c r="C1118">
        <v>2</v>
      </c>
      <c r="D1118" s="9">
        <v>1200</v>
      </c>
      <c r="E1118" s="9">
        <f>+Tablo3[[#This Row],[Birim Fiyat]]*Tablo3[[#This Row],[Satış Adet]]</f>
        <v>2400</v>
      </c>
      <c r="F1118" s="9">
        <v>800</v>
      </c>
      <c r="G1118" t="s">
        <v>64</v>
      </c>
      <c r="H1118" t="s">
        <v>11</v>
      </c>
    </row>
    <row r="1119" spans="1:8" x14ac:dyDescent="0.25">
      <c r="A1119" t="s">
        <v>15</v>
      </c>
      <c r="B1119" t="s">
        <v>21</v>
      </c>
      <c r="C1119">
        <v>3</v>
      </c>
      <c r="D1119" s="9">
        <v>2180</v>
      </c>
      <c r="E1119" s="9">
        <f>+Tablo3[[#This Row],[Birim Fiyat]]*Tablo3[[#This Row],[Satış Adet]]</f>
        <v>6540</v>
      </c>
      <c r="F1119" s="9">
        <v>2040</v>
      </c>
      <c r="G1119" t="s">
        <v>64</v>
      </c>
      <c r="H1119" t="s">
        <v>44</v>
      </c>
    </row>
    <row r="1120" spans="1:8" x14ac:dyDescent="0.25">
      <c r="A1120" t="s">
        <v>38</v>
      </c>
      <c r="B1120" t="s">
        <v>51</v>
      </c>
      <c r="C1120">
        <v>3</v>
      </c>
      <c r="D1120" s="9">
        <v>1200</v>
      </c>
      <c r="E1120" s="9">
        <f>+Tablo3[[#This Row],[Birim Fiyat]]*Tablo3[[#This Row],[Satış Adet]]</f>
        <v>3600</v>
      </c>
      <c r="F1120" s="9">
        <v>1200</v>
      </c>
      <c r="G1120" t="s">
        <v>64</v>
      </c>
      <c r="H1120" t="s">
        <v>20</v>
      </c>
    </row>
    <row r="1121" spans="1:8" x14ac:dyDescent="0.25">
      <c r="A1121" t="s">
        <v>8</v>
      </c>
      <c r="B1121" t="s">
        <v>31</v>
      </c>
      <c r="C1121">
        <v>1</v>
      </c>
      <c r="D1121" s="9">
        <v>1800</v>
      </c>
      <c r="E1121" s="9">
        <f>+Tablo3[[#This Row],[Birim Fiyat]]*Tablo3[[#This Row],[Satış Adet]]</f>
        <v>1800</v>
      </c>
      <c r="F1121" s="9">
        <v>1000</v>
      </c>
      <c r="G1121" t="s">
        <v>64</v>
      </c>
      <c r="H1121" t="s">
        <v>40</v>
      </c>
    </row>
    <row r="1122" spans="1:8" x14ac:dyDescent="0.25">
      <c r="A1122" t="s">
        <v>15</v>
      </c>
      <c r="B1122" t="s">
        <v>23</v>
      </c>
      <c r="C1122">
        <v>1</v>
      </c>
      <c r="D1122" s="9">
        <v>7600</v>
      </c>
      <c r="E1122" s="9">
        <f>+Tablo3[[#This Row],[Birim Fiyat]]*Tablo3[[#This Row],[Satış Adet]]</f>
        <v>7600</v>
      </c>
      <c r="F1122" s="9">
        <v>1600</v>
      </c>
      <c r="G1122" t="s">
        <v>64</v>
      </c>
      <c r="H1122" t="s">
        <v>42</v>
      </c>
    </row>
    <row r="1123" spans="1:8" x14ac:dyDescent="0.25">
      <c r="A1123" t="s">
        <v>33</v>
      </c>
      <c r="B1123" t="s">
        <v>53</v>
      </c>
      <c r="C1123">
        <v>1</v>
      </c>
      <c r="D1123" s="9">
        <v>7530</v>
      </c>
      <c r="E1123" s="9">
        <f>+Tablo3[[#This Row],[Birim Fiyat]]*Tablo3[[#This Row],[Satış Adet]]</f>
        <v>7530</v>
      </c>
      <c r="F1123" s="9">
        <v>1530</v>
      </c>
      <c r="G1123" t="s">
        <v>64</v>
      </c>
      <c r="H1123" t="s">
        <v>42</v>
      </c>
    </row>
    <row r="1124" spans="1:8" x14ac:dyDescent="0.25">
      <c r="A1124" t="s">
        <v>48</v>
      </c>
      <c r="B1124" t="s">
        <v>41</v>
      </c>
      <c r="C1124">
        <v>2</v>
      </c>
      <c r="D1124" s="9">
        <v>1490</v>
      </c>
      <c r="E1124" s="9">
        <f>+Tablo3[[#This Row],[Birim Fiyat]]*Tablo3[[#This Row],[Satış Adet]]</f>
        <v>2980</v>
      </c>
      <c r="F1124" s="9">
        <v>1380</v>
      </c>
      <c r="G1124" t="s">
        <v>64</v>
      </c>
      <c r="H1124" t="s">
        <v>42</v>
      </c>
    </row>
    <row r="1125" spans="1:8" x14ac:dyDescent="0.25">
      <c r="A1125" t="s">
        <v>8</v>
      </c>
      <c r="B1125" t="s">
        <v>54</v>
      </c>
      <c r="C1125">
        <v>1</v>
      </c>
      <c r="D1125" s="9">
        <v>5300</v>
      </c>
      <c r="E1125" s="9">
        <f>+Tablo3[[#This Row],[Birim Fiyat]]*Tablo3[[#This Row],[Satış Adet]]</f>
        <v>5300</v>
      </c>
      <c r="F1125" s="9">
        <v>1300</v>
      </c>
      <c r="G1125" t="s">
        <v>64</v>
      </c>
      <c r="H1125" t="s">
        <v>27</v>
      </c>
    </row>
    <row r="1126" spans="1:8" x14ac:dyDescent="0.25">
      <c r="A1126" t="s">
        <v>22</v>
      </c>
      <c r="B1126" t="s">
        <v>28</v>
      </c>
      <c r="C1126">
        <v>2</v>
      </c>
      <c r="D1126" s="9">
        <v>1200</v>
      </c>
      <c r="E1126" s="9">
        <f>+Tablo3[[#This Row],[Birim Fiyat]]*Tablo3[[#This Row],[Satış Adet]]</f>
        <v>2400</v>
      </c>
      <c r="F1126" s="9">
        <v>800</v>
      </c>
      <c r="G1126" t="s">
        <v>64</v>
      </c>
      <c r="H1126" t="s">
        <v>40</v>
      </c>
    </row>
    <row r="1127" spans="1:8" x14ac:dyDescent="0.25">
      <c r="A1127" t="s">
        <v>38</v>
      </c>
      <c r="B1127" t="s">
        <v>32</v>
      </c>
      <c r="C1127">
        <v>1</v>
      </c>
      <c r="D1127" s="9">
        <v>1090</v>
      </c>
      <c r="E1127" s="9">
        <f>+Tablo3[[#This Row],[Birim Fiyat]]*Tablo3[[#This Row],[Satış Adet]]</f>
        <v>1090</v>
      </c>
      <c r="F1127" s="9">
        <v>290</v>
      </c>
      <c r="G1127" t="s">
        <v>64</v>
      </c>
      <c r="H1127" t="s">
        <v>42</v>
      </c>
    </row>
    <row r="1128" spans="1:8" x14ac:dyDescent="0.25">
      <c r="A1128" t="s">
        <v>22</v>
      </c>
      <c r="B1128" t="s">
        <v>25</v>
      </c>
      <c r="C1128">
        <v>1</v>
      </c>
      <c r="D1128" s="9">
        <v>7250</v>
      </c>
      <c r="E1128" s="9">
        <f>+Tablo3[[#This Row],[Birim Fiyat]]*Tablo3[[#This Row],[Satış Adet]]</f>
        <v>7250</v>
      </c>
      <c r="F1128" s="9">
        <v>2250</v>
      </c>
      <c r="G1128" t="s">
        <v>64</v>
      </c>
      <c r="H1128" t="s">
        <v>35</v>
      </c>
    </row>
    <row r="1129" spans="1:8" x14ac:dyDescent="0.25">
      <c r="A1129" t="s">
        <v>46</v>
      </c>
      <c r="B1129" t="s">
        <v>13</v>
      </c>
      <c r="C1129">
        <v>3</v>
      </c>
      <c r="D1129" s="9">
        <v>1400</v>
      </c>
      <c r="E1129" s="9">
        <f>+Tablo3[[#This Row],[Birim Fiyat]]*Tablo3[[#This Row],[Satış Adet]]</f>
        <v>4200</v>
      </c>
      <c r="F1129" s="9">
        <v>1800</v>
      </c>
      <c r="G1129" t="s">
        <v>64</v>
      </c>
      <c r="H1129" t="s">
        <v>35</v>
      </c>
    </row>
    <row r="1130" spans="1:8" x14ac:dyDescent="0.25">
      <c r="A1130" t="s">
        <v>15</v>
      </c>
      <c r="B1130" t="s">
        <v>55</v>
      </c>
      <c r="C1130">
        <v>1</v>
      </c>
      <c r="D1130" s="9">
        <v>1500</v>
      </c>
      <c r="E1130" s="9">
        <f>+Tablo3[[#This Row],[Birim Fiyat]]*Tablo3[[#This Row],[Satış Adet]]</f>
        <v>1500</v>
      </c>
      <c r="F1130" s="9">
        <v>700</v>
      </c>
      <c r="G1130" t="s">
        <v>64</v>
      </c>
      <c r="H1130" t="s">
        <v>42</v>
      </c>
    </row>
    <row r="1131" spans="1:8" x14ac:dyDescent="0.25">
      <c r="A1131" t="s">
        <v>33</v>
      </c>
      <c r="B1131" t="s">
        <v>19</v>
      </c>
      <c r="C1131">
        <v>1</v>
      </c>
      <c r="D1131" s="9">
        <v>1350</v>
      </c>
      <c r="E1131" s="9">
        <f>+Tablo3[[#This Row],[Birim Fiyat]]*Tablo3[[#This Row],[Satış Adet]]</f>
        <v>1350</v>
      </c>
      <c r="F1131" s="9">
        <v>550</v>
      </c>
      <c r="G1131" t="s">
        <v>64</v>
      </c>
      <c r="H1131" t="s">
        <v>20</v>
      </c>
    </row>
    <row r="1132" spans="1:8" x14ac:dyDescent="0.25">
      <c r="A1132" t="s">
        <v>33</v>
      </c>
      <c r="B1132" t="s">
        <v>28</v>
      </c>
      <c r="C1132">
        <v>3</v>
      </c>
      <c r="D1132" s="9">
        <v>1200</v>
      </c>
      <c r="E1132" s="9">
        <f>+Tablo3[[#This Row],[Birim Fiyat]]*Tablo3[[#This Row],[Satış Adet]]</f>
        <v>3600</v>
      </c>
      <c r="F1132" s="9">
        <v>1200</v>
      </c>
      <c r="G1132" t="s">
        <v>64</v>
      </c>
      <c r="H1132" t="s">
        <v>40</v>
      </c>
    </row>
    <row r="1133" spans="1:8" x14ac:dyDescent="0.25">
      <c r="A1133" t="s">
        <v>12</v>
      </c>
      <c r="B1133" t="s">
        <v>53</v>
      </c>
      <c r="C1133">
        <v>3</v>
      </c>
      <c r="D1133" s="9">
        <v>7530</v>
      </c>
      <c r="E1133" s="9">
        <f>+Tablo3[[#This Row],[Birim Fiyat]]*Tablo3[[#This Row],[Satış Adet]]</f>
        <v>22590</v>
      </c>
      <c r="F1133" s="9">
        <v>4590</v>
      </c>
      <c r="G1133" t="s">
        <v>64</v>
      </c>
      <c r="H1133" t="s">
        <v>42</v>
      </c>
    </row>
    <row r="1134" spans="1:8" x14ac:dyDescent="0.25">
      <c r="A1134" t="s">
        <v>46</v>
      </c>
      <c r="B1134" t="s">
        <v>28</v>
      </c>
      <c r="C1134">
        <v>1</v>
      </c>
      <c r="D1134" s="9">
        <v>1200</v>
      </c>
      <c r="E1134" s="9">
        <f>+Tablo3[[#This Row],[Birim Fiyat]]*Tablo3[[#This Row],[Satış Adet]]</f>
        <v>1200</v>
      </c>
      <c r="F1134" s="9">
        <v>400</v>
      </c>
      <c r="G1134" t="s">
        <v>64</v>
      </c>
      <c r="H1134" t="s">
        <v>42</v>
      </c>
    </row>
    <row r="1135" spans="1:8" x14ac:dyDescent="0.25">
      <c r="A1135" t="s">
        <v>36</v>
      </c>
      <c r="B1135" t="s">
        <v>31</v>
      </c>
      <c r="C1135">
        <v>3</v>
      </c>
      <c r="D1135" s="9">
        <v>1800</v>
      </c>
      <c r="E1135" s="9">
        <f>+Tablo3[[#This Row],[Birim Fiyat]]*Tablo3[[#This Row],[Satış Adet]]</f>
        <v>5400</v>
      </c>
      <c r="F1135" s="9">
        <v>3000</v>
      </c>
      <c r="G1135" t="s">
        <v>64</v>
      </c>
      <c r="H1135" t="s">
        <v>24</v>
      </c>
    </row>
    <row r="1136" spans="1:8" x14ac:dyDescent="0.25">
      <c r="A1136" t="s">
        <v>8</v>
      </c>
      <c r="B1136" t="s">
        <v>25</v>
      </c>
      <c r="C1136">
        <v>1</v>
      </c>
      <c r="D1136" s="9">
        <v>7250</v>
      </c>
      <c r="E1136" s="9">
        <f>+Tablo3[[#This Row],[Birim Fiyat]]*Tablo3[[#This Row],[Satış Adet]]</f>
        <v>7250</v>
      </c>
      <c r="F1136" s="9">
        <v>2250</v>
      </c>
      <c r="G1136" t="s">
        <v>64</v>
      </c>
      <c r="H1136" t="s">
        <v>17</v>
      </c>
    </row>
    <row r="1137" spans="1:8" x14ac:dyDescent="0.25">
      <c r="A1137" t="s">
        <v>38</v>
      </c>
      <c r="B1137" t="s">
        <v>41</v>
      </c>
      <c r="C1137">
        <v>3</v>
      </c>
      <c r="D1137" s="9">
        <v>1490</v>
      </c>
      <c r="E1137" s="9">
        <f>+Tablo3[[#This Row],[Birim Fiyat]]*Tablo3[[#This Row],[Satış Adet]]</f>
        <v>4470</v>
      </c>
      <c r="F1137" s="9">
        <v>2070</v>
      </c>
      <c r="G1137" t="s">
        <v>64</v>
      </c>
      <c r="H1137" t="s">
        <v>24</v>
      </c>
    </row>
    <row r="1138" spans="1:8" x14ac:dyDescent="0.25">
      <c r="A1138" t="s">
        <v>38</v>
      </c>
      <c r="B1138" t="s">
        <v>51</v>
      </c>
      <c r="C1138">
        <v>1</v>
      </c>
      <c r="D1138" s="9">
        <v>1200</v>
      </c>
      <c r="E1138" s="9">
        <f>+Tablo3[[#This Row],[Birim Fiyat]]*Tablo3[[#This Row],[Satış Adet]]</f>
        <v>1200</v>
      </c>
      <c r="F1138" s="9">
        <v>400</v>
      </c>
      <c r="G1138" t="s">
        <v>64</v>
      </c>
      <c r="H1138" t="s">
        <v>14</v>
      </c>
    </row>
    <row r="1139" spans="1:8" x14ac:dyDescent="0.25">
      <c r="A1139" t="s">
        <v>12</v>
      </c>
      <c r="B1139" t="s">
        <v>34</v>
      </c>
      <c r="C1139">
        <v>1</v>
      </c>
      <c r="D1139" s="9">
        <v>8000</v>
      </c>
      <c r="E1139" s="9">
        <f>+Tablo3[[#This Row],[Birim Fiyat]]*Tablo3[[#This Row],[Satış Adet]]</f>
        <v>8000</v>
      </c>
      <c r="F1139" s="9">
        <v>2000</v>
      </c>
      <c r="G1139" t="s">
        <v>64</v>
      </c>
      <c r="H1139" t="s">
        <v>39</v>
      </c>
    </row>
    <row r="1140" spans="1:8" x14ac:dyDescent="0.25">
      <c r="A1140" t="s">
        <v>30</v>
      </c>
      <c r="B1140" t="s">
        <v>13</v>
      </c>
      <c r="C1140">
        <v>1</v>
      </c>
      <c r="D1140" s="9">
        <v>1400</v>
      </c>
      <c r="E1140" s="9">
        <f>+Tablo3[[#This Row],[Birim Fiyat]]*Tablo3[[#This Row],[Satış Adet]]</f>
        <v>1400</v>
      </c>
      <c r="F1140" s="9">
        <v>600</v>
      </c>
      <c r="G1140" t="s">
        <v>64</v>
      </c>
      <c r="H1140" t="s">
        <v>27</v>
      </c>
    </row>
    <row r="1141" spans="1:8" x14ac:dyDescent="0.25">
      <c r="A1141" t="s">
        <v>67</v>
      </c>
      <c r="B1141" t="s">
        <v>19</v>
      </c>
      <c r="C1141">
        <v>1</v>
      </c>
      <c r="D1141" s="9">
        <v>1350</v>
      </c>
      <c r="E1141" s="9">
        <f>+Tablo3[[#This Row],[Birim Fiyat]]*Tablo3[[#This Row],[Satış Adet]]</f>
        <v>1350</v>
      </c>
      <c r="F1141" s="9">
        <v>550</v>
      </c>
      <c r="G1141" t="s">
        <v>64</v>
      </c>
      <c r="H1141" t="s">
        <v>24</v>
      </c>
    </row>
    <row r="1142" spans="1:8" x14ac:dyDescent="0.25">
      <c r="A1142" t="s">
        <v>36</v>
      </c>
      <c r="B1142" t="s">
        <v>51</v>
      </c>
      <c r="C1142">
        <v>1</v>
      </c>
      <c r="D1142" s="9">
        <v>1200</v>
      </c>
      <c r="E1142" s="9">
        <f>+Tablo3[[#This Row],[Birim Fiyat]]*Tablo3[[#This Row],[Satış Adet]]</f>
        <v>1200</v>
      </c>
      <c r="F1142" s="9">
        <v>400</v>
      </c>
      <c r="G1142" t="s">
        <v>64</v>
      </c>
      <c r="H1142" t="s">
        <v>40</v>
      </c>
    </row>
    <row r="1143" spans="1:8" x14ac:dyDescent="0.25">
      <c r="A1143" t="s">
        <v>30</v>
      </c>
      <c r="B1143" t="s">
        <v>54</v>
      </c>
      <c r="C1143">
        <v>1</v>
      </c>
      <c r="D1143" s="9">
        <v>5300</v>
      </c>
      <c r="E1143" s="9">
        <f>+Tablo3[[#This Row],[Birim Fiyat]]*Tablo3[[#This Row],[Satış Adet]]</f>
        <v>5300</v>
      </c>
      <c r="F1143" s="9">
        <v>1300</v>
      </c>
      <c r="G1143" t="s">
        <v>64</v>
      </c>
      <c r="H1143" t="s">
        <v>24</v>
      </c>
    </row>
    <row r="1144" spans="1:8" x14ac:dyDescent="0.25">
      <c r="A1144" t="s">
        <v>38</v>
      </c>
      <c r="B1144" t="s">
        <v>37</v>
      </c>
      <c r="C1144">
        <v>3</v>
      </c>
      <c r="D1144" s="9">
        <v>10590</v>
      </c>
      <c r="E1144" s="9">
        <f>+Tablo3[[#This Row],[Birim Fiyat]]*Tablo3[[#This Row],[Satış Adet]]</f>
        <v>31770</v>
      </c>
      <c r="F1144" s="9">
        <v>13770</v>
      </c>
      <c r="G1144" t="s">
        <v>64</v>
      </c>
      <c r="H1144" t="s">
        <v>27</v>
      </c>
    </row>
    <row r="1145" spans="1:8" x14ac:dyDescent="0.25">
      <c r="A1145" t="s">
        <v>22</v>
      </c>
      <c r="B1145" t="s">
        <v>50</v>
      </c>
      <c r="C1145">
        <v>1</v>
      </c>
      <c r="D1145" s="9">
        <v>1250</v>
      </c>
      <c r="E1145" s="9">
        <f>+Tablo3[[#This Row],[Birim Fiyat]]*Tablo3[[#This Row],[Satış Adet]]</f>
        <v>1250</v>
      </c>
      <c r="F1145" s="9">
        <v>450</v>
      </c>
      <c r="G1145" t="s">
        <v>64</v>
      </c>
      <c r="H1145" t="s">
        <v>39</v>
      </c>
    </row>
    <row r="1146" spans="1:8" x14ac:dyDescent="0.25">
      <c r="A1146" t="s">
        <v>48</v>
      </c>
      <c r="B1146" t="s">
        <v>51</v>
      </c>
      <c r="C1146">
        <v>1</v>
      </c>
      <c r="D1146" s="9">
        <v>1200</v>
      </c>
      <c r="E1146" s="9">
        <f>+Tablo3[[#This Row],[Birim Fiyat]]*Tablo3[[#This Row],[Satış Adet]]</f>
        <v>1200</v>
      </c>
      <c r="F1146" s="9">
        <v>400</v>
      </c>
      <c r="G1146" t="s">
        <v>64</v>
      </c>
      <c r="H1146" t="s">
        <v>20</v>
      </c>
    </row>
    <row r="1147" spans="1:8" x14ac:dyDescent="0.25">
      <c r="A1147" t="s">
        <v>22</v>
      </c>
      <c r="B1147" t="s">
        <v>13</v>
      </c>
      <c r="C1147">
        <v>3</v>
      </c>
      <c r="D1147" s="9">
        <v>1400</v>
      </c>
      <c r="E1147" s="9">
        <f>+Tablo3[[#This Row],[Birim Fiyat]]*Tablo3[[#This Row],[Satış Adet]]</f>
        <v>4200</v>
      </c>
      <c r="F1147" s="9">
        <v>1800</v>
      </c>
      <c r="G1147" t="s">
        <v>64</v>
      </c>
      <c r="H1147" t="s">
        <v>35</v>
      </c>
    </row>
    <row r="1148" spans="1:8" x14ac:dyDescent="0.25">
      <c r="A1148" t="s">
        <v>48</v>
      </c>
      <c r="B1148" t="s">
        <v>53</v>
      </c>
      <c r="C1148">
        <v>2</v>
      </c>
      <c r="D1148" s="9">
        <v>7530</v>
      </c>
      <c r="E1148" s="9">
        <f>+Tablo3[[#This Row],[Birim Fiyat]]*Tablo3[[#This Row],[Satış Adet]]</f>
        <v>15060</v>
      </c>
      <c r="F1148" s="9">
        <v>3060</v>
      </c>
      <c r="G1148" t="s">
        <v>64</v>
      </c>
      <c r="H1148" t="s">
        <v>27</v>
      </c>
    </row>
    <row r="1149" spans="1:8" x14ac:dyDescent="0.25">
      <c r="A1149" t="s">
        <v>30</v>
      </c>
      <c r="B1149" t="s">
        <v>23</v>
      </c>
      <c r="C1149">
        <v>1</v>
      </c>
      <c r="D1149" s="9">
        <v>7600</v>
      </c>
      <c r="E1149" s="9">
        <f>+Tablo3[[#This Row],[Birim Fiyat]]*Tablo3[[#This Row],[Satış Adet]]</f>
        <v>7600</v>
      </c>
      <c r="F1149" s="9">
        <v>1600</v>
      </c>
      <c r="G1149" t="s">
        <v>64</v>
      </c>
      <c r="H1149" t="s">
        <v>27</v>
      </c>
    </row>
    <row r="1150" spans="1:8" x14ac:dyDescent="0.25">
      <c r="A1150" t="s">
        <v>48</v>
      </c>
      <c r="B1150" t="s">
        <v>55</v>
      </c>
      <c r="C1150">
        <v>1</v>
      </c>
      <c r="D1150" s="9">
        <v>1500</v>
      </c>
      <c r="E1150" s="9">
        <f>+Tablo3[[#This Row],[Birim Fiyat]]*Tablo3[[#This Row],[Satış Adet]]</f>
        <v>1500</v>
      </c>
      <c r="F1150" s="9">
        <v>700</v>
      </c>
      <c r="G1150" t="s">
        <v>64</v>
      </c>
      <c r="H1150" t="s">
        <v>52</v>
      </c>
    </row>
    <row r="1151" spans="1:8" x14ac:dyDescent="0.25">
      <c r="A1151" t="s">
        <v>38</v>
      </c>
      <c r="B1151" t="s">
        <v>21</v>
      </c>
      <c r="C1151">
        <v>2</v>
      </c>
      <c r="D1151" s="9">
        <v>2180</v>
      </c>
      <c r="E1151" s="9">
        <f>+Tablo3[[#This Row],[Birim Fiyat]]*Tablo3[[#This Row],[Satış Adet]]</f>
        <v>4360</v>
      </c>
      <c r="F1151" s="9">
        <v>1360</v>
      </c>
      <c r="G1151" t="s">
        <v>64</v>
      </c>
      <c r="H1151" t="s">
        <v>35</v>
      </c>
    </row>
    <row r="1152" spans="1:8" x14ac:dyDescent="0.25">
      <c r="A1152" t="s">
        <v>18</v>
      </c>
      <c r="B1152" t="s">
        <v>21</v>
      </c>
      <c r="C1152">
        <v>1</v>
      </c>
      <c r="D1152" s="9">
        <v>2180</v>
      </c>
      <c r="E1152" s="9">
        <f>+Tablo3[[#This Row],[Birim Fiyat]]*Tablo3[[#This Row],[Satış Adet]]</f>
        <v>2180</v>
      </c>
      <c r="F1152" s="9">
        <v>680</v>
      </c>
      <c r="G1152" t="s">
        <v>64</v>
      </c>
      <c r="H1152" t="s">
        <v>29</v>
      </c>
    </row>
    <row r="1153" spans="1:8" x14ac:dyDescent="0.25">
      <c r="A1153" t="s">
        <v>38</v>
      </c>
      <c r="B1153" t="s">
        <v>45</v>
      </c>
      <c r="C1153">
        <v>1</v>
      </c>
      <c r="D1153" s="9">
        <v>5775</v>
      </c>
      <c r="E1153" s="9">
        <f>+Tablo3[[#This Row],[Birim Fiyat]]*Tablo3[[#This Row],[Satış Adet]]</f>
        <v>5775</v>
      </c>
      <c r="F1153" s="9">
        <v>1775</v>
      </c>
      <c r="G1153" t="s">
        <v>64</v>
      </c>
      <c r="H1153" t="s">
        <v>17</v>
      </c>
    </row>
    <row r="1154" spans="1:8" x14ac:dyDescent="0.25">
      <c r="A1154" t="s">
        <v>38</v>
      </c>
      <c r="B1154" t="s">
        <v>26</v>
      </c>
      <c r="C1154">
        <v>3</v>
      </c>
      <c r="D1154" s="9">
        <v>1100</v>
      </c>
      <c r="E1154" s="9">
        <f>+Tablo3[[#This Row],[Birim Fiyat]]*Tablo3[[#This Row],[Satış Adet]]</f>
        <v>3300</v>
      </c>
      <c r="F1154" s="9">
        <v>900</v>
      </c>
      <c r="G1154" t="s">
        <v>64</v>
      </c>
      <c r="H1154" t="s">
        <v>24</v>
      </c>
    </row>
    <row r="1155" spans="1:8" x14ac:dyDescent="0.25">
      <c r="A1155" t="s">
        <v>46</v>
      </c>
      <c r="B1155" t="s">
        <v>45</v>
      </c>
      <c r="C1155">
        <v>1</v>
      </c>
      <c r="D1155" s="9">
        <v>5775</v>
      </c>
      <c r="E1155" s="9">
        <f>+Tablo3[[#This Row],[Birim Fiyat]]*Tablo3[[#This Row],[Satış Adet]]</f>
        <v>5775</v>
      </c>
      <c r="F1155" s="9">
        <v>1775</v>
      </c>
      <c r="G1155" t="s">
        <v>64</v>
      </c>
      <c r="H1155" t="s">
        <v>42</v>
      </c>
    </row>
    <row r="1156" spans="1:8" x14ac:dyDescent="0.25">
      <c r="A1156" t="s">
        <v>33</v>
      </c>
      <c r="B1156" t="s">
        <v>19</v>
      </c>
      <c r="C1156">
        <v>1</v>
      </c>
      <c r="D1156" s="9">
        <v>1350</v>
      </c>
      <c r="E1156" s="9">
        <f>+Tablo3[[#This Row],[Birim Fiyat]]*Tablo3[[#This Row],[Satış Adet]]</f>
        <v>1350</v>
      </c>
      <c r="F1156" s="9">
        <v>550</v>
      </c>
      <c r="G1156" t="s">
        <v>64</v>
      </c>
      <c r="H1156" t="s">
        <v>52</v>
      </c>
    </row>
    <row r="1157" spans="1:8" x14ac:dyDescent="0.25">
      <c r="A1157" t="s">
        <v>8</v>
      </c>
      <c r="B1157" t="s">
        <v>23</v>
      </c>
      <c r="C1157">
        <v>3</v>
      </c>
      <c r="D1157" s="9">
        <v>7600</v>
      </c>
      <c r="E1157" s="9">
        <f>+Tablo3[[#This Row],[Birim Fiyat]]*Tablo3[[#This Row],[Satış Adet]]</f>
        <v>22800</v>
      </c>
      <c r="F1157" s="9">
        <v>4800</v>
      </c>
      <c r="G1157" t="s">
        <v>64</v>
      </c>
      <c r="H1157" t="s">
        <v>40</v>
      </c>
    </row>
    <row r="1158" spans="1:8" x14ac:dyDescent="0.25">
      <c r="A1158" t="s">
        <v>15</v>
      </c>
      <c r="B1158" t="s">
        <v>25</v>
      </c>
      <c r="C1158">
        <v>3</v>
      </c>
      <c r="D1158" s="9">
        <v>7250</v>
      </c>
      <c r="E1158" s="9">
        <f>+Tablo3[[#This Row],[Birim Fiyat]]*Tablo3[[#This Row],[Satış Adet]]</f>
        <v>21750</v>
      </c>
      <c r="F1158" s="9">
        <v>6750</v>
      </c>
      <c r="G1158" t="s">
        <v>64</v>
      </c>
      <c r="H1158" t="s">
        <v>27</v>
      </c>
    </row>
    <row r="1159" spans="1:8" x14ac:dyDescent="0.25">
      <c r="A1159" t="s">
        <v>48</v>
      </c>
      <c r="B1159" t="s">
        <v>41</v>
      </c>
      <c r="C1159">
        <v>2</v>
      </c>
      <c r="D1159" s="9">
        <v>1490</v>
      </c>
      <c r="E1159" s="9">
        <f>+Tablo3[[#This Row],[Birim Fiyat]]*Tablo3[[#This Row],[Satış Adet]]</f>
        <v>2980</v>
      </c>
      <c r="F1159" s="9">
        <v>1380</v>
      </c>
      <c r="G1159" t="s">
        <v>64</v>
      </c>
      <c r="H1159" t="s">
        <v>14</v>
      </c>
    </row>
    <row r="1160" spans="1:8" x14ac:dyDescent="0.25">
      <c r="A1160" t="s">
        <v>18</v>
      </c>
      <c r="B1160" t="s">
        <v>41</v>
      </c>
      <c r="C1160">
        <v>2</v>
      </c>
      <c r="D1160" s="9">
        <v>1490</v>
      </c>
      <c r="E1160" s="9">
        <f>+Tablo3[[#This Row],[Birim Fiyat]]*Tablo3[[#This Row],[Satış Adet]]</f>
        <v>2980</v>
      </c>
      <c r="F1160" s="9">
        <v>1380</v>
      </c>
      <c r="G1160" t="s">
        <v>64</v>
      </c>
      <c r="H1160" t="s">
        <v>11</v>
      </c>
    </row>
    <row r="1161" spans="1:8" x14ac:dyDescent="0.25">
      <c r="A1161" t="s">
        <v>36</v>
      </c>
      <c r="B1161" t="s">
        <v>32</v>
      </c>
      <c r="C1161">
        <v>2</v>
      </c>
      <c r="D1161" s="9">
        <v>1090</v>
      </c>
      <c r="E1161" s="9">
        <f>+Tablo3[[#This Row],[Birim Fiyat]]*Tablo3[[#This Row],[Satış Adet]]</f>
        <v>2180</v>
      </c>
      <c r="F1161" s="9">
        <v>580</v>
      </c>
      <c r="G1161" t="s">
        <v>64</v>
      </c>
      <c r="H1161" t="s">
        <v>44</v>
      </c>
    </row>
    <row r="1162" spans="1:8" x14ac:dyDescent="0.25">
      <c r="A1162" t="s">
        <v>36</v>
      </c>
      <c r="B1162" t="s">
        <v>28</v>
      </c>
      <c r="C1162">
        <v>3</v>
      </c>
      <c r="D1162" s="9">
        <v>1200</v>
      </c>
      <c r="E1162" s="9">
        <f>+Tablo3[[#This Row],[Birim Fiyat]]*Tablo3[[#This Row],[Satış Adet]]</f>
        <v>3600</v>
      </c>
      <c r="F1162" s="9">
        <v>1200</v>
      </c>
      <c r="G1162" t="s">
        <v>64</v>
      </c>
      <c r="H1162" t="s">
        <v>42</v>
      </c>
    </row>
    <row r="1163" spans="1:8" x14ac:dyDescent="0.25">
      <c r="A1163" t="s">
        <v>48</v>
      </c>
      <c r="B1163" t="s">
        <v>32</v>
      </c>
      <c r="C1163">
        <v>2</v>
      </c>
      <c r="D1163" s="9">
        <v>1090</v>
      </c>
      <c r="E1163" s="9">
        <f>+Tablo3[[#This Row],[Birim Fiyat]]*Tablo3[[#This Row],[Satış Adet]]</f>
        <v>2180</v>
      </c>
      <c r="F1163" s="9">
        <v>580</v>
      </c>
      <c r="G1163" t="s">
        <v>64</v>
      </c>
      <c r="H1163" t="s">
        <v>40</v>
      </c>
    </row>
    <row r="1164" spans="1:8" x14ac:dyDescent="0.25">
      <c r="A1164" t="s">
        <v>48</v>
      </c>
      <c r="B1164" t="s">
        <v>21</v>
      </c>
      <c r="C1164">
        <v>3</v>
      </c>
      <c r="D1164" s="9">
        <v>2180</v>
      </c>
      <c r="E1164" s="9">
        <f>+Tablo3[[#This Row],[Birim Fiyat]]*Tablo3[[#This Row],[Satış Adet]]</f>
        <v>6540</v>
      </c>
      <c r="F1164" s="9">
        <v>2040</v>
      </c>
      <c r="G1164" t="s">
        <v>64</v>
      </c>
      <c r="H1164" t="s">
        <v>44</v>
      </c>
    </row>
    <row r="1165" spans="1:8" x14ac:dyDescent="0.25">
      <c r="A1165" t="s">
        <v>15</v>
      </c>
      <c r="B1165" t="s">
        <v>54</v>
      </c>
      <c r="C1165">
        <v>3</v>
      </c>
      <c r="D1165" s="9">
        <v>5300</v>
      </c>
      <c r="E1165" s="9">
        <f>+Tablo3[[#This Row],[Birim Fiyat]]*Tablo3[[#This Row],[Satış Adet]]</f>
        <v>15900</v>
      </c>
      <c r="F1165" s="9">
        <v>3900</v>
      </c>
      <c r="G1165" t="s">
        <v>64</v>
      </c>
      <c r="H1165" t="s">
        <v>42</v>
      </c>
    </row>
    <row r="1166" spans="1:8" x14ac:dyDescent="0.25">
      <c r="A1166" t="s">
        <v>48</v>
      </c>
      <c r="B1166" t="s">
        <v>54</v>
      </c>
      <c r="C1166">
        <v>2</v>
      </c>
      <c r="D1166" s="9">
        <v>5300</v>
      </c>
      <c r="E1166" s="9">
        <f>+Tablo3[[#This Row],[Birim Fiyat]]*Tablo3[[#This Row],[Satış Adet]]</f>
        <v>10600</v>
      </c>
      <c r="F1166" s="9">
        <v>2600</v>
      </c>
      <c r="G1166" t="s">
        <v>64</v>
      </c>
      <c r="H1166" t="s">
        <v>42</v>
      </c>
    </row>
    <row r="1167" spans="1:8" x14ac:dyDescent="0.25">
      <c r="A1167" t="s">
        <v>67</v>
      </c>
      <c r="B1167" t="s">
        <v>25</v>
      </c>
      <c r="C1167">
        <v>2</v>
      </c>
      <c r="D1167" s="9">
        <v>7250</v>
      </c>
      <c r="E1167" s="9">
        <f>+Tablo3[[#This Row],[Birim Fiyat]]*Tablo3[[#This Row],[Satış Adet]]</f>
        <v>14500</v>
      </c>
      <c r="F1167" s="9">
        <v>4500</v>
      </c>
      <c r="G1167" t="s">
        <v>64</v>
      </c>
      <c r="H1167" t="s">
        <v>29</v>
      </c>
    </row>
    <row r="1168" spans="1:8" x14ac:dyDescent="0.25">
      <c r="A1168" t="s">
        <v>67</v>
      </c>
      <c r="B1168" t="s">
        <v>51</v>
      </c>
      <c r="C1168">
        <v>3</v>
      </c>
      <c r="D1168" s="9">
        <v>1200</v>
      </c>
      <c r="E1168" s="9">
        <f>+Tablo3[[#This Row],[Birim Fiyat]]*Tablo3[[#This Row],[Satış Adet]]</f>
        <v>3600</v>
      </c>
      <c r="F1168" s="9">
        <v>1200</v>
      </c>
      <c r="G1168" t="s">
        <v>64</v>
      </c>
      <c r="H1168" t="s">
        <v>40</v>
      </c>
    </row>
    <row r="1169" spans="1:8" x14ac:dyDescent="0.25">
      <c r="A1169" t="s">
        <v>18</v>
      </c>
      <c r="B1169" t="s">
        <v>9</v>
      </c>
      <c r="C1169">
        <v>1</v>
      </c>
      <c r="D1169" s="9">
        <v>6000</v>
      </c>
      <c r="E1169" s="9">
        <f>+Tablo3[[#This Row],[Birim Fiyat]]*Tablo3[[#This Row],[Satış Adet]]</f>
        <v>6000</v>
      </c>
      <c r="F1169" s="9">
        <v>2000</v>
      </c>
      <c r="G1169" t="s">
        <v>64</v>
      </c>
      <c r="H1169" t="s">
        <v>24</v>
      </c>
    </row>
    <row r="1170" spans="1:8" x14ac:dyDescent="0.25">
      <c r="A1170" t="s">
        <v>15</v>
      </c>
      <c r="B1170" t="s">
        <v>16</v>
      </c>
      <c r="C1170">
        <v>3</v>
      </c>
      <c r="D1170" s="9">
        <v>8450</v>
      </c>
      <c r="E1170" s="9">
        <f>+Tablo3[[#This Row],[Birim Fiyat]]*Tablo3[[#This Row],[Satış Adet]]</f>
        <v>25350</v>
      </c>
      <c r="F1170" s="9">
        <v>7350</v>
      </c>
      <c r="G1170" t="s">
        <v>64</v>
      </c>
      <c r="H1170" t="s">
        <v>40</v>
      </c>
    </row>
    <row r="1171" spans="1:8" x14ac:dyDescent="0.25">
      <c r="A1171" t="s">
        <v>30</v>
      </c>
      <c r="B1171" t="s">
        <v>43</v>
      </c>
      <c r="C1171">
        <v>1</v>
      </c>
      <c r="D1171" s="9">
        <v>4200</v>
      </c>
      <c r="E1171" s="9">
        <f>+Tablo3[[#This Row],[Birim Fiyat]]*Tablo3[[#This Row],[Satış Adet]]</f>
        <v>4200</v>
      </c>
      <c r="F1171" s="9">
        <v>1200</v>
      </c>
      <c r="G1171" t="s">
        <v>64</v>
      </c>
      <c r="H1171" t="s">
        <v>27</v>
      </c>
    </row>
    <row r="1172" spans="1:8" x14ac:dyDescent="0.25">
      <c r="A1172" t="s">
        <v>30</v>
      </c>
      <c r="B1172" t="s">
        <v>37</v>
      </c>
      <c r="C1172">
        <v>3</v>
      </c>
      <c r="D1172" s="9">
        <v>10590</v>
      </c>
      <c r="E1172" s="9">
        <f>+Tablo3[[#This Row],[Birim Fiyat]]*Tablo3[[#This Row],[Satış Adet]]</f>
        <v>31770</v>
      </c>
      <c r="F1172" s="9">
        <v>13770</v>
      </c>
      <c r="G1172" t="s">
        <v>64</v>
      </c>
      <c r="H1172" t="s">
        <v>11</v>
      </c>
    </row>
    <row r="1173" spans="1:8" x14ac:dyDescent="0.25">
      <c r="A1173" t="s">
        <v>67</v>
      </c>
      <c r="B1173" t="s">
        <v>51</v>
      </c>
      <c r="C1173">
        <v>1</v>
      </c>
      <c r="D1173" s="9">
        <v>1200</v>
      </c>
      <c r="E1173" s="9">
        <f>+Tablo3[[#This Row],[Birim Fiyat]]*Tablo3[[#This Row],[Satış Adet]]</f>
        <v>1200</v>
      </c>
      <c r="F1173" s="9">
        <v>400</v>
      </c>
      <c r="G1173" t="s">
        <v>64</v>
      </c>
      <c r="H1173" t="s">
        <v>20</v>
      </c>
    </row>
    <row r="1174" spans="1:8" x14ac:dyDescent="0.25">
      <c r="A1174" t="s">
        <v>46</v>
      </c>
      <c r="B1174" t="s">
        <v>26</v>
      </c>
      <c r="C1174">
        <v>2</v>
      </c>
      <c r="D1174" s="9">
        <v>1100</v>
      </c>
      <c r="E1174" s="9">
        <f>+Tablo3[[#This Row],[Birim Fiyat]]*Tablo3[[#This Row],[Satış Adet]]</f>
        <v>2200</v>
      </c>
      <c r="F1174" s="9">
        <v>600</v>
      </c>
      <c r="G1174" t="s">
        <v>64</v>
      </c>
      <c r="H1174" t="s">
        <v>44</v>
      </c>
    </row>
    <row r="1175" spans="1:8" x14ac:dyDescent="0.25">
      <c r="A1175" t="s">
        <v>38</v>
      </c>
      <c r="B1175" t="s">
        <v>56</v>
      </c>
      <c r="C1175">
        <v>2</v>
      </c>
      <c r="D1175" s="9">
        <v>3700</v>
      </c>
      <c r="E1175" s="9">
        <f>+Tablo3[[#This Row],[Birim Fiyat]]*Tablo3[[#This Row],[Satış Adet]]</f>
        <v>7400</v>
      </c>
      <c r="F1175" s="9">
        <v>1400</v>
      </c>
      <c r="G1175" t="s">
        <v>64</v>
      </c>
      <c r="H1175" t="s">
        <v>24</v>
      </c>
    </row>
    <row r="1176" spans="1:8" x14ac:dyDescent="0.25">
      <c r="A1176" t="s">
        <v>12</v>
      </c>
      <c r="B1176" t="s">
        <v>56</v>
      </c>
      <c r="C1176">
        <v>1</v>
      </c>
      <c r="D1176" s="9">
        <v>3700</v>
      </c>
      <c r="E1176" s="9">
        <f>+Tablo3[[#This Row],[Birim Fiyat]]*Tablo3[[#This Row],[Satış Adet]]</f>
        <v>3700</v>
      </c>
      <c r="F1176" s="9">
        <v>700</v>
      </c>
      <c r="G1176" t="s">
        <v>64</v>
      </c>
      <c r="H1176" t="s">
        <v>27</v>
      </c>
    </row>
    <row r="1177" spans="1:8" x14ac:dyDescent="0.25">
      <c r="A1177" t="s">
        <v>30</v>
      </c>
      <c r="B1177" t="s">
        <v>26</v>
      </c>
      <c r="C1177">
        <v>3</v>
      </c>
      <c r="D1177" s="9">
        <v>1100</v>
      </c>
      <c r="E1177" s="9">
        <f>+Tablo3[[#This Row],[Birim Fiyat]]*Tablo3[[#This Row],[Satış Adet]]</f>
        <v>3300</v>
      </c>
      <c r="F1177" s="9">
        <v>900</v>
      </c>
      <c r="G1177" t="s">
        <v>65</v>
      </c>
      <c r="H1177" t="s">
        <v>35</v>
      </c>
    </row>
    <row r="1178" spans="1:8" x14ac:dyDescent="0.25">
      <c r="A1178" t="s">
        <v>67</v>
      </c>
      <c r="B1178" t="s">
        <v>56</v>
      </c>
      <c r="C1178">
        <v>1</v>
      </c>
      <c r="D1178" s="9">
        <v>3700</v>
      </c>
      <c r="E1178" s="9">
        <f>+Tablo3[[#This Row],[Birim Fiyat]]*Tablo3[[#This Row],[Satış Adet]]</f>
        <v>3700</v>
      </c>
      <c r="F1178" s="9">
        <v>700</v>
      </c>
      <c r="G1178" t="s">
        <v>65</v>
      </c>
      <c r="H1178" t="s">
        <v>35</v>
      </c>
    </row>
    <row r="1179" spans="1:8" x14ac:dyDescent="0.25">
      <c r="A1179" t="s">
        <v>46</v>
      </c>
      <c r="B1179" t="s">
        <v>41</v>
      </c>
      <c r="C1179">
        <v>1</v>
      </c>
      <c r="D1179" s="9">
        <v>1490</v>
      </c>
      <c r="E1179" s="9">
        <f>+Tablo3[[#This Row],[Birim Fiyat]]*Tablo3[[#This Row],[Satış Adet]]</f>
        <v>1490</v>
      </c>
      <c r="F1179" s="9">
        <v>690</v>
      </c>
      <c r="G1179" t="s">
        <v>65</v>
      </c>
      <c r="H1179" t="s">
        <v>29</v>
      </c>
    </row>
    <row r="1180" spans="1:8" x14ac:dyDescent="0.25">
      <c r="A1180" t="s">
        <v>38</v>
      </c>
      <c r="B1180" t="s">
        <v>55</v>
      </c>
      <c r="C1180">
        <v>1</v>
      </c>
      <c r="D1180" s="9">
        <v>1500</v>
      </c>
      <c r="E1180" s="9">
        <f>+Tablo3[[#This Row],[Birim Fiyat]]*Tablo3[[#This Row],[Satış Adet]]</f>
        <v>1500</v>
      </c>
      <c r="F1180" s="9">
        <v>700</v>
      </c>
      <c r="G1180" t="s">
        <v>65</v>
      </c>
      <c r="H1180" t="s">
        <v>24</v>
      </c>
    </row>
    <row r="1181" spans="1:8" x14ac:dyDescent="0.25">
      <c r="A1181" t="s">
        <v>36</v>
      </c>
      <c r="B1181" t="s">
        <v>32</v>
      </c>
      <c r="C1181">
        <v>2</v>
      </c>
      <c r="D1181" s="9">
        <v>1090</v>
      </c>
      <c r="E1181" s="9">
        <f>+Tablo3[[#This Row],[Birim Fiyat]]*Tablo3[[#This Row],[Satış Adet]]</f>
        <v>2180</v>
      </c>
      <c r="F1181" s="9">
        <v>580</v>
      </c>
      <c r="G1181" t="s">
        <v>65</v>
      </c>
      <c r="H1181" t="s">
        <v>42</v>
      </c>
    </row>
    <row r="1182" spans="1:8" x14ac:dyDescent="0.25">
      <c r="A1182" t="s">
        <v>46</v>
      </c>
      <c r="B1182" t="s">
        <v>31</v>
      </c>
      <c r="C1182">
        <v>3</v>
      </c>
      <c r="D1182" s="9">
        <v>1800</v>
      </c>
      <c r="E1182" s="9">
        <f>+Tablo3[[#This Row],[Birim Fiyat]]*Tablo3[[#This Row],[Satış Adet]]</f>
        <v>5400</v>
      </c>
      <c r="F1182" s="9">
        <v>3000</v>
      </c>
      <c r="G1182" t="s">
        <v>65</v>
      </c>
      <c r="H1182" t="s">
        <v>39</v>
      </c>
    </row>
    <row r="1183" spans="1:8" x14ac:dyDescent="0.25">
      <c r="A1183" t="s">
        <v>33</v>
      </c>
      <c r="B1183" t="s">
        <v>53</v>
      </c>
      <c r="C1183">
        <v>2</v>
      </c>
      <c r="D1183" s="9">
        <v>7530</v>
      </c>
      <c r="E1183" s="9">
        <f>+Tablo3[[#This Row],[Birim Fiyat]]*Tablo3[[#This Row],[Satış Adet]]</f>
        <v>15060</v>
      </c>
      <c r="F1183" s="9">
        <v>3060</v>
      </c>
      <c r="G1183" t="s">
        <v>65</v>
      </c>
      <c r="H1183" t="s">
        <v>11</v>
      </c>
    </row>
    <row r="1184" spans="1:8" x14ac:dyDescent="0.25">
      <c r="A1184" t="s">
        <v>30</v>
      </c>
      <c r="B1184" t="s">
        <v>26</v>
      </c>
      <c r="C1184">
        <v>3</v>
      </c>
      <c r="D1184" s="9">
        <v>1100</v>
      </c>
      <c r="E1184" s="9">
        <f>+Tablo3[[#This Row],[Birim Fiyat]]*Tablo3[[#This Row],[Satış Adet]]</f>
        <v>3300</v>
      </c>
      <c r="F1184" s="9">
        <v>900</v>
      </c>
      <c r="G1184" t="s">
        <v>65</v>
      </c>
      <c r="H1184" t="s">
        <v>35</v>
      </c>
    </row>
    <row r="1185" spans="1:8" x14ac:dyDescent="0.25">
      <c r="A1185" t="s">
        <v>38</v>
      </c>
      <c r="B1185" t="s">
        <v>19</v>
      </c>
      <c r="C1185">
        <v>3</v>
      </c>
      <c r="D1185" s="9">
        <v>1350</v>
      </c>
      <c r="E1185" s="9">
        <f>+Tablo3[[#This Row],[Birim Fiyat]]*Tablo3[[#This Row],[Satış Adet]]</f>
        <v>4050</v>
      </c>
      <c r="F1185" s="9">
        <v>1650</v>
      </c>
      <c r="G1185" t="s">
        <v>65</v>
      </c>
      <c r="H1185" t="s">
        <v>29</v>
      </c>
    </row>
    <row r="1186" spans="1:8" x14ac:dyDescent="0.25">
      <c r="A1186" t="s">
        <v>36</v>
      </c>
      <c r="B1186" t="s">
        <v>19</v>
      </c>
      <c r="C1186">
        <v>1</v>
      </c>
      <c r="D1186" s="9">
        <v>1350</v>
      </c>
      <c r="E1186" s="9">
        <f>+Tablo3[[#This Row],[Birim Fiyat]]*Tablo3[[#This Row],[Satış Adet]]</f>
        <v>1350</v>
      </c>
      <c r="F1186" s="9">
        <v>550</v>
      </c>
      <c r="G1186" t="s">
        <v>65</v>
      </c>
      <c r="H1186" t="s">
        <v>29</v>
      </c>
    </row>
    <row r="1187" spans="1:8" x14ac:dyDescent="0.25">
      <c r="A1187" t="s">
        <v>33</v>
      </c>
      <c r="B1187" t="s">
        <v>28</v>
      </c>
      <c r="C1187">
        <v>2</v>
      </c>
      <c r="D1187" s="9">
        <v>1090</v>
      </c>
      <c r="E1187" s="9">
        <f>+Tablo3[[#This Row],[Birim Fiyat]]*Tablo3[[#This Row],[Satış Adet]]</f>
        <v>2180</v>
      </c>
      <c r="F1187" s="9">
        <v>580</v>
      </c>
      <c r="G1187" t="s">
        <v>65</v>
      </c>
      <c r="H1187" t="s">
        <v>35</v>
      </c>
    </row>
    <row r="1188" spans="1:8" x14ac:dyDescent="0.25">
      <c r="A1188" t="s">
        <v>33</v>
      </c>
      <c r="B1188" t="s">
        <v>43</v>
      </c>
      <c r="C1188">
        <v>1</v>
      </c>
      <c r="D1188" s="9">
        <v>4200</v>
      </c>
      <c r="E1188" s="9">
        <f>+Tablo3[[#This Row],[Birim Fiyat]]*Tablo3[[#This Row],[Satış Adet]]</f>
        <v>4200</v>
      </c>
      <c r="F1188" s="9">
        <v>1200</v>
      </c>
      <c r="G1188" t="s">
        <v>65</v>
      </c>
      <c r="H1188" t="s">
        <v>40</v>
      </c>
    </row>
    <row r="1189" spans="1:8" x14ac:dyDescent="0.25">
      <c r="A1189" t="s">
        <v>38</v>
      </c>
      <c r="B1189" t="s">
        <v>31</v>
      </c>
      <c r="C1189">
        <v>2</v>
      </c>
      <c r="D1189" s="9">
        <v>1800</v>
      </c>
      <c r="E1189" s="9">
        <f>+Tablo3[[#This Row],[Birim Fiyat]]*Tablo3[[#This Row],[Satış Adet]]</f>
        <v>3600</v>
      </c>
      <c r="F1189" s="9">
        <v>2000</v>
      </c>
      <c r="G1189" t="s">
        <v>65</v>
      </c>
      <c r="H1189" t="s">
        <v>44</v>
      </c>
    </row>
    <row r="1190" spans="1:8" x14ac:dyDescent="0.25">
      <c r="A1190" t="s">
        <v>48</v>
      </c>
      <c r="B1190" t="s">
        <v>32</v>
      </c>
      <c r="C1190">
        <v>1</v>
      </c>
      <c r="D1190" s="9">
        <v>1090</v>
      </c>
      <c r="E1190" s="9">
        <f>+Tablo3[[#This Row],[Birim Fiyat]]*Tablo3[[#This Row],[Satış Adet]]</f>
        <v>1090</v>
      </c>
      <c r="F1190" s="9">
        <v>290</v>
      </c>
      <c r="G1190" t="s">
        <v>65</v>
      </c>
      <c r="H1190" t="s">
        <v>39</v>
      </c>
    </row>
    <row r="1191" spans="1:8" x14ac:dyDescent="0.25">
      <c r="A1191" t="s">
        <v>8</v>
      </c>
      <c r="B1191" t="s">
        <v>23</v>
      </c>
      <c r="C1191">
        <v>1</v>
      </c>
      <c r="D1191" s="9">
        <v>7600</v>
      </c>
      <c r="E1191" s="9">
        <f>+Tablo3[[#This Row],[Birim Fiyat]]*Tablo3[[#This Row],[Satış Adet]]</f>
        <v>7600</v>
      </c>
      <c r="F1191" s="9">
        <v>1600</v>
      </c>
      <c r="G1191" t="s">
        <v>65</v>
      </c>
      <c r="H1191" t="s">
        <v>29</v>
      </c>
    </row>
    <row r="1192" spans="1:8" x14ac:dyDescent="0.25">
      <c r="A1192" t="s">
        <v>36</v>
      </c>
      <c r="B1192" t="s">
        <v>23</v>
      </c>
      <c r="C1192">
        <v>3</v>
      </c>
      <c r="D1192" s="9">
        <v>7600</v>
      </c>
      <c r="E1192" s="9">
        <f>+Tablo3[[#This Row],[Birim Fiyat]]*Tablo3[[#This Row],[Satış Adet]]</f>
        <v>22800</v>
      </c>
      <c r="F1192" s="9">
        <v>4800</v>
      </c>
      <c r="G1192" t="s">
        <v>65</v>
      </c>
      <c r="H1192" t="s">
        <v>39</v>
      </c>
    </row>
    <row r="1193" spans="1:8" x14ac:dyDescent="0.25">
      <c r="A1193" t="s">
        <v>15</v>
      </c>
      <c r="B1193" t="s">
        <v>56</v>
      </c>
      <c r="C1193">
        <v>1</v>
      </c>
      <c r="D1193" s="9">
        <v>3700</v>
      </c>
      <c r="E1193" s="9">
        <f>+Tablo3[[#This Row],[Birim Fiyat]]*Tablo3[[#This Row],[Satış Adet]]</f>
        <v>3700</v>
      </c>
      <c r="F1193" s="9">
        <v>700</v>
      </c>
      <c r="G1193" t="s">
        <v>65</v>
      </c>
      <c r="H1193" t="s">
        <v>11</v>
      </c>
    </row>
    <row r="1194" spans="1:8" x14ac:dyDescent="0.25">
      <c r="A1194" t="s">
        <v>22</v>
      </c>
      <c r="B1194" t="s">
        <v>25</v>
      </c>
      <c r="C1194">
        <v>3</v>
      </c>
      <c r="D1194" s="9">
        <v>7250</v>
      </c>
      <c r="E1194" s="9">
        <f>+Tablo3[[#This Row],[Birim Fiyat]]*Tablo3[[#This Row],[Satış Adet]]</f>
        <v>21750</v>
      </c>
      <c r="F1194" s="9">
        <v>6750</v>
      </c>
      <c r="G1194" t="s">
        <v>65</v>
      </c>
      <c r="H1194" t="s">
        <v>52</v>
      </c>
    </row>
    <row r="1195" spans="1:8" x14ac:dyDescent="0.25">
      <c r="A1195" t="s">
        <v>12</v>
      </c>
      <c r="B1195" t="s">
        <v>23</v>
      </c>
      <c r="C1195">
        <v>3</v>
      </c>
      <c r="D1195" s="9">
        <v>7600</v>
      </c>
      <c r="E1195" s="9">
        <f>+Tablo3[[#This Row],[Birim Fiyat]]*Tablo3[[#This Row],[Satış Adet]]</f>
        <v>22800</v>
      </c>
      <c r="F1195" s="9">
        <v>4800</v>
      </c>
      <c r="G1195" t="s">
        <v>65</v>
      </c>
      <c r="H1195" t="s">
        <v>11</v>
      </c>
    </row>
    <row r="1196" spans="1:8" x14ac:dyDescent="0.25">
      <c r="A1196" t="s">
        <v>46</v>
      </c>
      <c r="B1196" t="s">
        <v>43</v>
      </c>
      <c r="C1196">
        <v>1</v>
      </c>
      <c r="D1196" s="9">
        <v>4200</v>
      </c>
      <c r="E1196" s="9">
        <f>+Tablo3[[#This Row],[Birim Fiyat]]*Tablo3[[#This Row],[Satış Adet]]</f>
        <v>4200</v>
      </c>
      <c r="F1196" s="9">
        <v>1200</v>
      </c>
      <c r="G1196" t="s">
        <v>65</v>
      </c>
      <c r="H1196" t="s">
        <v>35</v>
      </c>
    </row>
    <row r="1197" spans="1:8" x14ac:dyDescent="0.25">
      <c r="A1197" t="s">
        <v>30</v>
      </c>
      <c r="B1197" t="s">
        <v>50</v>
      </c>
      <c r="C1197">
        <v>3</v>
      </c>
      <c r="D1197" s="9">
        <v>1250</v>
      </c>
      <c r="E1197" s="9">
        <f>+Tablo3[[#This Row],[Birim Fiyat]]*Tablo3[[#This Row],[Satış Adet]]</f>
        <v>3750</v>
      </c>
      <c r="F1197" s="9">
        <v>1350</v>
      </c>
      <c r="G1197" t="s">
        <v>65</v>
      </c>
      <c r="H1197" t="s">
        <v>11</v>
      </c>
    </row>
    <row r="1198" spans="1:8" x14ac:dyDescent="0.25">
      <c r="A1198" t="s">
        <v>36</v>
      </c>
      <c r="B1198" t="s">
        <v>32</v>
      </c>
      <c r="C1198">
        <v>1</v>
      </c>
      <c r="D1198" s="9">
        <v>1090</v>
      </c>
      <c r="E1198" s="9">
        <f>+Tablo3[[#This Row],[Birim Fiyat]]*Tablo3[[#This Row],[Satış Adet]]</f>
        <v>1090</v>
      </c>
      <c r="F1198" s="9">
        <v>290</v>
      </c>
      <c r="G1198" t="s">
        <v>65</v>
      </c>
      <c r="H1198" t="s">
        <v>11</v>
      </c>
    </row>
    <row r="1199" spans="1:8" x14ac:dyDescent="0.25">
      <c r="A1199" t="s">
        <v>18</v>
      </c>
      <c r="B1199" t="s">
        <v>37</v>
      </c>
      <c r="C1199">
        <v>1</v>
      </c>
      <c r="D1199" s="9">
        <v>2180</v>
      </c>
      <c r="E1199" s="9">
        <f>+Tablo3[[#This Row],[Birim Fiyat]]*Tablo3[[#This Row],[Satış Adet]]</f>
        <v>2180</v>
      </c>
      <c r="F1199" s="9">
        <v>680</v>
      </c>
      <c r="G1199" t="s">
        <v>65</v>
      </c>
      <c r="H1199" t="s">
        <v>29</v>
      </c>
    </row>
    <row r="1200" spans="1:8" x14ac:dyDescent="0.25">
      <c r="A1200" t="s">
        <v>48</v>
      </c>
      <c r="B1200" t="s">
        <v>56</v>
      </c>
      <c r="C1200">
        <v>2</v>
      </c>
      <c r="D1200" s="9">
        <v>3700</v>
      </c>
      <c r="E1200" s="9">
        <f>+Tablo3[[#This Row],[Birim Fiyat]]*Tablo3[[#This Row],[Satış Adet]]</f>
        <v>7400</v>
      </c>
      <c r="F1200" s="9">
        <v>1400</v>
      </c>
      <c r="G1200" t="s">
        <v>65</v>
      </c>
      <c r="H1200" t="s">
        <v>27</v>
      </c>
    </row>
    <row r="1201" spans="1:8" x14ac:dyDescent="0.25">
      <c r="A1201" t="s">
        <v>38</v>
      </c>
      <c r="B1201" t="s">
        <v>9</v>
      </c>
      <c r="C1201">
        <v>2</v>
      </c>
      <c r="D1201" s="9">
        <v>6000</v>
      </c>
      <c r="E1201" s="9">
        <f>+Tablo3[[#This Row],[Birim Fiyat]]*Tablo3[[#This Row],[Satış Adet]]</f>
        <v>12000</v>
      </c>
      <c r="F1201" s="9">
        <v>4000</v>
      </c>
      <c r="G1201" t="s">
        <v>65</v>
      </c>
      <c r="H1201" t="s">
        <v>24</v>
      </c>
    </row>
    <row r="1202" spans="1:8" x14ac:dyDescent="0.25">
      <c r="A1202" t="s">
        <v>46</v>
      </c>
      <c r="B1202" t="s">
        <v>50</v>
      </c>
      <c r="C1202">
        <v>2</v>
      </c>
      <c r="D1202" s="9">
        <v>1250</v>
      </c>
      <c r="E1202" s="9">
        <f>+Tablo3[[#This Row],[Birim Fiyat]]*Tablo3[[#This Row],[Satış Adet]]</f>
        <v>2500</v>
      </c>
      <c r="F1202" s="9">
        <v>900</v>
      </c>
      <c r="G1202" t="s">
        <v>65</v>
      </c>
      <c r="H1202" t="s">
        <v>39</v>
      </c>
    </row>
    <row r="1203" spans="1:8" x14ac:dyDescent="0.25">
      <c r="A1203" t="s">
        <v>48</v>
      </c>
      <c r="B1203" t="s">
        <v>23</v>
      </c>
      <c r="C1203">
        <v>1</v>
      </c>
      <c r="D1203" s="9">
        <v>7600</v>
      </c>
      <c r="E1203" s="9">
        <f>+Tablo3[[#This Row],[Birim Fiyat]]*Tablo3[[#This Row],[Satış Adet]]</f>
        <v>7600</v>
      </c>
      <c r="F1203" s="9">
        <v>1600</v>
      </c>
      <c r="G1203" t="s">
        <v>65</v>
      </c>
      <c r="H1203" t="s">
        <v>35</v>
      </c>
    </row>
    <row r="1204" spans="1:8" x14ac:dyDescent="0.25">
      <c r="A1204" t="s">
        <v>8</v>
      </c>
      <c r="B1204" t="s">
        <v>13</v>
      </c>
      <c r="C1204">
        <v>2</v>
      </c>
      <c r="D1204" s="9">
        <v>1400</v>
      </c>
      <c r="E1204" s="9">
        <f>+Tablo3[[#This Row],[Birim Fiyat]]*Tablo3[[#This Row],[Satış Adet]]</f>
        <v>2800</v>
      </c>
      <c r="F1204" s="9">
        <v>1200</v>
      </c>
      <c r="G1204" t="s">
        <v>65</v>
      </c>
      <c r="H1204" t="s">
        <v>24</v>
      </c>
    </row>
    <row r="1205" spans="1:8" x14ac:dyDescent="0.25">
      <c r="A1205" t="s">
        <v>22</v>
      </c>
      <c r="B1205" t="s">
        <v>21</v>
      </c>
      <c r="C1205">
        <v>2</v>
      </c>
      <c r="D1205" s="9">
        <v>2180</v>
      </c>
      <c r="E1205" s="9">
        <f>+Tablo3[[#This Row],[Birim Fiyat]]*Tablo3[[#This Row],[Satış Adet]]</f>
        <v>4360</v>
      </c>
      <c r="F1205" s="9">
        <v>1360</v>
      </c>
      <c r="G1205" t="s">
        <v>65</v>
      </c>
      <c r="H1205" t="s">
        <v>52</v>
      </c>
    </row>
    <row r="1206" spans="1:8" x14ac:dyDescent="0.25">
      <c r="A1206" t="s">
        <v>8</v>
      </c>
      <c r="B1206" t="s">
        <v>31</v>
      </c>
      <c r="C1206">
        <v>3</v>
      </c>
      <c r="D1206" s="9">
        <v>1800</v>
      </c>
      <c r="E1206" s="9">
        <f>+Tablo3[[#This Row],[Birim Fiyat]]*Tablo3[[#This Row],[Satış Adet]]</f>
        <v>5400</v>
      </c>
      <c r="F1206" s="9">
        <v>3000</v>
      </c>
      <c r="G1206" t="s">
        <v>65</v>
      </c>
      <c r="H1206" t="s">
        <v>39</v>
      </c>
    </row>
    <row r="1207" spans="1:8" x14ac:dyDescent="0.25">
      <c r="A1207" t="s">
        <v>15</v>
      </c>
      <c r="B1207" t="s">
        <v>55</v>
      </c>
      <c r="C1207">
        <v>1</v>
      </c>
      <c r="D1207" s="9">
        <v>1500</v>
      </c>
      <c r="E1207" s="9">
        <f>+Tablo3[[#This Row],[Birim Fiyat]]*Tablo3[[#This Row],[Satış Adet]]</f>
        <v>1500</v>
      </c>
      <c r="F1207" s="9">
        <v>700</v>
      </c>
      <c r="G1207" t="s">
        <v>65</v>
      </c>
      <c r="H1207" t="s">
        <v>35</v>
      </c>
    </row>
    <row r="1208" spans="1:8" x14ac:dyDescent="0.25">
      <c r="A1208" t="s">
        <v>30</v>
      </c>
      <c r="B1208" t="s">
        <v>16</v>
      </c>
      <c r="C1208">
        <v>3</v>
      </c>
      <c r="D1208" s="9">
        <v>8450</v>
      </c>
      <c r="E1208" s="9">
        <f>+Tablo3[[#This Row],[Birim Fiyat]]*Tablo3[[#This Row],[Satış Adet]]</f>
        <v>25350</v>
      </c>
      <c r="F1208" s="9">
        <v>7350</v>
      </c>
      <c r="G1208" t="s">
        <v>65</v>
      </c>
      <c r="H1208" t="s">
        <v>42</v>
      </c>
    </row>
    <row r="1209" spans="1:8" x14ac:dyDescent="0.25">
      <c r="A1209" t="s">
        <v>38</v>
      </c>
      <c r="B1209" t="s">
        <v>55</v>
      </c>
      <c r="C1209">
        <v>3</v>
      </c>
      <c r="D1209" s="9">
        <v>1500</v>
      </c>
      <c r="E1209" s="9">
        <f>+Tablo3[[#This Row],[Birim Fiyat]]*Tablo3[[#This Row],[Satış Adet]]</f>
        <v>4500</v>
      </c>
      <c r="F1209" s="9">
        <v>2100</v>
      </c>
      <c r="G1209" t="s">
        <v>65</v>
      </c>
      <c r="H1209" t="s">
        <v>17</v>
      </c>
    </row>
    <row r="1210" spans="1:8" x14ac:dyDescent="0.25">
      <c r="A1210" t="s">
        <v>67</v>
      </c>
      <c r="B1210" t="s">
        <v>9</v>
      </c>
      <c r="C1210">
        <v>3</v>
      </c>
      <c r="D1210" s="9">
        <v>6000</v>
      </c>
      <c r="E1210" s="9">
        <f>+Tablo3[[#This Row],[Birim Fiyat]]*Tablo3[[#This Row],[Satış Adet]]</f>
        <v>18000</v>
      </c>
      <c r="F1210" s="9">
        <v>6000</v>
      </c>
      <c r="G1210" t="s">
        <v>65</v>
      </c>
      <c r="H1210" t="s">
        <v>14</v>
      </c>
    </row>
    <row r="1211" spans="1:8" x14ac:dyDescent="0.25">
      <c r="A1211" t="s">
        <v>48</v>
      </c>
      <c r="B1211" t="s">
        <v>51</v>
      </c>
      <c r="C1211">
        <v>1</v>
      </c>
      <c r="D1211" s="9">
        <v>1200</v>
      </c>
      <c r="E1211" s="9">
        <f>+Tablo3[[#This Row],[Birim Fiyat]]*Tablo3[[#This Row],[Satış Adet]]</f>
        <v>1200</v>
      </c>
      <c r="F1211" s="9">
        <v>400</v>
      </c>
      <c r="G1211" t="s">
        <v>65</v>
      </c>
      <c r="H1211" t="s">
        <v>17</v>
      </c>
    </row>
    <row r="1212" spans="1:8" x14ac:dyDescent="0.25">
      <c r="A1212" t="s">
        <v>8</v>
      </c>
      <c r="B1212" t="s">
        <v>43</v>
      </c>
      <c r="C1212">
        <v>3</v>
      </c>
      <c r="D1212" s="9">
        <v>4200</v>
      </c>
      <c r="E1212" s="9">
        <f>+Tablo3[[#This Row],[Birim Fiyat]]*Tablo3[[#This Row],[Satış Adet]]</f>
        <v>12600</v>
      </c>
      <c r="F1212" s="9">
        <v>3600</v>
      </c>
      <c r="G1212" t="s">
        <v>65</v>
      </c>
      <c r="H1212" t="s">
        <v>44</v>
      </c>
    </row>
    <row r="1213" spans="1:8" x14ac:dyDescent="0.25">
      <c r="A1213" t="s">
        <v>46</v>
      </c>
      <c r="B1213" t="s">
        <v>23</v>
      </c>
      <c r="C1213">
        <v>3</v>
      </c>
      <c r="D1213" s="9">
        <v>7600</v>
      </c>
      <c r="E1213" s="9">
        <f>+Tablo3[[#This Row],[Birim Fiyat]]*Tablo3[[#This Row],[Satış Adet]]</f>
        <v>22800</v>
      </c>
      <c r="F1213" s="9">
        <v>4800</v>
      </c>
      <c r="G1213" t="s">
        <v>65</v>
      </c>
      <c r="H1213" t="s">
        <v>29</v>
      </c>
    </row>
    <row r="1214" spans="1:8" x14ac:dyDescent="0.25">
      <c r="A1214" t="s">
        <v>67</v>
      </c>
      <c r="B1214" t="s">
        <v>45</v>
      </c>
      <c r="C1214">
        <v>2</v>
      </c>
      <c r="D1214" s="9">
        <v>7250</v>
      </c>
      <c r="E1214" s="9">
        <f>+Tablo3[[#This Row],[Birim Fiyat]]*Tablo3[[#This Row],[Satış Adet]]</f>
        <v>14500</v>
      </c>
      <c r="F1214" s="9">
        <v>4500</v>
      </c>
      <c r="G1214" t="s">
        <v>65</v>
      </c>
      <c r="H1214" t="s">
        <v>39</v>
      </c>
    </row>
    <row r="1215" spans="1:8" x14ac:dyDescent="0.25">
      <c r="A1215" t="s">
        <v>12</v>
      </c>
      <c r="B1215" t="s">
        <v>53</v>
      </c>
      <c r="C1215">
        <v>2</v>
      </c>
      <c r="D1215" s="9">
        <v>7530</v>
      </c>
      <c r="E1215" s="9">
        <f>+Tablo3[[#This Row],[Birim Fiyat]]*Tablo3[[#This Row],[Satış Adet]]</f>
        <v>15060</v>
      </c>
      <c r="F1215" s="9">
        <v>3060</v>
      </c>
      <c r="G1215" t="s">
        <v>65</v>
      </c>
      <c r="H1215" t="s">
        <v>40</v>
      </c>
    </row>
    <row r="1216" spans="1:8" x14ac:dyDescent="0.25">
      <c r="A1216" t="s">
        <v>15</v>
      </c>
      <c r="B1216" t="s">
        <v>25</v>
      </c>
      <c r="C1216">
        <v>2</v>
      </c>
      <c r="D1216" s="9">
        <v>7250</v>
      </c>
      <c r="E1216" s="9">
        <f>+Tablo3[[#This Row],[Birim Fiyat]]*Tablo3[[#This Row],[Satış Adet]]</f>
        <v>14500</v>
      </c>
      <c r="F1216" s="9">
        <v>4500</v>
      </c>
      <c r="G1216" t="s">
        <v>65</v>
      </c>
      <c r="H1216" t="s">
        <v>17</v>
      </c>
    </row>
    <row r="1217" spans="1:8" x14ac:dyDescent="0.25">
      <c r="A1217" t="s">
        <v>12</v>
      </c>
      <c r="B1217" t="s">
        <v>9</v>
      </c>
      <c r="C1217">
        <v>1</v>
      </c>
      <c r="D1217" s="9">
        <v>6000</v>
      </c>
      <c r="E1217" s="9">
        <f>+Tablo3[[#This Row],[Birim Fiyat]]*Tablo3[[#This Row],[Satış Adet]]</f>
        <v>6000</v>
      </c>
      <c r="F1217" s="9">
        <v>2000</v>
      </c>
      <c r="G1217" t="s">
        <v>65</v>
      </c>
      <c r="H1217" t="s">
        <v>27</v>
      </c>
    </row>
    <row r="1218" spans="1:8" x14ac:dyDescent="0.25">
      <c r="A1218" t="s">
        <v>67</v>
      </c>
      <c r="B1218" t="s">
        <v>51</v>
      </c>
      <c r="C1218">
        <v>3</v>
      </c>
      <c r="D1218" s="9">
        <v>1200</v>
      </c>
      <c r="E1218" s="9">
        <f>+Tablo3[[#This Row],[Birim Fiyat]]*Tablo3[[#This Row],[Satış Adet]]</f>
        <v>3600</v>
      </c>
      <c r="F1218" s="9">
        <v>1200</v>
      </c>
      <c r="G1218" t="s">
        <v>65</v>
      </c>
      <c r="H1218" t="s">
        <v>44</v>
      </c>
    </row>
    <row r="1219" spans="1:8" x14ac:dyDescent="0.25">
      <c r="A1219" t="s">
        <v>48</v>
      </c>
      <c r="B1219" t="s">
        <v>54</v>
      </c>
      <c r="C1219">
        <v>2</v>
      </c>
      <c r="D1219" s="9">
        <v>5300</v>
      </c>
      <c r="E1219" s="9">
        <f>+Tablo3[[#This Row],[Birim Fiyat]]*Tablo3[[#This Row],[Satış Adet]]</f>
        <v>10600</v>
      </c>
      <c r="F1219" s="9">
        <v>2600</v>
      </c>
      <c r="G1219" t="s">
        <v>65</v>
      </c>
      <c r="H1219" t="s">
        <v>52</v>
      </c>
    </row>
    <row r="1220" spans="1:8" x14ac:dyDescent="0.25">
      <c r="A1220" t="s">
        <v>36</v>
      </c>
      <c r="B1220" t="s">
        <v>16</v>
      </c>
      <c r="C1220">
        <v>2</v>
      </c>
      <c r="D1220" s="9">
        <v>8450</v>
      </c>
      <c r="E1220" s="9">
        <f>+Tablo3[[#This Row],[Birim Fiyat]]*Tablo3[[#This Row],[Satış Adet]]</f>
        <v>16900</v>
      </c>
      <c r="F1220" s="9">
        <v>4900</v>
      </c>
      <c r="G1220" t="s">
        <v>65</v>
      </c>
      <c r="H1220" t="s">
        <v>52</v>
      </c>
    </row>
    <row r="1221" spans="1:8" x14ac:dyDescent="0.25">
      <c r="A1221" t="s">
        <v>22</v>
      </c>
      <c r="B1221" t="s">
        <v>19</v>
      </c>
      <c r="C1221">
        <v>1</v>
      </c>
      <c r="D1221" s="9">
        <v>1350</v>
      </c>
      <c r="E1221" s="9">
        <f>+Tablo3[[#This Row],[Birim Fiyat]]*Tablo3[[#This Row],[Satış Adet]]</f>
        <v>1350</v>
      </c>
      <c r="F1221" s="9">
        <v>550</v>
      </c>
      <c r="G1221" t="s">
        <v>65</v>
      </c>
      <c r="H1221" t="s">
        <v>20</v>
      </c>
    </row>
    <row r="1222" spans="1:8" x14ac:dyDescent="0.25">
      <c r="A1222" t="s">
        <v>30</v>
      </c>
      <c r="B1222" t="s">
        <v>32</v>
      </c>
      <c r="C1222">
        <v>1</v>
      </c>
      <c r="D1222" s="9">
        <v>1090</v>
      </c>
      <c r="E1222" s="9">
        <f>+Tablo3[[#This Row],[Birim Fiyat]]*Tablo3[[#This Row],[Satış Adet]]</f>
        <v>1090</v>
      </c>
      <c r="F1222" s="9">
        <v>290</v>
      </c>
      <c r="G1222" t="s">
        <v>65</v>
      </c>
      <c r="H1222" t="s">
        <v>24</v>
      </c>
    </row>
    <row r="1223" spans="1:8" x14ac:dyDescent="0.25">
      <c r="A1223" t="s">
        <v>22</v>
      </c>
      <c r="B1223" t="s">
        <v>21</v>
      </c>
      <c r="C1223">
        <v>1</v>
      </c>
      <c r="D1223" s="9">
        <v>2180</v>
      </c>
      <c r="E1223" s="9">
        <f>+Tablo3[[#This Row],[Birim Fiyat]]*Tablo3[[#This Row],[Satış Adet]]</f>
        <v>2180</v>
      </c>
      <c r="F1223" s="9">
        <v>680</v>
      </c>
      <c r="G1223" t="s">
        <v>65</v>
      </c>
      <c r="H1223" t="s">
        <v>29</v>
      </c>
    </row>
    <row r="1224" spans="1:8" x14ac:dyDescent="0.25">
      <c r="A1224" t="s">
        <v>12</v>
      </c>
      <c r="B1224" t="s">
        <v>56</v>
      </c>
      <c r="C1224">
        <v>1</v>
      </c>
      <c r="D1224" s="9">
        <v>3700</v>
      </c>
      <c r="E1224" s="9">
        <f>+Tablo3[[#This Row],[Birim Fiyat]]*Tablo3[[#This Row],[Satış Adet]]</f>
        <v>3700</v>
      </c>
      <c r="F1224" s="9">
        <v>700</v>
      </c>
      <c r="G1224" t="s">
        <v>65</v>
      </c>
      <c r="H1224" t="s">
        <v>11</v>
      </c>
    </row>
    <row r="1225" spans="1:8" x14ac:dyDescent="0.25">
      <c r="A1225" t="s">
        <v>30</v>
      </c>
      <c r="B1225" t="s">
        <v>26</v>
      </c>
      <c r="C1225">
        <v>3</v>
      </c>
      <c r="D1225" s="9">
        <v>1100</v>
      </c>
      <c r="E1225" s="9">
        <f>+Tablo3[[#This Row],[Birim Fiyat]]*Tablo3[[#This Row],[Satış Adet]]</f>
        <v>3300</v>
      </c>
      <c r="F1225" s="9">
        <v>900</v>
      </c>
      <c r="G1225" t="s">
        <v>65</v>
      </c>
      <c r="H1225" t="s">
        <v>17</v>
      </c>
    </row>
    <row r="1226" spans="1:8" x14ac:dyDescent="0.25">
      <c r="A1226" t="s">
        <v>67</v>
      </c>
      <c r="B1226" t="s">
        <v>56</v>
      </c>
      <c r="C1226">
        <v>1</v>
      </c>
      <c r="D1226" s="9">
        <v>3700</v>
      </c>
      <c r="E1226" s="9">
        <f>+Tablo3[[#This Row],[Birim Fiyat]]*Tablo3[[#This Row],[Satış Adet]]</f>
        <v>3700</v>
      </c>
      <c r="F1226" s="9">
        <v>700</v>
      </c>
      <c r="G1226" t="s">
        <v>65</v>
      </c>
      <c r="H1226" t="s">
        <v>24</v>
      </c>
    </row>
    <row r="1227" spans="1:8" x14ac:dyDescent="0.25">
      <c r="A1227" t="s">
        <v>46</v>
      </c>
      <c r="B1227" t="s">
        <v>41</v>
      </c>
      <c r="C1227">
        <v>1</v>
      </c>
      <c r="D1227" s="9">
        <v>1490</v>
      </c>
      <c r="E1227" s="9">
        <f>+Tablo3[[#This Row],[Birim Fiyat]]*Tablo3[[#This Row],[Satış Adet]]</f>
        <v>1490</v>
      </c>
      <c r="F1227" s="9">
        <v>690</v>
      </c>
      <c r="G1227" t="s">
        <v>65</v>
      </c>
      <c r="H1227" t="s">
        <v>14</v>
      </c>
    </row>
    <row r="1228" spans="1:8" x14ac:dyDescent="0.25">
      <c r="A1228" t="s">
        <v>38</v>
      </c>
      <c r="B1228" t="s">
        <v>55</v>
      </c>
      <c r="C1228">
        <v>1</v>
      </c>
      <c r="D1228" s="9">
        <v>1500</v>
      </c>
      <c r="E1228" s="9">
        <f>+Tablo3[[#This Row],[Birim Fiyat]]*Tablo3[[#This Row],[Satış Adet]]</f>
        <v>1500</v>
      </c>
      <c r="F1228" s="9">
        <v>700</v>
      </c>
      <c r="G1228" t="s">
        <v>65</v>
      </c>
      <c r="H1228" t="s">
        <v>44</v>
      </c>
    </row>
    <row r="1229" spans="1:8" x14ac:dyDescent="0.25">
      <c r="A1229" t="s">
        <v>36</v>
      </c>
      <c r="B1229" t="s">
        <v>32</v>
      </c>
      <c r="C1229">
        <v>2</v>
      </c>
      <c r="D1229" s="9">
        <v>1090</v>
      </c>
      <c r="E1229" s="9">
        <f>+Tablo3[[#This Row],[Birim Fiyat]]*Tablo3[[#This Row],[Satış Adet]]</f>
        <v>2180</v>
      </c>
      <c r="F1229" s="9">
        <v>580</v>
      </c>
      <c r="G1229" t="s">
        <v>65</v>
      </c>
      <c r="H1229" t="s">
        <v>42</v>
      </c>
    </row>
    <row r="1230" spans="1:8" x14ac:dyDescent="0.25">
      <c r="A1230" t="s">
        <v>46</v>
      </c>
      <c r="B1230" t="s">
        <v>34</v>
      </c>
      <c r="C1230">
        <v>3</v>
      </c>
      <c r="D1230" s="9">
        <v>1800</v>
      </c>
      <c r="E1230" s="9">
        <f>+Tablo3[[#This Row],[Birim Fiyat]]*Tablo3[[#This Row],[Satış Adet]]</f>
        <v>5400</v>
      </c>
      <c r="F1230" s="9">
        <v>3000</v>
      </c>
      <c r="G1230" t="s">
        <v>65</v>
      </c>
      <c r="H1230" t="s">
        <v>35</v>
      </c>
    </row>
    <row r="1231" spans="1:8" x14ac:dyDescent="0.25">
      <c r="A1231" t="s">
        <v>33</v>
      </c>
      <c r="B1231" t="s">
        <v>53</v>
      </c>
      <c r="C1231">
        <v>2</v>
      </c>
      <c r="D1231" s="9">
        <v>7530</v>
      </c>
      <c r="E1231" s="9">
        <f>+Tablo3[[#This Row],[Birim Fiyat]]*Tablo3[[#This Row],[Satış Adet]]</f>
        <v>15060</v>
      </c>
      <c r="F1231" s="9">
        <v>3060</v>
      </c>
      <c r="G1231" t="s">
        <v>65</v>
      </c>
      <c r="H1231" t="s">
        <v>27</v>
      </c>
    </row>
    <row r="1232" spans="1:8" x14ac:dyDescent="0.25">
      <c r="A1232" t="s">
        <v>30</v>
      </c>
      <c r="B1232" t="s">
        <v>26</v>
      </c>
      <c r="C1232">
        <v>3</v>
      </c>
      <c r="D1232" s="9">
        <v>1100</v>
      </c>
      <c r="E1232" s="9">
        <f>+Tablo3[[#This Row],[Birim Fiyat]]*Tablo3[[#This Row],[Satış Adet]]</f>
        <v>3300</v>
      </c>
      <c r="F1232" s="9">
        <v>900</v>
      </c>
      <c r="G1232" t="s">
        <v>65</v>
      </c>
      <c r="H1232" t="s">
        <v>27</v>
      </c>
    </row>
    <row r="1233" spans="1:8" x14ac:dyDescent="0.25">
      <c r="A1233" t="s">
        <v>38</v>
      </c>
      <c r="B1233" t="s">
        <v>19</v>
      </c>
      <c r="C1233">
        <v>3</v>
      </c>
      <c r="D1233" s="9">
        <v>1350</v>
      </c>
      <c r="E1233" s="9">
        <f>+Tablo3[[#This Row],[Birim Fiyat]]*Tablo3[[#This Row],[Satış Adet]]</f>
        <v>4050</v>
      </c>
      <c r="F1233" s="9">
        <v>1650</v>
      </c>
      <c r="G1233" t="s">
        <v>65</v>
      </c>
      <c r="H1233" t="s">
        <v>24</v>
      </c>
    </row>
    <row r="1234" spans="1:8" x14ac:dyDescent="0.25">
      <c r="A1234" t="s">
        <v>36</v>
      </c>
      <c r="B1234" t="s">
        <v>19</v>
      </c>
      <c r="C1234">
        <v>1</v>
      </c>
      <c r="D1234" s="9">
        <v>1350</v>
      </c>
      <c r="E1234" s="9">
        <f>+Tablo3[[#This Row],[Birim Fiyat]]*Tablo3[[#This Row],[Satış Adet]]</f>
        <v>1350</v>
      </c>
      <c r="F1234" s="9">
        <v>550</v>
      </c>
      <c r="G1234" t="s">
        <v>65</v>
      </c>
      <c r="H1234" t="s">
        <v>24</v>
      </c>
    </row>
    <row r="1235" spans="1:8" x14ac:dyDescent="0.25">
      <c r="A1235" t="s">
        <v>33</v>
      </c>
      <c r="B1235" t="s">
        <v>32</v>
      </c>
      <c r="C1235">
        <v>2</v>
      </c>
      <c r="D1235" s="9">
        <v>1090</v>
      </c>
      <c r="E1235" s="9">
        <f>+Tablo3[[#This Row],[Birim Fiyat]]*Tablo3[[#This Row],[Satış Adet]]</f>
        <v>2180</v>
      </c>
      <c r="F1235" s="9">
        <v>580</v>
      </c>
      <c r="G1235" t="s">
        <v>65</v>
      </c>
      <c r="H1235" t="s">
        <v>27</v>
      </c>
    </row>
    <row r="1236" spans="1:8" x14ac:dyDescent="0.25">
      <c r="A1236" t="s">
        <v>33</v>
      </c>
      <c r="B1236" t="s">
        <v>43</v>
      </c>
      <c r="C1236">
        <v>1</v>
      </c>
      <c r="D1236" s="9">
        <v>4200</v>
      </c>
      <c r="E1236" s="9">
        <f>+Tablo3[[#This Row],[Birim Fiyat]]*Tablo3[[#This Row],[Satış Adet]]</f>
        <v>4200</v>
      </c>
      <c r="F1236" s="9">
        <v>1200</v>
      </c>
      <c r="G1236" t="s">
        <v>65</v>
      </c>
      <c r="H1236" t="s">
        <v>29</v>
      </c>
    </row>
    <row r="1237" spans="1:8" x14ac:dyDescent="0.25">
      <c r="A1237" t="s">
        <v>38</v>
      </c>
      <c r="B1237" t="s">
        <v>31</v>
      </c>
      <c r="C1237">
        <v>2</v>
      </c>
      <c r="D1237" s="9">
        <v>1800</v>
      </c>
      <c r="E1237" s="9">
        <f>+Tablo3[[#This Row],[Birim Fiyat]]*Tablo3[[#This Row],[Satış Adet]]</f>
        <v>3600</v>
      </c>
      <c r="F1237" s="9">
        <v>2000</v>
      </c>
      <c r="G1237" t="s">
        <v>65</v>
      </c>
      <c r="H1237" t="s">
        <v>40</v>
      </c>
    </row>
    <row r="1238" spans="1:8" x14ac:dyDescent="0.25">
      <c r="A1238" t="s">
        <v>48</v>
      </c>
      <c r="B1238" t="s">
        <v>32</v>
      </c>
      <c r="C1238">
        <v>1</v>
      </c>
      <c r="D1238" s="9">
        <v>1090</v>
      </c>
      <c r="E1238" s="9">
        <f>+Tablo3[[#This Row],[Birim Fiyat]]*Tablo3[[#This Row],[Satış Adet]]</f>
        <v>1090</v>
      </c>
      <c r="F1238" s="9">
        <v>290</v>
      </c>
      <c r="G1238" t="s">
        <v>65</v>
      </c>
      <c r="H1238" t="s">
        <v>17</v>
      </c>
    </row>
    <row r="1239" spans="1:8" x14ac:dyDescent="0.25">
      <c r="A1239" t="s">
        <v>8</v>
      </c>
      <c r="B1239" t="s">
        <v>23</v>
      </c>
      <c r="C1239">
        <v>1</v>
      </c>
      <c r="D1239" s="9">
        <v>7600</v>
      </c>
      <c r="E1239" s="9">
        <f>+Tablo3[[#This Row],[Birim Fiyat]]*Tablo3[[#This Row],[Satış Adet]]</f>
        <v>7600</v>
      </c>
      <c r="F1239" s="9">
        <v>1600</v>
      </c>
      <c r="G1239" t="s">
        <v>65</v>
      </c>
      <c r="H1239" t="s">
        <v>42</v>
      </c>
    </row>
    <row r="1240" spans="1:8" x14ac:dyDescent="0.25">
      <c r="A1240" t="s">
        <v>36</v>
      </c>
      <c r="B1240" t="s">
        <v>23</v>
      </c>
      <c r="C1240">
        <v>3</v>
      </c>
      <c r="D1240" s="9">
        <v>7600</v>
      </c>
      <c r="E1240" s="9">
        <f>+Tablo3[[#This Row],[Birim Fiyat]]*Tablo3[[#This Row],[Satış Adet]]</f>
        <v>22800</v>
      </c>
      <c r="F1240" s="9">
        <v>4800</v>
      </c>
      <c r="G1240" t="s">
        <v>65</v>
      </c>
      <c r="H1240" t="s">
        <v>42</v>
      </c>
    </row>
    <row r="1241" spans="1:8" x14ac:dyDescent="0.25">
      <c r="A1241" t="s">
        <v>15</v>
      </c>
      <c r="B1241" t="s">
        <v>56</v>
      </c>
      <c r="C1241">
        <v>1</v>
      </c>
      <c r="D1241" s="9">
        <v>3700</v>
      </c>
      <c r="E1241" s="9">
        <f>+Tablo3[[#This Row],[Birim Fiyat]]*Tablo3[[#This Row],[Satış Adet]]</f>
        <v>3700</v>
      </c>
      <c r="F1241" s="9">
        <v>700</v>
      </c>
      <c r="G1241" t="s">
        <v>65</v>
      </c>
      <c r="H1241" t="s">
        <v>20</v>
      </c>
    </row>
    <row r="1242" spans="1:8" x14ac:dyDescent="0.25">
      <c r="A1242" t="s">
        <v>22</v>
      </c>
      <c r="B1242" t="s">
        <v>25</v>
      </c>
      <c r="C1242">
        <v>3</v>
      </c>
      <c r="D1242" s="9">
        <v>7250</v>
      </c>
      <c r="E1242" s="9">
        <f>+Tablo3[[#This Row],[Birim Fiyat]]*Tablo3[[#This Row],[Satış Adet]]</f>
        <v>21750</v>
      </c>
      <c r="F1242" s="9">
        <v>6750</v>
      </c>
      <c r="G1242" t="s">
        <v>65</v>
      </c>
      <c r="H1242" t="s">
        <v>40</v>
      </c>
    </row>
    <row r="1243" spans="1:8" x14ac:dyDescent="0.25">
      <c r="A1243" t="s">
        <v>12</v>
      </c>
      <c r="B1243" t="s">
        <v>23</v>
      </c>
      <c r="C1243">
        <v>3</v>
      </c>
      <c r="D1243" s="9">
        <v>7600</v>
      </c>
      <c r="E1243" s="9">
        <f>+Tablo3[[#This Row],[Birim Fiyat]]*Tablo3[[#This Row],[Satış Adet]]</f>
        <v>22800</v>
      </c>
      <c r="F1243" s="9">
        <v>4800</v>
      </c>
      <c r="G1243" t="s">
        <v>65</v>
      </c>
      <c r="H1243" t="s">
        <v>40</v>
      </c>
    </row>
    <row r="1244" spans="1:8" x14ac:dyDescent="0.25">
      <c r="A1244" t="s">
        <v>46</v>
      </c>
      <c r="B1244" t="s">
        <v>43</v>
      </c>
      <c r="C1244">
        <v>1</v>
      </c>
      <c r="D1244" s="9">
        <v>4200</v>
      </c>
      <c r="E1244" s="9">
        <f>+Tablo3[[#This Row],[Birim Fiyat]]*Tablo3[[#This Row],[Satış Adet]]</f>
        <v>4200</v>
      </c>
      <c r="F1244" s="9">
        <v>1200</v>
      </c>
      <c r="G1244" t="s">
        <v>65</v>
      </c>
      <c r="H1244" t="s">
        <v>35</v>
      </c>
    </row>
    <row r="1245" spans="1:8" x14ac:dyDescent="0.25">
      <c r="A1245" t="s">
        <v>30</v>
      </c>
      <c r="B1245" t="s">
        <v>50</v>
      </c>
      <c r="C1245">
        <v>3</v>
      </c>
      <c r="D1245" s="9">
        <v>1250</v>
      </c>
      <c r="E1245" s="9">
        <f>+Tablo3[[#This Row],[Birim Fiyat]]*Tablo3[[#This Row],[Satış Adet]]</f>
        <v>3750</v>
      </c>
      <c r="F1245" s="9">
        <v>1350</v>
      </c>
      <c r="G1245" t="s">
        <v>65</v>
      </c>
      <c r="H1245" t="s">
        <v>29</v>
      </c>
    </row>
    <row r="1246" spans="1:8" x14ac:dyDescent="0.25">
      <c r="A1246" t="s">
        <v>36</v>
      </c>
      <c r="B1246" t="s">
        <v>32</v>
      </c>
      <c r="C1246">
        <v>1</v>
      </c>
      <c r="D1246" s="9">
        <v>1090</v>
      </c>
      <c r="E1246" s="9">
        <f>+Tablo3[[#This Row],[Birim Fiyat]]*Tablo3[[#This Row],[Satış Adet]]</f>
        <v>1090</v>
      </c>
      <c r="F1246" s="9">
        <v>290</v>
      </c>
      <c r="G1246" t="s">
        <v>65</v>
      </c>
      <c r="H1246" t="s">
        <v>29</v>
      </c>
    </row>
    <row r="1247" spans="1:8" x14ac:dyDescent="0.25">
      <c r="A1247" t="s">
        <v>18</v>
      </c>
      <c r="B1247" t="s">
        <v>21</v>
      </c>
      <c r="C1247">
        <v>1</v>
      </c>
      <c r="D1247" s="9">
        <v>2180</v>
      </c>
      <c r="E1247" s="9">
        <f>+Tablo3[[#This Row],[Birim Fiyat]]*Tablo3[[#This Row],[Satış Adet]]</f>
        <v>2180</v>
      </c>
      <c r="F1247" s="9">
        <v>680</v>
      </c>
      <c r="G1247" t="s">
        <v>65</v>
      </c>
      <c r="H1247" t="s">
        <v>35</v>
      </c>
    </row>
    <row r="1248" spans="1:8" x14ac:dyDescent="0.25">
      <c r="A1248" t="s">
        <v>48</v>
      </c>
      <c r="B1248" t="s">
        <v>56</v>
      </c>
      <c r="C1248">
        <v>2</v>
      </c>
      <c r="D1248" s="9">
        <v>3700</v>
      </c>
      <c r="E1248" s="9">
        <f>+Tablo3[[#This Row],[Birim Fiyat]]*Tablo3[[#This Row],[Satış Adet]]</f>
        <v>7400</v>
      </c>
      <c r="F1248" s="9">
        <v>1400</v>
      </c>
      <c r="G1248" t="s">
        <v>65</v>
      </c>
      <c r="H1248" t="s">
        <v>17</v>
      </c>
    </row>
    <row r="1249" spans="1:8" x14ac:dyDescent="0.25">
      <c r="A1249" t="s">
        <v>38</v>
      </c>
      <c r="B1249" t="s">
        <v>9</v>
      </c>
      <c r="C1249">
        <v>2</v>
      </c>
      <c r="D1249" s="9">
        <v>6000</v>
      </c>
      <c r="E1249" s="9">
        <f>+Tablo3[[#This Row],[Birim Fiyat]]*Tablo3[[#This Row],[Satış Adet]]</f>
        <v>12000</v>
      </c>
      <c r="F1249" s="9">
        <v>4000</v>
      </c>
      <c r="G1249" t="s">
        <v>65</v>
      </c>
      <c r="H1249" t="s">
        <v>29</v>
      </c>
    </row>
    <row r="1250" spans="1:8" x14ac:dyDescent="0.25">
      <c r="A1250" t="s">
        <v>46</v>
      </c>
      <c r="B1250" t="s">
        <v>50</v>
      </c>
      <c r="C1250">
        <v>2</v>
      </c>
      <c r="D1250" s="9">
        <v>1250</v>
      </c>
      <c r="E1250" s="9">
        <f>+Tablo3[[#This Row],[Birim Fiyat]]*Tablo3[[#This Row],[Satış Adet]]</f>
        <v>2500</v>
      </c>
      <c r="F1250" s="9">
        <v>900</v>
      </c>
      <c r="G1250" t="s">
        <v>65</v>
      </c>
      <c r="H1250" t="s">
        <v>24</v>
      </c>
    </row>
    <row r="1251" spans="1:8" x14ac:dyDescent="0.25">
      <c r="A1251" t="s">
        <v>48</v>
      </c>
      <c r="B1251" t="s">
        <v>23</v>
      </c>
      <c r="C1251">
        <v>1</v>
      </c>
      <c r="D1251" s="9">
        <v>7600</v>
      </c>
      <c r="E1251" s="9">
        <f>+Tablo3[[#This Row],[Birim Fiyat]]*Tablo3[[#This Row],[Satış Adet]]</f>
        <v>7600</v>
      </c>
      <c r="F1251" s="9">
        <v>1600</v>
      </c>
      <c r="G1251" t="s">
        <v>65</v>
      </c>
      <c r="H1251" t="s">
        <v>40</v>
      </c>
    </row>
    <row r="1252" spans="1:8" x14ac:dyDescent="0.25">
      <c r="A1252" t="s">
        <v>8</v>
      </c>
      <c r="B1252" t="s">
        <v>13</v>
      </c>
      <c r="C1252">
        <v>2</v>
      </c>
      <c r="D1252" s="9">
        <v>1400</v>
      </c>
      <c r="E1252" s="9">
        <f>+Tablo3[[#This Row],[Birim Fiyat]]*Tablo3[[#This Row],[Satış Adet]]</f>
        <v>2800</v>
      </c>
      <c r="F1252" s="9">
        <v>1200</v>
      </c>
      <c r="G1252" t="s">
        <v>65</v>
      </c>
      <c r="H1252" t="s">
        <v>27</v>
      </c>
    </row>
    <row r="1253" spans="1:8" x14ac:dyDescent="0.25">
      <c r="A1253" t="s">
        <v>22</v>
      </c>
      <c r="B1253" t="s">
        <v>21</v>
      </c>
      <c r="C1253">
        <v>2</v>
      </c>
      <c r="D1253" s="9">
        <v>2180</v>
      </c>
      <c r="E1253" s="9">
        <f>+Tablo3[[#This Row],[Birim Fiyat]]*Tablo3[[#This Row],[Satış Adet]]</f>
        <v>4360</v>
      </c>
      <c r="F1253" s="9">
        <v>1360</v>
      </c>
      <c r="G1253" t="s">
        <v>65</v>
      </c>
      <c r="H1253" t="s">
        <v>14</v>
      </c>
    </row>
    <row r="1254" spans="1:8" x14ac:dyDescent="0.25">
      <c r="A1254" t="s">
        <v>8</v>
      </c>
      <c r="B1254" t="s">
        <v>31</v>
      </c>
      <c r="C1254">
        <v>3</v>
      </c>
      <c r="D1254" s="9">
        <v>1800</v>
      </c>
      <c r="E1254" s="9">
        <f>+Tablo3[[#This Row],[Birim Fiyat]]*Tablo3[[#This Row],[Satış Adet]]</f>
        <v>5400</v>
      </c>
      <c r="F1254" s="9">
        <v>3000</v>
      </c>
      <c r="G1254" t="s">
        <v>65</v>
      </c>
      <c r="H1254" t="s">
        <v>40</v>
      </c>
    </row>
    <row r="1255" spans="1:8" x14ac:dyDescent="0.25">
      <c r="A1255" t="s">
        <v>15</v>
      </c>
      <c r="B1255" t="s">
        <v>55</v>
      </c>
      <c r="C1255">
        <v>1</v>
      </c>
      <c r="D1255" s="9">
        <v>1500</v>
      </c>
      <c r="E1255" s="9">
        <f>+Tablo3[[#This Row],[Birim Fiyat]]*Tablo3[[#This Row],[Satış Adet]]</f>
        <v>1500</v>
      </c>
      <c r="F1255" s="9">
        <v>700</v>
      </c>
      <c r="G1255" t="s">
        <v>65</v>
      </c>
      <c r="H1255" t="s">
        <v>17</v>
      </c>
    </row>
    <row r="1256" spans="1:8" x14ac:dyDescent="0.25">
      <c r="A1256" t="s">
        <v>30</v>
      </c>
      <c r="B1256" t="s">
        <v>16</v>
      </c>
      <c r="C1256">
        <v>3</v>
      </c>
      <c r="D1256" s="9">
        <v>8450</v>
      </c>
      <c r="E1256" s="9">
        <f>+Tablo3[[#This Row],[Birim Fiyat]]*Tablo3[[#This Row],[Satış Adet]]</f>
        <v>25350</v>
      </c>
      <c r="F1256" s="9">
        <v>7350</v>
      </c>
      <c r="G1256" t="s">
        <v>65</v>
      </c>
      <c r="H1256" t="s">
        <v>27</v>
      </c>
    </row>
    <row r="1257" spans="1:8" x14ac:dyDescent="0.25">
      <c r="A1257" t="s">
        <v>38</v>
      </c>
      <c r="B1257" t="s">
        <v>55</v>
      </c>
      <c r="C1257">
        <v>3</v>
      </c>
      <c r="D1257" s="9">
        <v>1500</v>
      </c>
      <c r="E1257" s="9">
        <f>+Tablo3[[#This Row],[Birim Fiyat]]*Tablo3[[#This Row],[Satış Adet]]</f>
        <v>4500</v>
      </c>
      <c r="F1257" s="9">
        <v>2100</v>
      </c>
      <c r="G1257" t="s">
        <v>65</v>
      </c>
      <c r="H1257" t="s">
        <v>14</v>
      </c>
    </row>
    <row r="1258" spans="1:8" x14ac:dyDescent="0.25">
      <c r="A1258" t="s">
        <v>67</v>
      </c>
      <c r="B1258" t="s">
        <v>9</v>
      </c>
      <c r="C1258">
        <v>3</v>
      </c>
      <c r="D1258" s="9">
        <v>6000</v>
      </c>
      <c r="E1258" s="9">
        <f>+Tablo3[[#This Row],[Birim Fiyat]]*Tablo3[[#This Row],[Satış Adet]]</f>
        <v>18000</v>
      </c>
      <c r="F1258" s="9">
        <v>6000</v>
      </c>
      <c r="G1258" t="s">
        <v>65</v>
      </c>
      <c r="H1258" t="s">
        <v>24</v>
      </c>
    </row>
    <row r="1259" spans="1:8" x14ac:dyDescent="0.25">
      <c r="A1259" t="s">
        <v>48</v>
      </c>
      <c r="B1259" t="s">
        <v>51</v>
      </c>
      <c r="C1259">
        <v>1</v>
      </c>
      <c r="D1259" s="9">
        <v>1200</v>
      </c>
      <c r="E1259" s="9">
        <f>+Tablo3[[#This Row],[Birim Fiyat]]*Tablo3[[#This Row],[Satış Adet]]</f>
        <v>1200</v>
      </c>
      <c r="F1259" s="9">
        <v>400</v>
      </c>
      <c r="G1259" t="s">
        <v>65</v>
      </c>
      <c r="H1259" t="s">
        <v>44</v>
      </c>
    </row>
    <row r="1260" spans="1:8" x14ac:dyDescent="0.25">
      <c r="A1260" t="s">
        <v>8</v>
      </c>
      <c r="B1260" t="s">
        <v>43</v>
      </c>
      <c r="C1260">
        <v>3</v>
      </c>
      <c r="D1260" s="9">
        <v>4200</v>
      </c>
      <c r="E1260" s="9">
        <f>+Tablo3[[#This Row],[Birim Fiyat]]*Tablo3[[#This Row],[Satış Adet]]</f>
        <v>12600</v>
      </c>
      <c r="F1260" s="9">
        <v>3600</v>
      </c>
      <c r="G1260" t="s">
        <v>65</v>
      </c>
      <c r="H1260" t="s">
        <v>17</v>
      </c>
    </row>
    <row r="1261" spans="1:8" x14ac:dyDescent="0.25">
      <c r="A1261" t="s">
        <v>46</v>
      </c>
      <c r="B1261" t="s">
        <v>23</v>
      </c>
      <c r="C1261">
        <v>3</v>
      </c>
      <c r="D1261" s="9">
        <v>7600</v>
      </c>
      <c r="E1261" s="9">
        <f>+Tablo3[[#This Row],[Birim Fiyat]]*Tablo3[[#This Row],[Satış Adet]]</f>
        <v>22800</v>
      </c>
      <c r="F1261" s="9">
        <v>4800</v>
      </c>
      <c r="G1261" t="s">
        <v>65</v>
      </c>
      <c r="H1261" t="s">
        <v>42</v>
      </c>
    </row>
    <row r="1262" spans="1:8" x14ac:dyDescent="0.25">
      <c r="A1262" t="s">
        <v>67</v>
      </c>
      <c r="B1262" t="s">
        <v>25</v>
      </c>
      <c r="C1262">
        <v>2</v>
      </c>
      <c r="D1262" s="9">
        <v>7250</v>
      </c>
      <c r="E1262" s="9">
        <f>+Tablo3[[#This Row],[Birim Fiyat]]*Tablo3[[#This Row],[Satış Adet]]</f>
        <v>14500</v>
      </c>
      <c r="F1262" s="9">
        <v>4500</v>
      </c>
      <c r="G1262" t="s">
        <v>65</v>
      </c>
      <c r="H1262" t="s">
        <v>52</v>
      </c>
    </row>
    <row r="1263" spans="1:8" x14ac:dyDescent="0.25">
      <c r="A1263" t="s">
        <v>12</v>
      </c>
      <c r="B1263" t="s">
        <v>53</v>
      </c>
      <c r="C1263">
        <v>2</v>
      </c>
      <c r="D1263" s="9">
        <v>7530</v>
      </c>
      <c r="E1263" s="9">
        <f>+Tablo3[[#This Row],[Birim Fiyat]]*Tablo3[[#This Row],[Satış Adet]]</f>
        <v>15060</v>
      </c>
      <c r="F1263" s="9">
        <v>3060</v>
      </c>
      <c r="G1263" t="s">
        <v>65</v>
      </c>
      <c r="H1263" t="s">
        <v>11</v>
      </c>
    </row>
    <row r="1264" spans="1:8" x14ac:dyDescent="0.25">
      <c r="A1264" t="s">
        <v>15</v>
      </c>
      <c r="B1264" t="s">
        <v>25</v>
      </c>
      <c r="C1264">
        <v>2</v>
      </c>
      <c r="D1264" s="9">
        <v>7250</v>
      </c>
      <c r="E1264" s="9">
        <f>+Tablo3[[#This Row],[Birim Fiyat]]*Tablo3[[#This Row],[Satış Adet]]</f>
        <v>14500</v>
      </c>
      <c r="F1264" s="9">
        <v>4500</v>
      </c>
      <c r="G1264" t="s">
        <v>65</v>
      </c>
      <c r="H1264" t="s">
        <v>17</v>
      </c>
    </row>
    <row r="1265" spans="1:8" x14ac:dyDescent="0.25">
      <c r="A1265" t="s">
        <v>12</v>
      </c>
      <c r="B1265" t="s">
        <v>9</v>
      </c>
      <c r="C1265">
        <v>1</v>
      </c>
      <c r="D1265" s="9">
        <v>6000</v>
      </c>
      <c r="E1265" s="9">
        <f>+Tablo3[[#This Row],[Birim Fiyat]]*Tablo3[[#This Row],[Satış Adet]]</f>
        <v>6000</v>
      </c>
      <c r="F1265" s="9">
        <v>2000</v>
      </c>
      <c r="G1265" t="s">
        <v>65</v>
      </c>
      <c r="H1265" t="s">
        <v>29</v>
      </c>
    </row>
    <row r="1266" spans="1:8" x14ac:dyDescent="0.25">
      <c r="A1266" t="s">
        <v>67</v>
      </c>
      <c r="B1266" t="s">
        <v>51</v>
      </c>
      <c r="C1266">
        <v>3</v>
      </c>
      <c r="D1266" s="9">
        <v>1200</v>
      </c>
      <c r="E1266" s="9">
        <f>+Tablo3[[#This Row],[Birim Fiyat]]*Tablo3[[#This Row],[Satış Adet]]</f>
        <v>3600</v>
      </c>
      <c r="F1266" s="9">
        <v>1200</v>
      </c>
      <c r="G1266" t="s">
        <v>65</v>
      </c>
      <c r="H1266" t="s">
        <v>39</v>
      </c>
    </row>
    <row r="1267" spans="1:8" x14ac:dyDescent="0.25">
      <c r="A1267" t="s">
        <v>48</v>
      </c>
      <c r="B1267" t="s">
        <v>54</v>
      </c>
      <c r="C1267">
        <v>2</v>
      </c>
      <c r="D1267" s="9">
        <v>5300</v>
      </c>
      <c r="E1267" s="9">
        <f>+Tablo3[[#This Row],[Birim Fiyat]]*Tablo3[[#This Row],[Satış Adet]]</f>
        <v>10600</v>
      </c>
      <c r="F1267" s="9">
        <v>2600</v>
      </c>
      <c r="G1267" t="s">
        <v>65</v>
      </c>
      <c r="H1267" t="s">
        <v>39</v>
      </c>
    </row>
    <row r="1268" spans="1:8" x14ac:dyDescent="0.25">
      <c r="A1268" t="s">
        <v>36</v>
      </c>
      <c r="B1268" t="s">
        <v>16</v>
      </c>
      <c r="C1268">
        <v>2</v>
      </c>
      <c r="D1268" s="9">
        <v>8450</v>
      </c>
      <c r="E1268" s="9">
        <f>+Tablo3[[#This Row],[Birim Fiyat]]*Tablo3[[#This Row],[Satış Adet]]</f>
        <v>16900</v>
      </c>
      <c r="F1268" s="9">
        <v>4900</v>
      </c>
      <c r="G1268" t="s">
        <v>65</v>
      </c>
      <c r="H1268" t="s">
        <v>42</v>
      </c>
    </row>
    <row r="1269" spans="1:8" x14ac:dyDescent="0.25">
      <c r="A1269" t="s">
        <v>22</v>
      </c>
      <c r="B1269" t="s">
        <v>19</v>
      </c>
      <c r="C1269">
        <v>1</v>
      </c>
      <c r="D1269" s="9">
        <v>1350</v>
      </c>
      <c r="E1269" s="9">
        <f>+Tablo3[[#This Row],[Birim Fiyat]]*Tablo3[[#This Row],[Satış Adet]]</f>
        <v>1350</v>
      </c>
      <c r="F1269" s="9">
        <v>550</v>
      </c>
      <c r="G1269" t="s">
        <v>65</v>
      </c>
      <c r="H1269" t="s">
        <v>17</v>
      </c>
    </row>
    <row r="1270" spans="1:8" x14ac:dyDescent="0.25">
      <c r="A1270" t="s">
        <v>30</v>
      </c>
      <c r="B1270" t="s">
        <v>32</v>
      </c>
      <c r="C1270">
        <v>1</v>
      </c>
      <c r="D1270" s="9">
        <v>1090</v>
      </c>
      <c r="E1270" s="9">
        <f>+Tablo3[[#This Row],[Birim Fiyat]]*Tablo3[[#This Row],[Satış Adet]]</f>
        <v>1090</v>
      </c>
      <c r="F1270" s="9">
        <v>290</v>
      </c>
      <c r="G1270" t="s">
        <v>65</v>
      </c>
      <c r="H1270" t="s">
        <v>35</v>
      </c>
    </row>
    <row r="1271" spans="1:8" x14ac:dyDescent="0.25">
      <c r="A1271" t="s">
        <v>22</v>
      </c>
      <c r="B1271" t="s">
        <v>21</v>
      </c>
      <c r="C1271">
        <v>1</v>
      </c>
      <c r="D1271" s="9">
        <v>2180</v>
      </c>
      <c r="E1271" s="9">
        <f>+Tablo3[[#This Row],[Birim Fiyat]]*Tablo3[[#This Row],[Satış Adet]]</f>
        <v>2180</v>
      </c>
      <c r="F1271" s="9">
        <v>680</v>
      </c>
      <c r="G1271" t="s">
        <v>65</v>
      </c>
      <c r="H1271" t="s">
        <v>52</v>
      </c>
    </row>
    <row r="1272" spans="1:8" x14ac:dyDescent="0.25">
      <c r="A1272" t="s">
        <v>8</v>
      </c>
      <c r="B1272" t="s">
        <v>9</v>
      </c>
      <c r="C1272">
        <v>2</v>
      </c>
      <c r="D1272" s="9">
        <v>6000</v>
      </c>
      <c r="E1272" s="9">
        <f>+Tablo3[[#This Row],[Birim Fiyat]]*Tablo3[[#This Row],[Satış Adet]]</f>
        <v>12000</v>
      </c>
      <c r="F1272" s="9">
        <v>4000</v>
      </c>
      <c r="G1272" t="s">
        <v>65</v>
      </c>
      <c r="H1272" t="s">
        <v>14</v>
      </c>
    </row>
    <row r="1273" spans="1:8" x14ac:dyDescent="0.25">
      <c r="A1273" t="s">
        <v>12</v>
      </c>
      <c r="B1273" t="s">
        <v>13</v>
      </c>
      <c r="C1273">
        <v>2</v>
      </c>
      <c r="D1273" s="9">
        <v>1400</v>
      </c>
      <c r="E1273" s="9">
        <f>+Tablo3[[#This Row],[Birim Fiyat]]*Tablo3[[#This Row],[Satış Adet]]</f>
        <v>2800</v>
      </c>
      <c r="F1273" s="9">
        <v>1200</v>
      </c>
      <c r="G1273" t="s">
        <v>65</v>
      </c>
      <c r="H1273" t="s">
        <v>40</v>
      </c>
    </row>
    <row r="1274" spans="1:8" x14ac:dyDescent="0.25">
      <c r="A1274" t="s">
        <v>15</v>
      </c>
      <c r="B1274" t="s">
        <v>16</v>
      </c>
      <c r="C1274">
        <v>2</v>
      </c>
      <c r="D1274" s="9">
        <v>8450</v>
      </c>
      <c r="E1274" s="9">
        <f>+Tablo3[[#This Row],[Birim Fiyat]]*Tablo3[[#This Row],[Satış Adet]]</f>
        <v>16900</v>
      </c>
      <c r="F1274" s="9">
        <v>4900</v>
      </c>
      <c r="G1274" t="s">
        <v>65</v>
      </c>
      <c r="H1274" t="s">
        <v>14</v>
      </c>
    </row>
    <row r="1275" spans="1:8" x14ac:dyDescent="0.25">
      <c r="A1275" t="s">
        <v>18</v>
      </c>
      <c r="B1275" t="s">
        <v>19</v>
      </c>
      <c r="C1275">
        <v>3</v>
      </c>
      <c r="D1275" s="9">
        <v>1350</v>
      </c>
      <c r="E1275" s="9">
        <f>+Tablo3[[#This Row],[Birim Fiyat]]*Tablo3[[#This Row],[Satış Adet]]</f>
        <v>4050</v>
      </c>
      <c r="F1275" s="9">
        <v>1650</v>
      </c>
      <c r="G1275" t="s">
        <v>65</v>
      </c>
      <c r="H1275" t="s">
        <v>17</v>
      </c>
    </row>
    <row r="1276" spans="1:8" x14ac:dyDescent="0.25">
      <c r="A1276" t="s">
        <v>8</v>
      </c>
      <c r="B1276" t="s">
        <v>21</v>
      </c>
      <c r="C1276">
        <v>2</v>
      </c>
      <c r="D1276" s="9">
        <v>2180</v>
      </c>
      <c r="E1276" s="9">
        <f>+Tablo3[[#This Row],[Birim Fiyat]]*Tablo3[[#This Row],[Satış Adet]]</f>
        <v>4360</v>
      </c>
      <c r="F1276" s="9">
        <v>1360</v>
      </c>
      <c r="G1276" t="s">
        <v>65</v>
      </c>
      <c r="H1276" t="s">
        <v>27</v>
      </c>
    </row>
    <row r="1277" spans="1:8" x14ac:dyDescent="0.25">
      <c r="A1277" t="s">
        <v>22</v>
      </c>
      <c r="B1277" t="s">
        <v>23</v>
      </c>
      <c r="C1277">
        <v>2</v>
      </c>
      <c r="D1277" s="9">
        <v>7600</v>
      </c>
      <c r="E1277" s="9">
        <f>+Tablo3[[#This Row],[Birim Fiyat]]*Tablo3[[#This Row],[Satış Adet]]</f>
        <v>15200</v>
      </c>
      <c r="F1277" s="9">
        <v>3200</v>
      </c>
      <c r="G1277" t="s">
        <v>65</v>
      </c>
      <c r="H1277" t="s">
        <v>39</v>
      </c>
    </row>
    <row r="1278" spans="1:8" x14ac:dyDescent="0.25">
      <c r="A1278" t="s">
        <v>12</v>
      </c>
      <c r="B1278" t="s">
        <v>25</v>
      </c>
      <c r="C1278">
        <v>2</v>
      </c>
      <c r="D1278" s="9">
        <v>7250</v>
      </c>
      <c r="E1278" s="9">
        <f>+Tablo3[[#This Row],[Birim Fiyat]]*Tablo3[[#This Row],[Satış Adet]]</f>
        <v>14500</v>
      </c>
      <c r="F1278" s="9">
        <v>4500</v>
      </c>
      <c r="G1278" t="s">
        <v>65</v>
      </c>
      <c r="H1278" t="s">
        <v>20</v>
      </c>
    </row>
    <row r="1279" spans="1:8" x14ac:dyDescent="0.25">
      <c r="A1279" t="s">
        <v>18</v>
      </c>
      <c r="B1279" t="s">
        <v>26</v>
      </c>
      <c r="C1279">
        <v>3</v>
      </c>
      <c r="D1279" s="9">
        <v>1100</v>
      </c>
      <c r="E1279" s="9">
        <f>+Tablo3[[#This Row],[Birim Fiyat]]*Tablo3[[#This Row],[Satış Adet]]</f>
        <v>3300</v>
      </c>
      <c r="F1279" s="9">
        <v>900</v>
      </c>
      <c r="G1279" t="s">
        <v>65</v>
      </c>
      <c r="H1279" t="s">
        <v>27</v>
      </c>
    </row>
    <row r="1280" spans="1:8" x14ac:dyDescent="0.25">
      <c r="A1280" t="s">
        <v>67</v>
      </c>
      <c r="B1280" t="s">
        <v>9</v>
      </c>
      <c r="C1280">
        <v>2</v>
      </c>
      <c r="D1280" s="9">
        <v>6000</v>
      </c>
      <c r="E1280" s="9">
        <f>+Tablo3[[#This Row],[Birim Fiyat]]*Tablo3[[#This Row],[Satış Adet]]</f>
        <v>12000</v>
      </c>
      <c r="F1280" s="9">
        <v>4000</v>
      </c>
      <c r="G1280" t="s">
        <v>66</v>
      </c>
      <c r="H1280" t="s">
        <v>35</v>
      </c>
    </row>
    <row r="1281" spans="1:8" x14ac:dyDescent="0.25">
      <c r="A1281" t="s">
        <v>8</v>
      </c>
      <c r="B1281" t="s">
        <v>28</v>
      </c>
      <c r="C1281">
        <v>1</v>
      </c>
      <c r="D1281" s="9">
        <v>1200</v>
      </c>
      <c r="E1281" s="9">
        <f>+Tablo3[[#This Row],[Birim Fiyat]]*Tablo3[[#This Row],[Satış Adet]]</f>
        <v>1200</v>
      </c>
      <c r="F1281" s="9">
        <v>400</v>
      </c>
      <c r="G1281" t="s">
        <v>66</v>
      </c>
      <c r="H1281" t="s">
        <v>42</v>
      </c>
    </row>
    <row r="1282" spans="1:8" x14ac:dyDescent="0.25">
      <c r="A1282" t="s">
        <v>30</v>
      </c>
      <c r="B1282" t="s">
        <v>31</v>
      </c>
      <c r="C1282">
        <v>2</v>
      </c>
      <c r="D1282" s="9">
        <v>1800</v>
      </c>
      <c r="E1282" s="9">
        <f>+Tablo3[[#This Row],[Birim Fiyat]]*Tablo3[[#This Row],[Satış Adet]]</f>
        <v>3600</v>
      </c>
      <c r="F1282" s="9">
        <v>2000</v>
      </c>
      <c r="G1282" t="s">
        <v>66</v>
      </c>
      <c r="H1282" t="s">
        <v>44</v>
      </c>
    </row>
    <row r="1283" spans="1:8" x14ac:dyDescent="0.25">
      <c r="A1283" t="s">
        <v>30</v>
      </c>
      <c r="B1283" t="s">
        <v>32</v>
      </c>
      <c r="C1283">
        <v>2</v>
      </c>
      <c r="D1283" s="9">
        <v>1090</v>
      </c>
      <c r="E1283" s="9">
        <f>+Tablo3[[#This Row],[Birim Fiyat]]*Tablo3[[#This Row],[Satış Adet]]</f>
        <v>2180</v>
      </c>
      <c r="F1283" s="9">
        <v>580</v>
      </c>
      <c r="G1283" t="s">
        <v>66</v>
      </c>
      <c r="H1283" t="s">
        <v>11</v>
      </c>
    </row>
    <row r="1284" spans="1:8" x14ac:dyDescent="0.25">
      <c r="A1284" t="s">
        <v>67</v>
      </c>
      <c r="B1284" t="s">
        <v>21</v>
      </c>
      <c r="C1284">
        <v>3</v>
      </c>
      <c r="D1284" s="9">
        <v>2180</v>
      </c>
      <c r="E1284" s="9">
        <f>+Tablo3[[#This Row],[Birim Fiyat]]*Tablo3[[#This Row],[Satış Adet]]</f>
        <v>6540</v>
      </c>
      <c r="F1284" s="9">
        <v>2040</v>
      </c>
      <c r="G1284" t="s">
        <v>66</v>
      </c>
      <c r="H1284" t="s">
        <v>35</v>
      </c>
    </row>
    <row r="1285" spans="1:8" x14ac:dyDescent="0.25">
      <c r="A1285" t="s">
        <v>33</v>
      </c>
      <c r="B1285" t="s">
        <v>31</v>
      </c>
      <c r="C1285">
        <v>3</v>
      </c>
      <c r="D1285" s="9">
        <v>1800</v>
      </c>
      <c r="E1285" s="9">
        <f>+Tablo3[[#This Row],[Birim Fiyat]]*Tablo3[[#This Row],[Satış Adet]]</f>
        <v>5400</v>
      </c>
      <c r="F1285" s="9">
        <v>3000</v>
      </c>
      <c r="G1285" t="s">
        <v>66</v>
      </c>
      <c r="H1285" t="s">
        <v>39</v>
      </c>
    </row>
    <row r="1286" spans="1:8" x14ac:dyDescent="0.25">
      <c r="A1286" t="s">
        <v>22</v>
      </c>
      <c r="B1286" t="s">
        <v>34</v>
      </c>
      <c r="C1286">
        <v>3</v>
      </c>
      <c r="D1286" s="9">
        <v>8000</v>
      </c>
      <c r="E1286" s="9">
        <f>+Tablo3[[#This Row],[Birim Fiyat]]*Tablo3[[#This Row],[Satış Adet]]</f>
        <v>24000</v>
      </c>
      <c r="F1286" s="9">
        <v>6000</v>
      </c>
      <c r="G1286" t="s">
        <v>66</v>
      </c>
      <c r="H1286" t="s">
        <v>17</v>
      </c>
    </row>
    <row r="1287" spans="1:8" x14ac:dyDescent="0.25">
      <c r="A1287" t="s">
        <v>67</v>
      </c>
      <c r="B1287" t="s">
        <v>13</v>
      </c>
      <c r="C1287">
        <v>1</v>
      </c>
      <c r="D1287" s="9">
        <v>1400</v>
      </c>
      <c r="E1287" s="9">
        <f>+Tablo3[[#This Row],[Birim Fiyat]]*Tablo3[[#This Row],[Satış Adet]]</f>
        <v>1400</v>
      </c>
      <c r="F1287" s="9">
        <v>600</v>
      </c>
      <c r="G1287" t="s">
        <v>66</v>
      </c>
      <c r="H1287" t="s">
        <v>29</v>
      </c>
    </row>
    <row r="1288" spans="1:8" x14ac:dyDescent="0.25">
      <c r="A1288" t="s">
        <v>36</v>
      </c>
      <c r="B1288" t="s">
        <v>37</v>
      </c>
      <c r="C1288">
        <v>1</v>
      </c>
      <c r="D1288" s="9">
        <v>10590</v>
      </c>
      <c r="E1288" s="9">
        <f>+Tablo3[[#This Row],[Birim Fiyat]]*Tablo3[[#This Row],[Satış Adet]]</f>
        <v>10590</v>
      </c>
      <c r="F1288" s="9">
        <v>4590</v>
      </c>
      <c r="G1288" t="s">
        <v>66</v>
      </c>
      <c r="H1288" t="s">
        <v>39</v>
      </c>
    </row>
    <row r="1289" spans="1:8" x14ac:dyDescent="0.25">
      <c r="A1289" t="s">
        <v>38</v>
      </c>
      <c r="B1289" t="s">
        <v>19</v>
      </c>
      <c r="C1289">
        <v>2</v>
      </c>
      <c r="D1289" s="9">
        <v>1350</v>
      </c>
      <c r="E1289" s="9">
        <f>+Tablo3[[#This Row],[Birim Fiyat]]*Tablo3[[#This Row],[Satış Adet]]</f>
        <v>2700</v>
      </c>
      <c r="F1289" s="9">
        <v>1100</v>
      </c>
      <c r="G1289" t="s">
        <v>66</v>
      </c>
      <c r="H1289" t="s">
        <v>17</v>
      </c>
    </row>
    <row r="1290" spans="1:8" x14ac:dyDescent="0.25">
      <c r="A1290" t="s">
        <v>30</v>
      </c>
      <c r="B1290" t="s">
        <v>13</v>
      </c>
      <c r="C1290">
        <v>2</v>
      </c>
      <c r="D1290" s="9">
        <v>1400</v>
      </c>
      <c r="E1290" s="9">
        <f>+Tablo3[[#This Row],[Birim Fiyat]]*Tablo3[[#This Row],[Satış Adet]]</f>
        <v>2800</v>
      </c>
      <c r="F1290" s="9">
        <v>1200</v>
      </c>
      <c r="G1290" t="s">
        <v>66</v>
      </c>
      <c r="H1290" t="s">
        <v>27</v>
      </c>
    </row>
    <row r="1291" spans="1:8" x14ac:dyDescent="0.25">
      <c r="A1291" t="s">
        <v>18</v>
      </c>
      <c r="B1291" t="s">
        <v>9</v>
      </c>
      <c r="C1291">
        <v>1</v>
      </c>
      <c r="D1291" s="9">
        <v>6000</v>
      </c>
      <c r="E1291" s="9">
        <f>+Tablo3[[#This Row],[Birim Fiyat]]*Tablo3[[#This Row],[Satış Adet]]</f>
        <v>6000</v>
      </c>
      <c r="F1291" s="9">
        <v>2000</v>
      </c>
      <c r="G1291" t="s">
        <v>66</v>
      </c>
      <c r="H1291" t="s">
        <v>29</v>
      </c>
    </row>
    <row r="1292" spans="1:8" x14ac:dyDescent="0.25">
      <c r="A1292" t="s">
        <v>36</v>
      </c>
      <c r="B1292" t="s">
        <v>26</v>
      </c>
      <c r="C1292">
        <v>2</v>
      </c>
      <c r="D1292" s="9">
        <v>1100</v>
      </c>
      <c r="E1292" s="9">
        <f>+Tablo3[[#This Row],[Birim Fiyat]]*Tablo3[[#This Row],[Satış Adet]]</f>
        <v>2200</v>
      </c>
      <c r="F1292" s="9">
        <v>600</v>
      </c>
      <c r="G1292" t="s">
        <v>66</v>
      </c>
      <c r="H1292" t="s">
        <v>24</v>
      </c>
    </row>
    <row r="1293" spans="1:8" x14ac:dyDescent="0.25">
      <c r="A1293" t="s">
        <v>15</v>
      </c>
      <c r="B1293" t="s">
        <v>9</v>
      </c>
      <c r="C1293">
        <v>2</v>
      </c>
      <c r="D1293" s="9">
        <v>6000</v>
      </c>
      <c r="E1293" s="9">
        <f>+Tablo3[[#This Row],[Birim Fiyat]]*Tablo3[[#This Row],[Satış Adet]]</f>
        <v>12000</v>
      </c>
      <c r="F1293" s="9">
        <v>4000</v>
      </c>
      <c r="G1293" t="s">
        <v>66</v>
      </c>
      <c r="H1293" t="s">
        <v>52</v>
      </c>
    </row>
    <row r="1294" spans="1:8" x14ac:dyDescent="0.25">
      <c r="A1294" t="s">
        <v>38</v>
      </c>
      <c r="B1294" t="s">
        <v>41</v>
      </c>
      <c r="C1294">
        <v>1</v>
      </c>
      <c r="D1294" s="9">
        <v>1490</v>
      </c>
      <c r="E1294" s="9">
        <f>+Tablo3[[#This Row],[Birim Fiyat]]*Tablo3[[#This Row],[Satış Adet]]</f>
        <v>1490</v>
      </c>
      <c r="F1294" s="9">
        <v>690</v>
      </c>
      <c r="G1294" t="s">
        <v>66</v>
      </c>
      <c r="H1294" t="s">
        <v>11</v>
      </c>
    </row>
    <row r="1295" spans="1:8" x14ac:dyDescent="0.25">
      <c r="A1295" t="s">
        <v>36</v>
      </c>
      <c r="B1295" t="s">
        <v>37</v>
      </c>
      <c r="C1295">
        <v>2</v>
      </c>
      <c r="D1295" s="9">
        <v>10590</v>
      </c>
      <c r="E1295" s="9">
        <f>+Tablo3[[#This Row],[Birim Fiyat]]*Tablo3[[#This Row],[Satış Adet]]</f>
        <v>21180</v>
      </c>
      <c r="F1295" s="9">
        <v>9180</v>
      </c>
      <c r="G1295" t="s">
        <v>66</v>
      </c>
      <c r="H1295" t="s">
        <v>52</v>
      </c>
    </row>
    <row r="1296" spans="1:8" x14ac:dyDescent="0.25">
      <c r="A1296" t="s">
        <v>15</v>
      </c>
      <c r="B1296" t="s">
        <v>34</v>
      </c>
      <c r="C1296">
        <v>3</v>
      </c>
      <c r="D1296" s="9">
        <v>8000</v>
      </c>
      <c r="E1296" s="9">
        <f>+Tablo3[[#This Row],[Birim Fiyat]]*Tablo3[[#This Row],[Satış Adet]]</f>
        <v>24000</v>
      </c>
      <c r="F1296" s="9">
        <v>6000</v>
      </c>
      <c r="G1296" t="s">
        <v>66</v>
      </c>
      <c r="H1296" t="s">
        <v>52</v>
      </c>
    </row>
    <row r="1297" spans="1:8" x14ac:dyDescent="0.25">
      <c r="A1297" t="s">
        <v>30</v>
      </c>
      <c r="B1297" t="s">
        <v>26</v>
      </c>
      <c r="C1297">
        <v>1</v>
      </c>
      <c r="D1297" s="9">
        <v>1100</v>
      </c>
      <c r="E1297" s="9">
        <f>+Tablo3[[#This Row],[Birim Fiyat]]*Tablo3[[#This Row],[Satış Adet]]</f>
        <v>1100</v>
      </c>
      <c r="F1297" s="9">
        <v>300</v>
      </c>
      <c r="G1297" t="s">
        <v>66</v>
      </c>
      <c r="H1297" t="s">
        <v>14</v>
      </c>
    </row>
    <row r="1298" spans="1:8" x14ac:dyDescent="0.25">
      <c r="A1298" t="s">
        <v>38</v>
      </c>
      <c r="B1298" t="s">
        <v>28</v>
      </c>
      <c r="C1298">
        <v>1</v>
      </c>
      <c r="D1298" s="9">
        <v>1200</v>
      </c>
      <c r="E1298" s="9">
        <f>+Tablo3[[#This Row],[Birim Fiyat]]*Tablo3[[#This Row],[Satış Adet]]</f>
        <v>1200</v>
      </c>
      <c r="F1298" s="9">
        <v>400</v>
      </c>
      <c r="G1298" t="s">
        <v>66</v>
      </c>
      <c r="H1298" t="s">
        <v>24</v>
      </c>
    </row>
    <row r="1299" spans="1:8" x14ac:dyDescent="0.25">
      <c r="A1299" t="s">
        <v>22</v>
      </c>
      <c r="B1299" t="s">
        <v>43</v>
      </c>
      <c r="C1299">
        <v>2</v>
      </c>
      <c r="D1299" s="9">
        <v>4200</v>
      </c>
      <c r="E1299" s="9">
        <f>+Tablo3[[#This Row],[Birim Fiyat]]*Tablo3[[#This Row],[Satış Adet]]</f>
        <v>8400</v>
      </c>
      <c r="F1299" s="9">
        <v>2400</v>
      </c>
      <c r="G1299" t="s">
        <v>66</v>
      </c>
      <c r="H1299" t="s">
        <v>52</v>
      </c>
    </row>
    <row r="1300" spans="1:8" x14ac:dyDescent="0.25">
      <c r="A1300" t="s">
        <v>12</v>
      </c>
      <c r="B1300" t="s">
        <v>45</v>
      </c>
      <c r="C1300">
        <v>3</v>
      </c>
      <c r="D1300" s="9">
        <v>5775</v>
      </c>
      <c r="E1300" s="9">
        <f>+Tablo3[[#This Row],[Birim Fiyat]]*Tablo3[[#This Row],[Satış Adet]]</f>
        <v>17325</v>
      </c>
      <c r="F1300" s="9">
        <v>5325</v>
      </c>
      <c r="G1300" t="s">
        <v>66</v>
      </c>
      <c r="H1300" t="s">
        <v>44</v>
      </c>
    </row>
    <row r="1301" spans="1:8" x14ac:dyDescent="0.25">
      <c r="A1301" t="s">
        <v>46</v>
      </c>
      <c r="B1301" t="s">
        <v>23</v>
      </c>
      <c r="C1301">
        <v>3</v>
      </c>
      <c r="D1301" s="9">
        <v>7600</v>
      </c>
      <c r="E1301" s="9">
        <f>+Tablo3[[#This Row],[Birim Fiyat]]*Tablo3[[#This Row],[Satış Adet]]</f>
        <v>22800</v>
      </c>
      <c r="F1301" s="9">
        <v>4800</v>
      </c>
      <c r="G1301" t="s">
        <v>66</v>
      </c>
      <c r="H1301" t="s">
        <v>11</v>
      </c>
    </row>
    <row r="1302" spans="1:8" x14ac:dyDescent="0.25">
      <c r="A1302" t="s">
        <v>12</v>
      </c>
      <c r="B1302" t="s">
        <v>25</v>
      </c>
      <c r="C1302">
        <v>3</v>
      </c>
      <c r="D1302" s="9">
        <v>7250</v>
      </c>
      <c r="E1302" s="9">
        <f>+Tablo3[[#This Row],[Birim Fiyat]]*Tablo3[[#This Row],[Satış Adet]]</f>
        <v>21750</v>
      </c>
      <c r="F1302" s="9">
        <v>6750</v>
      </c>
      <c r="G1302" t="s">
        <v>66</v>
      </c>
      <c r="H1302" t="s">
        <v>52</v>
      </c>
    </row>
    <row r="1303" spans="1:8" x14ac:dyDescent="0.25">
      <c r="A1303" t="s">
        <v>8</v>
      </c>
      <c r="B1303" t="s">
        <v>25</v>
      </c>
      <c r="C1303">
        <v>3</v>
      </c>
      <c r="D1303" s="9">
        <v>7250</v>
      </c>
      <c r="E1303" s="9">
        <f>+Tablo3[[#This Row],[Birim Fiyat]]*Tablo3[[#This Row],[Satış Adet]]</f>
        <v>21750</v>
      </c>
      <c r="F1303" s="9">
        <v>6750</v>
      </c>
      <c r="G1303" t="s">
        <v>66</v>
      </c>
      <c r="H1303" t="s">
        <v>29</v>
      </c>
    </row>
    <row r="1304" spans="1:8" x14ac:dyDescent="0.25">
      <c r="A1304" t="s">
        <v>36</v>
      </c>
      <c r="B1304" t="s">
        <v>25</v>
      </c>
      <c r="C1304">
        <v>3</v>
      </c>
      <c r="D1304" s="9">
        <v>7250</v>
      </c>
      <c r="E1304" s="9">
        <f>+Tablo3[[#This Row],[Birim Fiyat]]*Tablo3[[#This Row],[Satış Adet]]</f>
        <v>21750</v>
      </c>
      <c r="F1304" s="9">
        <v>6750</v>
      </c>
      <c r="G1304" t="s">
        <v>66</v>
      </c>
      <c r="H1304" t="s">
        <v>42</v>
      </c>
    </row>
    <row r="1305" spans="1:8" x14ac:dyDescent="0.25">
      <c r="A1305" t="s">
        <v>67</v>
      </c>
      <c r="B1305" t="s">
        <v>19</v>
      </c>
      <c r="C1305">
        <v>1</v>
      </c>
      <c r="D1305" s="9">
        <v>1350</v>
      </c>
      <c r="E1305" s="9">
        <f>+Tablo3[[#This Row],[Birim Fiyat]]*Tablo3[[#This Row],[Satış Adet]]</f>
        <v>1350</v>
      </c>
      <c r="F1305" s="9">
        <v>550</v>
      </c>
      <c r="G1305" t="s">
        <v>66</v>
      </c>
      <c r="H1305" t="s">
        <v>27</v>
      </c>
    </row>
    <row r="1306" spans="1:8" x14ac:dyDescent="0.25">
      <c r="A1306" t="s">
        <v>12</v>
      </c>
      <c r="B1306" t="s">
        <v>25</v>
      </c>
      <c r="C1306">
        <v>2</v>
      </c>
      <c r="D1306" s="9">
        <v>7250</v>
      </c>
      <c r="E1306" s="9">
        <f>+Tablo3[[#This Row],[Birim Fiyat]]*Tablo3[[#This Row],[Satış Adet]]</f>
        <v>14500</v>
      </c>
      <c r="F1306" s="9">
        <v>4500</v>
      </c>
      <c r="G1306" t="s">
        <v>66</v>
      </c>
      <c r="H1306" t="s">
        <v>44</v>
      </c>
    </row>
    <row r="1307" spans="1:8" x14ac:dyDescent="0.25">
      <c r="A1307" t="s">
        <v>30</v>
      </c>
      <c r="B1307" t="s">
        <v>23</v>
      </c>
      <c r="C1307">
        <v>1</v>
      </c>
      <c r="D1307" s="9">
        <v>7600</v>
      </c>
      <c r="E1307" s="9">
        <f>+Tablo3[[#This Row],[Birim Fiyat]]*Tablo3[[#This Row],[Satış Adet]]</f>
        <v>7600</v>
      </c>
      <c r="F1307" s="9">
        <v>1600</v>
      </c>
      <c r="G1307" t="s">
        <v>66</v>
      </c>
      <c r="H1307" t="s">
        <v>14</v>
      </c>
    </row>
    <row r="1308" spans="1:8" x14ac:dyDescent="0.25">
      <c r="A1308" t="s">
        <v>48</v>
      </c>
      <c r="B1308" t="s">
        <v>23</v>
      </c>
      <c r="C1308">
        <v>3</v>
      </c>
      <c r="D1308" s="9">
        <v>7600</v>
      </c>
      <c r="E1308" s="9">
        <f>+Tablo3[[#This Row],[Birim Fiyat]]*Tablo3[[#This Row],[Satış Adet]]</f>
        <v>22800</v>
      </c>
      <c r="F1308" s="9">
        <v>4800</v>
      </c>
      <c r="G1308" t="s">
        <v>66</v>
      </c>
      <c r="H1308" t="s">
        <v>17</v>
      </c>
    </row>
    <row r="1309" spans="1:8" x14ac:dyDescent="0.25">
      <c r="A1309" t="s">
        <v>12</v>
      </c>
      <c r="B1309" t="s">
        <v>41</v>
      </c>
      <c r="C1309">
        <v>3</v>
      </c>
      <c r="D1309" s="9">
        <v>1490</v>
      </c>
      <c r="E1309" s="9">
        <f>+Tablo3[[#This Row],[Birim Fiyat]]*Tablo3[[#This Row],[Satış Adet]]</f>
        <v>4470</v>
      </c>
      <c r="F1309" s="9">
        <v>2070</v>
      </c>
      <c r="G1309" t="s">
        <v>66</v>
      </c>
      <c r="H1309" t="s">
        <v>44</v>
      </c>
    </row>
    <row r="1310" spans="1:8" x14ac:dyDescent="0.25">
      <c r="A1310" t="s">
        <v>67</v>
      </c>
      <c r="B1310" t="s">
        <v>49</v>
      </c>
      <c r="C1310">
        <v>2</v>
      </c>
      <c r="D1310" s="9">
        <v>2900</v>
      </c>
      <c r="E1310" s="9">
        <f>+Tablo3[[#This Row],[Birim Fiyat]]*Tablo3[[#This Row],[Satış Adet]]</f>
        <v>5800</v>
      </c>
      <c r="F1310" s="9">
        <v>1800</v>
      </c>
      <c r="G1310" t="s">
        <v>66</v>
      </c>
      <c r="H1310" t="s">
        <v>42</v>
      </c>
    </row>
    <row r="1311" spans="1:8" x14ac:dyDescent="0.25">
      <c r="A1311" t="s">
        <v>38</v>
      </c>
      <c r="B1311" t="s">
        <v>41</v>
      </c>
      <c r="C1311">
        <v>1</v>
      </c>
      <c r="D1311" s="9">
        <v>1490</v>
      </c>
      <c r="E1311" s="9">
        <f>+Tablo3[[#This Row],[Birim Fiyat]]*Tablo3[[#This Row],[Satış Adet]]</f>
        <v>1490</v>
      </c>
      <c r="F1311" s="9">
        <v>690</v>
      </c>
      <c r="G1311" t="s">
        <v>66</v>
      </c>
      <c r="H1311" t="s">
        <v>44</v>
      </c>
    </row>
    <row r="1312" spans="1:8" x14ac:dyDescent="0.25">
      <c r="A1312" t="s">
        <v>38</v>
      </c>
      <c r="B1312" t="s">
        <v>32</v>
      </c>
      <c r="C1312">
        <v>2</v>
      </c>
      <c r="D1312" s="9">
        <v>1090</v>
      </c>
      <c r="E1312" s="9">
        <f>+Tablo3[[#This Row],[Birim Fiyat]]*Tablo3[[#This Row],[Satış Adet]]</f>
        <v>2180</v>
      </c>
      <c r="F1312" s="9">
        <v>580</v>
      </c>
      <c r="G1312" t="s">
        <v>66</v>
      </c>
      <c r="H1312" t="s">
        <v>20</v>
      </c>
    </row>
    <row r="1313" spans="1:8" x14ac:dyDescent="0.25">
      <c r="A1313" t="s">
        <v>67</v>
      </c>
      <c r="B1313" t="s">
        <v>28</v>
      </c>
      <c r="C1313">
        <v>2</v>
      </c>
      <c r="D1313" s="9">
        <v>1200</v>
      </c>
      <c r="E1313" s="9">
        <f>+Tablo3[[#This Row],[Birim Fiyat]]*Tablo3[[#This Row],[Satış Adet]]</f>
        <v>2400</v>
      </c>
      <c r="F1313" s="9">
        <v>800</v>
      </c>
      <c r="G1313" t="s">
        <v>66</v>
      </c>
      <c r="H1313" t="s">
        <v>24</v>
      </c>
    </row>
    <row r="1314" spans="1:8" x14ac:dyDescent="0.25">
      <c r="A1314" t="s">
        <v>36</v>
      </c>
      <c r="B1314" t="s">
        <v>37</v>
      </c>
      <c r="C1314">
        <v>2</v>
      </c>
      <c r="D1314" s="9">
        <v>10590</v>
      </c>
      <c r="E1314" s="9">
        <f>+Tablo3[[#This Row],[Birim Fiyat]]*Tablo3[[#This Row],[Satış Adet]]</f>
        <v>21180</v>
      </c>
      <c r="F1314" s="9">
        <v>9180</v>
      </c>
      <c r="G1314" t="s">
        <v>66</v>
      </c>
      <c r="H1314" t="s">
        <v>40</v>
      </c>
    </row>
    <row r="1315" spans="1:8" x14ac:dyDescent="0.25">
      <c r="A1315" t="s">
        <v>30</v>
      </c>
      <c r="B1315" t="s">
        <v>43</v>
      </c>
      <c r="C1315">
        <v>3</v>
      </c>
      <c r="D1315" s="9">
        <v>4200</v>
      </c>
      <c r="E1315" s="9">
        <f>+Tablo3[[#This Row],[Birim Fiyat]]*Tablo3[[#This Row],[Satış Adet]]</f>
        <v>12600</v>
      </c>
      <c r="F1315" s="9">
        <v>3600</v>
      </c>
      <c r="G1315" t="s">
        <v>66</v>
      </c>
      <c r="H1315" t="s">
        <v>44</v>
      </c>
    </row>
    <row r="1316" spans="1:8" x14ac:dyDescent="0.25">
      <c r="A1316" t="s">
        <v>18</v>
      </c>
      <c r="B1316" t="s">
        <v>43</v>
      </c>
      <c r="C1316">
        <v>3</v>
      </c>
      <c r="D1316" s="9">
        <v>4200</v>
      </c>
      <c r="E1316" s="9">
        <f>+Tablo3[[#This Row],[Birim Fiyat]]*Tablo3[[#This Row],[Satış Adet]]</f>
        <v>12600</v>
      </c>
      <c r="F1316" s="9">
        <v>3600</v>
      </c>
      <c r="G1316" t="s">
        <v>66</v>
      </c>
      <c r="H1316" t="s">
        <v>14</v>
      </c>
    </row>
    <row r="1317" spans="1:8" x14ac:dyDescent="0.25">
      <c r="A1317" t="s">
        <v>33</v>
      </c>
      <c r="B1317" t="s">
        <v>37</v>
      </c>
      <c r="C1317">
        <v>2</v>
      </c>
      <c r="D1317" s="9">
        <v>10590</v>
      </c>
      <c r="E1317" s="9">
        <f>+Tablo3[[#This Row],[Birim Fiyat]]*Tablo3[[#This Row],[Satış Adet]]</f>
        <v>21180</v>
      </c>
      <c r="F1317" s="9">
        <v>9180</v>
      </c>
      <c r="G1317" t="s">
        <v>66</v>
      </c>
      <c r="H1317" t="s">
        <v>35</v>
      </c>
    </row>
    <row r="1318" spans="1:8" x14ac:dyDescent="0.25">
      <c r="A1318" t="s">
        <v>48</v>
      </c>
      <c r="B1318" t="s">
        <v>50</v>
      </c>
      <c r="C1318">
        <v>1</v>
      </c>
      <c r="D1318" s="9">
        <v>1250</v>
      </c>
      <c r="E1318" s="9">
        <f>+Tablo3[[#This Row],[Birim Fiyat]]*Tablo3[[#This Row],[Satış Adet]]</f>
        <v>1250</v>
      </c>
      <c r="F1318" s="9">
        <v>450</v>
      </c>
      <c r="G1318" t="s">
        <v>66</v>
      </c>
      <c r="H1318" t="s">
        <v>52</v>
      </c>
    </row>
    <row r="1319" spans="1:8" x14ac:dyDescent="0.25">
      <c r="A1319" t="s">
        <v>8</v>
      </c>
      <c r="B1319" t="s">
        <v>41</v>
      </c>
      <c r="C1319">
        <v>3</v>
      </c>
      <c r="D1319" s="9">
        <v>1490</v>
      </c>
      <c r="E1319" s="9">
        <f>+Tablo3[[#This Row],[Birim Fiyat]]*Tablo3[[#This Row],[Satış Adet]]</f>
        <v>4470</v>
      </c>
      <c r="F1319" s="9">
        <v>2070</v>
      </c>
      <c r="G1319" t="s">
        <v>66</v>
      </c>
      <c r="H1319" t="s">
        <v>17</v>
      </c>
    </row>
    <row r="1320" spans="1:8" x14ac:dyDescent="0.25">
      <c r="A1320" t="s">
        <v>30</v>
      </c>
      <c r="B1320" t="s">
        <v>28</v>
      </c>
      <c r="C1320">
        <v>2</v>
      </c>
      <c r="D1320" s="9">
        <v>1200</v>
      </c>
      <c r="E1320" s="9">
        <f>+Tablo3[[#This Row],[Birim Fiyat]]*Tablo3[[#This Row],[Satış Adet]]</f>
        <v>2400</v>
      </c>
      <c r="F1320" s="9">
        <v>800</v>
      </c>
      <c r="G1320" t="s">
        <v>66</v>
      </c>
      <c r="H1320" t="s">
        <v>24</v>
      </c>
    </row>
    <row r="1321" spans="1:8" x14ac:dyDescent="0.25">
      <c r="A1321" t="s">
        <v>15</v>
      </c>
      <c r="B1321" t="s">
        <v>21</v>
      </c>
      <c r="C1321">
        <v>3</v>
      </c>
      <c r="D1321" s="9">
        <v>2180</v>
      </c>
      <c r="E1321" s="9">
        <f>+Tablo3[[#This Row],[Birim Fiyat]]*Tablo3[[#This Row],[Satış Adet]]</f>
        <v>6540</v>
      </c>
      <c r="F1321" s="9">
        <v>2040</v>
      </c>
      <c r="G1321" t="s">
        <v>66</v>
      </c>
      <c r="H1321" t="s">
        <v>20</v>
      </c>
    </row>
    <row r="1322" spans="1:8" x14ac:dyDescent="0.25">
      <c r="A1322" t="s">
        <v>38</v>
      </c>
      <c r="B1322" t="s">
        <v>51</v>
      </c>
      <c r="C1322">
        <v>3</v>
      </c>
      <c r="D1322" s="9">
        <v>1200</v>
      </c>
      <c r="E1322" s="9">
        <f>+Tablo3[[#This Row],[Birim Fiyat]]*Tablo3[[#This Row],[Satış Adet]]</f>
        <v>3600</v>
      </c>
      <c r="F1322" s="9">
        <v>1200</v>
      </c>
      <c r="G1322" t="s">
        <v>66</v>
      </c>
      <c r="H1322" t="s">
        <v>52</v>
      </c>
    </row>
    <row r="1323" spans="1:8" x14ac:dyDescent="0.25">
      <c r="A1323" t="s">
        <v>8</v>
      </c>
      <c r="B1323" t="s">
        <v>31</v>
      </c>
      <c r="C1323">
        <v>1</v>
      </c>
      <c r="D1323" s="9">
        <v>1800</v>
      </c>
      <c r="E1323" s="9">
        <f>+Tablo3[[#This Row],[Birim Fiyat]]*Tablo3[[#This Row],[Satış Adet]]</f>
        <v>1800</v>
      </c>
      <c r="F1323" s="9">
        <v>1000</v>
      </c>
      <c r="G1323" t="s">
        <v>66</v>
      </c>
      <c r="H1323" t="s">
        <v>24</v>
      </c>
    </row>
    <row r="1324" spans="1:8" x14ac:dyDescent="0.25">
      <c r="A1324" t="s">
        <v>15</v>
      </c>
      <c r="B1324" t="s">
        <v>23</v>
      </c>
      <c r="C1324">
        <v>1</v>
      </c>
      <c r="D1324" s="9">
        <v>7600</v>
      </c>
      <c r="E1324" s="9">
        <f>+Tablo3[[#This Row],[Birim Fiyat]]*Tablo3[[#This Row],[Satış Adet]]</f>
        <v>7600</v>
      </c>
      <c r="F1324" s="9">
        <v>1600</v>
      </c>
      <c r="G1324" t="s">
        <v>66</v>
      </c>
      <c r="H1324" t="s">
        <v>27</v>
      </c>
    </row>
    <row r="1325" spans="1:8" x14ac:dyDescent="0.25">
      <c r="A1325" t="s">
        <v>33</v>
      </c>
      <c r="B1325" t="s">
        <v>53</v>
      </c>
      <c r="C1325">
        <v>1</v>
      </c>
      <c r="D1325" s="9">
        <v>7530</v>
      </c>
      <c r="E1325" s="9">
        <f>+Tablo3[[#This Row],[Birim Fiyat]]*Tablo3[[#This Row],[Satış Adet]]</f>
        <v>7530</v>
      </c>
      <c r="F1325" s="9">
        <v>1530</v>
      </c>
      <c r="G1325" t="s">
        <v>66</v>
      </c>
      <c r="H1325" t="s">
        <v>17</v>
      </c>
    </row>
    <row r="1326" spans="1:8" x14ac:dyDescent="0.25">
      <c r="A1326" t="s">
        <v>48</v>
      </c>
      <c r="B1326" t="s">
        <v>41</v>
      </c>
      <c r="C1326">
        <v>2</v>
      </c>
      <c r="D1326" s="9">
        <v>1490</v>
      </c>
      <c r="E1326" s="9">
        <f>+Tablo3[[#This Row],[Birim Fiyat]]*Tablo3[[#This Row],[Satış Adet]]</f>
        <v>2980</v>
      </c>
      <c r="F1326" s="9">
        <v>1380</v>
      </c>
      <c r="G1326" t="s">
        <v>66</v>
      </c>
      <c r="H1326" t="s">
        <v>11</v>
      </c>
    </row>
    <row r="1327" spans="1:8" x14ac:dyDescent="0.25">
      <c r="A1327" t="s">
        <v>8</v>
      </c>
      <c r="B1327" t="s">
        <v>54</v>
      </c>
      <c r="C1327">
        <v>1</v>
      </c>
      <c r="D1327" s="9">
        <v>5300</v>
      </c>
      <c r="E1327" s="9">
        <f>+Tablo3[[#This Row],[Birim Fiyat]]*Tablo3[[#This Row],[Satış Adet]]</f>
        <v>5300</v>
      </c>
      <c r="F1327" s="9">
        <v>1300</v>
      </c>
      <c r="G1327" t="s">
        <v>66</v>
      </c>
      <c r="H1327" t="s">
        <v>40</v>
      </c>
    </row>
    <row r="1328" spans="1:8" x14ac:dyDescent="0.25">
      <c r="A1328" t="s">
        <v>22</v>
      </c>
      <c r="B1328" t="s">
        <v>28</v>
      </c>
      <c r="C1328">
        <v>2</v>
      </c>
      <c r="D1328" s="9">
        <v>1200</v>
      </c>
      <c r="E1328" s="9">
        <f>+Tablo3[[#This Row],[Birim Fiyat]]*Tablo3[[#This Row],[Satış Adet]]</f>
        <v>2400</v>
      </c>
      <c r="F1328" s="9">
        <v>800</v>
      </c>
      <c r="G1328" t="s">
        <v>66</v>
      </c>
      <c r="H1328" t="s">
        <v>42</v>
      </c>
    </row>
    <row r="1329" spans="1:8" x14ac:dyDescent="0.25">
      <c r="A1329" t="s">
        <v>38</v>
      </c>
      <c r="B1329" t="s">
        <v>32</v>
      </c>
      <c r="C1329">
        <v>1</v>
      </c>
      <c r="D1329" s="9">
        <v>1090</v>
      </c>
      <c r="E1329" s="9">
        <f>+Tablo3[[#This Row],[Birim Fiyat]]*Tablo3[[#This Row],[Satış Adet]]</f>
        <v>1090</v>
      </c>
      <c r="F1329" s="9">
        <v>290</v>
      </c>
      <c r="G1329" t="s">
        <v>66</v>
      </c>
      <c r="H1329" t="s">
        <v>17</v>
      </c>
    </row>
    <row r="1330" spans="1:8" x14ac:dyDescent="0.25">
      <c r="A1330" t="s">
        <v>22</v>
      </c>
      <c r="B1330" t="s">
        <v>25</v>
      </c>
      <c r="C1330">
        <v>1</v>
      </c>
      <c r="D1330" s="9">
        <v>7250</v>
      </c>
      <c r="E1330" s="9">
        <f>+Tablo3[[#This Row],[Birim Fiyat]]*Tablo3[[#This Row],[Satış Adet]]</f>
        <v>7250</v>
      </c>
      <c r="F1330" s="9">
        <v>2250</v>
      </c>
      <c r="G1330" t="s">
        <v>66</v>
      </c>
      <c r="H1330" t="s">
        <v>14</v>
      </c>
    </row>
    <row r="1331" spans="1:8" x14ac:dyDescent="0.25">
      <c r="A1331" t="s">
        <v>46</v>
      </c>
      <c r="B1331" t="s">
        <v>13</v>
      </c>
      <c r="C1331">
        <v>3</v>
      </c>
      <c r="D1331" s="9">
        <v>1400</v>
      </c>
      <c r="E1331" s="9">
        <f>+Tablo3[[#This Row],[Birim Fiyat]]*Tablo3[[#This Row],[Satış Adet]]</f>
        <v>4200</v>
      </c>
      <c r="F1331" s="9">
        <v>1800</v>
      </c>
      <c r="G1331" t="s">
        <v>66</v>
      </c>
      <c r="H1331" t="s">
        <v>35</v>
      </c>
    </row>
    <row r="1332" spans="1:8" x14ac:dyDescent="0.25">
      <c r="A1332" t="s">
        <v>15</v>
      </c>
      <c r="B1332" t="s">
        <v>55</v>
      </c>
      <c r="C1332">
        <v>1</v>
      </c>
      <c r="D1332" s="9">
        <v>1500</v>
      </c>
      <c r="E1332" s="9">
        <f>+Tablo3[[#This Row],[Birim Fiyat]]*Tablo3[[#This Row],[Satış Adet]]</f>
        <v>1500</v>
      </c>
      <c r="F1332" s="9">
        <v>700</v>
      </c>
      <c r="G1332" t="s">
        <v>66</v>
      </c>
      <c r="H1332" t="s">
        <v>11</v>
      </c>
    </row>
    <row r="1333" spans="1:8" x14ac:dyDescent="0.25">
      <c r="A1333" t="s">
        <v>33</v>
      </c>
      <c r="B1333" t="s">
        <v>19</v>
      </c>
      <c r="C1333">
        <v>1</v>
      </c>
      <c r="D1333" s="9">
        <v>1350</v>
      </c>
      <c r="E1333" s="9">
        <f>+Tablo3[[#This Row],[Birim Fiyat]]*Tablo3[[#This Row],[Satış Adet]]</f>
        <v>1350</v>
      </c>
      <c r="F1333" s="9">
        <v>550</v>
      </c>
      <c r="G1333" t="s">
        <v>66</v>
      </c>
      <c r="H1333" t="s">
        <v>40</v>
      </c>
    </row>
    <row r="1334" spans="1:8" x14ac:dyDescent="0.25">
      <c r="A1334" t="s">
        <v>33</v>
      </c>
      <c r="B1334" t="s">
        <v>28</v>
      </c>
      <c r="C1334">
        <v>3</v>
      </c>
      <c r="D1334" s="9">
        <v>1200</v>
      </c>
      <c r="E1334" s="9">
        <f>+Tablo3[[#This Row],[Birim Fiyat]]*Tablo3[[#This Row],[Satış Adet]]</f>
        <v>3600</v>
      </c>
      <c r="F1334" s="9">
        <v>1200</v>
      </c>
      <c r="G1334" t="s">
        <v>66</v>
      </c>
      <c r="H1334" t="s">
        <v>17</v>
      </c>
    </row>
    <row r="1335" spans="1:8" x14ac:dyDescent="0.25">
      <c r="A1335" t="s">
        <v>12</v>
      </c>
      <c r="B1335" t="s">
        <v>53</v>
      </c>
      <c r="C1335">
        <v>3</v>
      </c>
      <c r="D1335" s="9">
        <v>7530</v>
      </c>
      <c r="E1335" s="9">
        <f>+Tablo3[[#This Row],[Birim Fiyat]]*Tablo3[[#This Row],[Satış Adet]]</f>
        <v>22590</v>
      </c>
      <c r="F1335" s="9">
        <v>4590</v>
      </c>
      <c r="G1335" t="s">
        <v>66</v>
      </c>
      <c r="H1335" t="s">
        <v>27</v>
      </c>
    </row>
    <row r="1336" spans="1:8" x14ac:dyDescent="0.25">
      <c r="A1336" t="s">
        <v>46</v>
      </c>
      <c r="B1336" t="s">
        <v>28</v>
      </c>
      <c r="C1336">
        <v>1</v>
      </c>
      <c r="D1336" s="9">
        <v>1200</v>
      </c>
      <c r="E1336" s="9">
        <f>+Tablo3[[#This Row],[Birim Fiyat]]*Tablo3[[#This Row],[Satış Adet]]</f>
        <v>1200</v>
      </c>
      <c r="F1336" s="9">
        <v>400</v>
      </c>
      <c r="G1336" t="s">
        <v>66</v>
      </c>
      <c r="H1336" t="s">
        <v>14</v>
      </c>
    </row>
    <row r="1337" spans="1:8" x14ac:dyDescent="0.25">
      <c r="A1337" t="s">
        <v>36</v>
      </c>
      <c r="B1337" t="s">
        <v>31</v>
      </c>
      <c r="C1337">
        <v>3</v>
      </c>
      <c r="D1337" s="9">
        <v>1800</v>
      </c>
      <c r="E1337" s="9">
        <f>+Tablo3[[#This Row],[Birim Fiyat]]*Tablo3[[#This Row],[Satış Adet]]</f>
        <v>5400</v>
      </c>
      <c r="F1337" s="9">
        <v>3000</v>
      </c>
      <c r="G1337" t="s">
        <v>66</v>
      </c>
      <c r="H1337" t="s">
        <v>27</v>
      </c>
    </row>
    <row r="1338" spans="1:8" x14ac:dyDescent="0.25">
      <c r="A1338" t="s">
        <v>8</v>
      </c>
      <c r="B1338" t="s">
        <v>25</v>
      </c>
      <c r="C1338">
        <v>1</v>
      </c>
      <c r="D1338" s="9">
        <v>7250</v>
      </c>
      <c r="E1338" s="9">
        <f>+Tablo3[[#This Row],[Birim Fiyat]]*Tablo3[[#This Row],[Satış Adet]]</f>
        <v>7250</v>
      </c>
      <c r="F1338" s="9">
        <v>2250</v>
      </c>
      <c r="G1338" t="s">
        <v>66</v>
      </c>
      <c r="H1338" t="s">
        <v>24</v>
      </c>
    </row>
    <row r="1339" spans="1:8" x14ac:dyDescent="0.25">
      <c r="A1339" t="s">
        <v>38</v>
      </c>
      <c r="B1339" t="s">
        <v>41</v>
      </c>
      <c r="C1339">
        <v>3</v>
      </c>
      <c r="D1339" s="9">
        <v>1490</v>
      </c>
      <c r="E1339" s="9">
        <f>+Tablo3[[#This Row],[Birim Fiyat]]*Tablo3[[#This Row],[Satış Adet]]</f>
        <v>4470</v>
      </c>
      <c r="F1339" s="9">
        <v>2070</v>
      </c>
      <c r="G1339" t="s">
        <v>66</v>
      </c>
      <c r="H1339" t="s">
        <v>42</v>
      </c>
    </row>
    <row r="1340" spans="1:8" x14ac:dyDescent="0.25">
      <c r="A1340" t="s">
        <v>38</v>
      </c>
      <c r="B1340" t="s">
        <v>51</v>
      </c>
      <c r="C1340">
        <v>1</v>
      </c>
      <c r="D1340" s="9">
        <v>1200</v>
      </c>
      <c r="E1340" s="9">
        <f>+Tablo3[[#This Row],[Birim Fiyat]]*Tablo3[[#This Row],[Satış Adet]]</f>
        <v>1200</v>
      </c>
      <c r="F1340" s="9">
        <v>400</v>
      </c>
      <c r="G1340" t="s">
        <v>66</v>
      </c>
      <c r="H1340" t="s">
        <v>24</v>
      </c>
    </row>
    <row r="1341" spans="1:8" x14ac:dyDescent="0.25">
      <c r="A1341" t="s">
        <v>12</v>
      </c>
      <c r="B1341" t="s">
        <v>34</v>
      </c>
      <c r="C1341">
        <v>1</v>
      </c>
      <c r="D1341" s="9">
        <v>8000</v>
      </c>
      <c r="E1341" s="9">
        <f>+Tablo3[[#This Row],[Birim Fiyat]]*Tablo3[[#This Row],[Satış Adet]]</f>
        <v>8000</v>
      </c>
      <c r="F1341" s="9">
        <v>2000</v>
      </c>
      <c r="G1341" t="s">
        <v>66</v>
      </c>
      <c r="H1341" t="s">
        <v>35</v>
      </c>
    </row>
    <row r="1342" spans="1:8" x14ac:dyDescent="0.25">
      <c r="A1342" t="s">
        <v>30</v>
      </c>
      <c r="B1342" t="s">
        <v>13</v>
      </c>
      <c r="C1342">
        <v>1</v>
      </c>
      <c r="D1342" s="9">
        <v>1400</v>
      </c>
      <c r="E1342" s="9">
        <f>+Tablo3[[#This Row],[Birim Fiyat]]*Tablo3[[#This Row],[Satış Adet]]</f>
        <v>1400</v>
      </c>
      <c r="F1342" s="9">
        <v>600</v>
      </c>
      <c r="G1342" t="s">
        <v>66</v>
      </c>
      <c r="H1342" t="s">
        <v>35</v>
      </c>
    </row>
    <row r="1343" spans="1:8" x14ac:dyDescent="0.25">
      <c r="A1343" t="s">
        <v>67</v>
      </c>
      <c r="B1343" t="s">
        <v>19</v>
      </c>
      <c r="C1343">
        <v>1</v>
      </c>
      <c r="D1343" s="9">
        <v>1350</v>
      </c>
      <c r="E1343" s="9">
        <f>+Tablo3[[#This Row],[Birim Fiyat]]*Tablo3[[#This Row],[Satış Adet]]</f>
        <v>1350</v>
      </c>
      <c r="F1343" s="9">
        <v>550</v>
      </c>
      <c r="G1343" t="s">
        <v>66</v>
      </c>
      <c r="H1343" t="s">
        <v>42</v>
      </c>
    </row>
    <row r="1344" spans="1:8" x14ac:dyDescent="0.25">
      <c r="A1344" t="s">
        <v>36</v>
      </c>
      <c r="B1344" t="s">
        <v>51</v>
      </c>
      <c r="C1344">
        <v>1</v>
      </c>
      <c r="D1344" s="9">
        <v>1200</v>
      </c>
      <c r="E1344" s="9">
        <f>+Tablo3[[#This Row],[Birim Fiyat]]*Tablo3[[#This Row],[Satış Adet]]</f>
        <v>1200</v>
      </c>
      <c r="F1344" s="9">
        <v>400</v>
      </c>
      <c r="G1344" t="s">
        <v>66</v>
      </c>
      <c r="H1344" t="s">
        <v>24</v>
      </c>
    </row>
    <row r="1345" spans="1:8" x14ac:dyDescent="0.25">
      <c r="A1345" t="s">
        <v>30</v>
      </c>
      <c r="B1345" t="s">
        <v>54</v>
      </c>
      <c r="C1345">
        <v>1</v>
      </c>
      <c r="D1345" s="9">
        <v>5300</v>
      </c>
      <c r="E1345" s="9">
        <f>+Tablo3[[#This Row],[Birim Fiyat]]*Tablo3[[#This Row],[Satış Adet]]</f>
        <v>5300</v>
      </c>
      <c r="F1345" s="9">
        <v>1300</v>
      </c>
      <c r="G1345" t="s">
        <v>66</v>
      </c>
      <c r="H1345" t="s">
        <v>39</v>
      </c>
    </row>
    <row r="1346" spans="1:8" x14ac:dyDescent="0.25">
      <c r="A1346" t="s">
        <v>38</v>
      </c>
      <c r="B1346" t="s">
        <v>37</v>
      </c>
      <c r="C1346">
        <v>3</v>
      </c>
      <c r="D1346" s="9">
        <v>10590</v>
      </c>
      <c r="E1346" s="9">
        <f>+Tablo3[[#This Row],[Birim Fiyat]]*Tablo3[[#This Row],[Satış Adet]]</f>
        <v>31770</v>
      </c>
      <c r="F1346" s="9">
        <v>13770</v>
      </c>
      <c r="G1346" t="s">
        <v>66</v>
      </c>
      <c r="H1346" t="s">
        <v>29</v>
      </c>
    </row>
    <row r="1347" spans="1:8" x14ac:dyDescent="0.25">
      <c r="A1347" t="s">
        <v>22</v>
      </c>
      <c r="B1347" t="s">
        <v>50</v>
      </c>
      <c r="C1347">
        <v>1</v>
      </c>
      <c r="D1347" s="9">
        <v>1250</v>
      </c>
      <c r="E1347" s="9">
        <f>+Tablo3[[#This Row],[Birim Fiyat]]*Tablo3[[#This Row],[Satış Adet]]</f>
        <v>1250</v>
      </c>
      <c r="F1347" s="9">
        <v>450</v>
      </c>
      <c r="G1347" t="s">
        <v>66</v>
      </c>
      <c r="H1347" t="s">
        <v>42</v>
      </c>
    </row>
    <row r="1348" spans="1:8" x14ac:dyDescent="0.25">
      <c r="A1348" t="s">
        <v>48</v>
      </c>
      <c r="B1348" t="s">
        <v>51</v>
      </c>
      <c r="C1348">
        <v>1</v>
      </c>
      <c r="D1348" s="9">
        <v>1200</v>
      </c>
      <c r="E1348" s="9">
        <f>+Tablo3[[#This Row],[Birim Fiyat]]*Tablo3[[#This Row],[Satış Adet]]</f>
        <v>1200</v>
      </c>
      <c r="F1348" s="9">
        <v>400</v>
      </c>
      <c r="G1348" t="s">
        <v>66</v>
      </c>
      <c r="H1348" t="s">
        <v>24</v>
      </c>
    </row>
    <row r="1349" spans="1:8" x14ac:dyDescent="0.25">
      <c r="A1349" t="s">
        <v>22</v>
      </c>
      <c r="B1349" t="s">
        <v>13</v>
      </c>
      <c r="C1349">
        <v>3</v>
      </c>
      <c r="D1349" s="9">
        <v>1400</v>
      </c>
      <c r="E1349" s="9">
        <f>+Tablo3[[#This Row],[Birim Fiyat]]*Tablo3[[#This Row],[Satış Adet]]</f>
        <v>4200</v>
      </c>
      <c r="F1349" s="9">
        <v>1800</v>
      </c>
      <c r="G1349" t="s">
        <v>66</v>
      </c>
      <c r="H1349" t="s">
        <v>11</v>
      </c>
    </row>
    <row r="1350" spans="1:8" x14ac:dyDescent="0.25">
      <c r="A1350" t="s">
        <v>48</v>
      </c>
      <c r="B1350" t="s">
        <v>53</v>
      </c>
      <c r="C1350">
        <v>2</v>
      </c>
      <c r="D1350" s="9">
        <v>7530</v>
      </c>
      <c r="E1350" s="9">
        <f>+Tablo3[[#This Row],[Birim Fiyat]]*Tablo3[[#This Row],[Satış Adet]]</f>
        <v>15060</v>
      </c>
      <c r="F1350" s="9">
        <v>3060</v>
      </c>
      <c r="G1350" t="s">
        <v>66</v>
      </c>
      <c r="H1350" t="s">
        <v>52</v>
      </c>
    </row>
    <row r="1351" spans="1:8" x14ac:dyDescent="0.25">
      <c r="A1351" t="s">
        <v>30</v>
      </c>
      <c r="B1351" t="s">
        <v>23</v>
      </c>
      <c r="C1351">
        <v>1</v>
      </c>
      <c r="D1351" s="9">
        <v>7600</v>
      </c>
      <c r="E1351" s="9">
        <f>+Tablo3[[#This Row],[Birim Fiyat]]*Tablo3[[#This Row],[Satış Adet]]</f>
        <v>7600</v>
      </c>
      <c r="F1351" s="9">
        <v>1600</v>
      </c>
      <c r="G1351" t="s">
        <v>66</v>
      </c>
      <c r="H1351" t="s">
        <v>11</v>
      </c>
    </row>
    <row r="1352" spans="1:8" x14ac:dyDescent="0.25">
      <c r="A1352" t="s">
        <v>48</v>
      </c>
      <c r="B1352" t="s">
        <v>55</v>
      </c>
      <c r="C1352">
        <v>1</v>
      </c>
      <c r="D1352" s="9">
        <v>1500</v>
      </c>
      <c r="E1352" s="9">
        <f>+Tablo3[[#This Row],[Birim Fiyat]]*Tablo3[[#This Row],[Satış Adet]]</f>
        <v>1500</v>
      </c>
      <c r="F1352" s="9">
        <v>700</v>
      </c>
      <c r="G1352" t="s">
        <v>66</v>
      </c>
      <c r="H1352" t="s">
        <v>35</v>
      </c>
    </row>
    <row r="1353" spans="1:8" x14ac:dyDescent="0.25">
      <c r="A1353" t="s">
        <v>38</v>
      </c>
      <c r="B1353" t="s">
        <v>21</v>
      </c>
      <c r="C1353">
        <v>2</v>
      </c>
      <c r="D1353" s="9">
        <v>2180</v>
      </c>
      <c r="E1353" s="9">
        <f>+Tablo3[[#This Row],[Birim Fiyat]]*Tablo3[[#This Row],[Satış Adet]]</f>
        <v>4360</v>
      </c>
      <c r="F1353" s="9">
        <v>1360</v>
      </c>
      <c r="G1353" t="s">
        <v>66</v>
      </c>
      <c r="H1353" t="s">
        <v>40</v>
      </c>
    </row>
    <row r="1354" spans="1:8" x14ac:dyDescent="0.25">
      <c r="A1354" t="s">
        <v>18</v>
      </c>
      <c r="B1354" t="s">
        <v>21</v>
      </c>
      <c r="C1354">
        <v>1</v>
      </c>
      <c r="D1354" s="9">
        <v>2180</v>
      </c>
      <c r="E1354" s="9">
        <f>+Tablo3[[#This Row],[Birim Fiyat]]*Tablo3[[#This Row],[Satış Adet]]</f>
        <v>2180</v>
      </c>
      <c r="F1354" s="9">
        <v>680</v>
      </c>
      <c r="G1354" t="s">
        <v>66</v>
      </c>
      <c r="H1354" t="s">
        <v>44</v>
      </c>
    </row>
    <row r="1355" spans="1:8" x14ac:dyDescent="0.25">
      <c r="A1355" t="s">
        <v>38</v>
      </c>
      <c r="B1355" t="s">
        <v>45</v>
      </c>
      <c r="C1355">
        <v>1</v>
      </c>
      <c r="D1355" s="9">
        <v>5775</v>
      </c>
      <c r="E1355" s="9">
        <f>+Tablo3[[#This Row],[Birim Fiyat]]*Tablo3[[#This Row],[Satış Adet]]</f>
        <v>5775</v>
      </c>
      <c r="F1355" s="9">
        <v>1775</v>
      </c>
      <c r="G1355" t="s">
        <v>66</v>
      </c>
      <c r="H1355" t="s">
        <v>35</v>
      </c>
    </row>
    <row r="1356" spans="1:8" x14ac:dyDescent="0.25">
      <c r="A1356" t="s">
        <v>38</v>
      </c>
      <c r="B1356" t="s">
        <v>26</v>
      </c>
      <c r="C1356">
        <v>3</v>
      </c>
      <c r="D1356" s="9">
        <v>1100</v>
      </c>
      <c r="E1356" s="9">
        <f>+Tablo3[[#This Row],[Birim Fiyat]]*Tablo3[[#This Row],[Satış Adet]]</f>
        <v>3300</v>
      </c>
      <c r="F1356" s="9">
        <v>900</v>
      </c>
      <c r="G1356" t="s">
        <v>66</v>
      </c>
      <c r="H1356" t="s">
        <v>11</v>
      </c>
    </row>
    <row r="1357" spans="1:8" x14ac:dyDescent="0.25">
      <c r="A1357" t="s">
        <v>46</v>
      </c>
      <c r="B1357" t="s">
        <v>45</v>
      </c>
      <c r="C1357">
        <v>1</v>
      </c>
      <c r="D1357" s="9">
        <v>5775</v>
      </c>
      <c r="E1357" s="9">
        <f>+Tablo3[[#This Row],[Birim Fiyat]]*Tablo3[[#This Row],[Satış Adet]]</f>
        <v>5775</v>
      </c>
      <c r="F1357" s="9">
        <v>1775</v>
      </c>
      <c r="G1357" t="s">
        <v>66</v>
      </c>
      <c r="H1357" t="s">
        <v>11</v>
      </c>
    </row>
    <row r="1358" spans="1:8" x14ac:dyDescent="0.25">
      <c r="A1358" t="s">
        <v>33</v>
      </c>
      <c r="B1358" t="s">
        <v>19</v>
      </c>
      <c r="C1358">
        <v>1</v>
      </c>
      <c r="D1358" s="9">
        <v>1350</v>
      </c>
      <c r="E1358" s="9">
        <f>+Tablo3[[#This Row],[Birim Fiyat]]*Tablo3[[#This Row],[Satış Adet]]</f>
        <v>1350</v>
      </c>
      <c r="F1358" s="9">
        <v>550</v>
      </c>
      <c r="G1358" t="s">
        <v>66</v>
      </c>
      <c r="H1358" t="s">
        <v>35</v>
      </c>
    </row>
    <row r="1359" spans="1:8" x14ac:dyDescent="0.25">
      <c r="A1359" t="s">
        <v>8</v>
      </c>
      <c r="B1359" t="s">
        <v>23</v>
      </c>
      <c r="C1359">
        <v>3</v>
      </c>
      <c r="D1359" s="9">
        <v>7600</v>
      </c>
      <c r="E1359" s="9">
        <f>+Tablo3[[#This Row],[Birim Fiyat]]*Tablo3[[#This Row],[Satış Adet]]</f>
        <v>22800</v>
      </c>
      <c r="F1359" s="9">
        <v>4800</v>
      </c>
      <c r="G1359" t="s">
        <v>66</v>
      </c>
      <c r="H1359" t="s">
        <v>20</v>
      </c>
    </row>
    <row r="1360" spans="1:8" x14ac:dyDescent="0.25">
      <c r="A1360" t="s">
        <v>15</v>
      </c>
      <c r="B1360" t="s">
        <v>25</v>
      </c>
      <c r="C1360">
        <v>3</v>
      </c>
      <c r="D1360" s="9">
        <v>7250</v>
      </c>
      <c r="E1360" s="9">
        <f>+Tablo3[[#This Row],[Birim Fiyat]]*Tablo3[[#This Row],[Satış Adet]]</f>
        <v>21750</v>
      </c>
      <c r="F1360" s="9">
        <v>6750</v>
      </c>
      <c r="G1360" t="s">
        <v>66</v>
      </c>
      <c r="H1360" t="s">
        <v>40</v>
      </c>
    </row>
    <row r="1361" spans="1:8" x14ac:dyDescent="0.25">
      <c r="A1361" t="s">
        <v>48</v>
      </c>
      <c r="B1361" t="s">
        <v>41</v>
      </c>
      <c r="C1361">
        <v>2</v>
      </c>
      <c r="D1361" s="9">
        <v>1490</v>
      </c>
      <c r="E1361" s="9">
        <f>+Tablo3[[#This Row],[Birim Fiyat]]*Tablo3[[#This Row],[Satış Adet]]</f>
        <v>2980</v>
      </c>
      <c r="F1361" s="9">
        <v>1380</v>
      </c>
      <c r="G1361" t="s">
        <v>66</v>
      </c>
      <c r="H1361" t="s">
        <v>52</v>
      </c>
    </row>
    <row r="1362" spans="1:8" x14ac:dyDescent="0.25">
      <c r="A1362" t="s">
        <v>18</v>
      </c>
      <c r="B1362" t="s">
        <v>41</v>
      </c>
      <c r="C1362">
        <v>2</v>
      </c>
      <c r="D1362" s="9">
        <v>1490</v>
      </c>
      <c r="E1362" s="9">
        <f>+Tablo3[[#This Row],[Birim Fiyat]]*Tablo3[[#This Row],[Satış Adet]]</f>
        <v>2980</v>
      </c>
      <c r="F1362" s="9">
        <v>1380</v>
      </c>
      <c r="G1362" t="s">
        <v>66</v>
      </c>
      <c r="H1362" t="s">
        <v>11</v>
      </c>
    </row>
    <row r="1363" spans="1:8" x14ac:dyDescent="0.25">
      <c r="A1363" t="s">
        <v>36</v>
      </c>
      <c r="B1363" t="s">
        <v>32</v>
      </c>
      <c r="C1363">
        <v>2</v>
      </c>
      <c r="D1363" s="9">
        <v>1090</v>
      </c>
      <c r="E1363" s="9">
        <f>+Tablo3[[#This Row],[Birim Fiyat]]*Tablo3[[#This Row],[Satış Adet]]</f>
        <v>2180</v>
      </c>
      <c r="F1363" s="9">
        <v>580</v>
      </c>
      <c r="G1363" t="s">
        <v>66</v>
      </c>
      <c r="H1363" t="s">
        <v>29</v>
      </c>
    </row>
    <row r="1364" spans="1:8" x14ac:dyDescent="0.25">
      <c r="A1364" t="s">
        <v>36</v>
      </c>
      <c r="B1364" t="s">
        <v>28</v>
      </c>
      <c r="C1364">
        <v>3</v>
      </c>
      <c r="D1364" s="9">
        <v>1200</v>
      </c>
      <c r="E1364" s="9">
        <f>+Tablo3[[#This Row],[Birim Fiyat]]*Tablo3[[#This Row],[Satış Adet]]</f>
        <v>3600</v>
      </c>
      <c r="F1364" s="9">
        <v>1200</v>
      </c>
      <c r="G1364" t="s">
        <v>66</v>
      </c>
      <c r="H1364" t="s">
        <v>29</v>
      </c>
    </row>
    <row r="1365" spans="1:8" x14ac:dyDescent="0.25">
      <c r="A1365" t="s">
        <v>48</v>
      </c>
      <c r="B1365" t="s">
        <v>32</v>
      </c>
      <c r="C1365">
        <v>2</v>
      </c>
      <c r="D1365" s="9">
        <v>1090</v>
      </c>
      <c r="E1365" s="9">
        <f>+Tablo3[[#This Row],[Birim Fiyat]]*Tablo3[[#This Row],[Satış Adet]]</f>
        <v>2180</v>
      </c>
      <c r="F1365" s="9">
        <v>580</v>
      </c>
      <c r="G1365" t="s">
        <v>66</v>
      </c>
      <c r="H1365" t="s">
        <v>44</v>
      </c>
    </row>
    <row r="1366" spans="1:8" x14ac:dyDescent="0.25">
      <c r="A1366" t="s">
        <v>48</v>
      </c>
      <c r="B1366" t="s">
        <v>21</v>
      </c>
      <c r="C1366">
        <v>3</v>
      </c>
      <c r="D1366" s="9">
        <v>2180</v>
      </c>
      <c r="E1366" s="9">
        <f>+Tablo3[[#This Row],[Birim Fiyat]]*Tablo3[[#This Row],[Satış Adet]]</f>
        <v>6540</v>
      </c>
      <c r="F1366" s="9">
        <v>2040</v>
      </c>
      <c r="G1366" t="s">
        <v>66</v>
      </c>
      <c r="H1366" t="s">
        <v>14</v>
      </c>
    </row>
    <row r="1367" spans="1:8" x14ac:dyDescent="0.25">
      <c r="A1367" t="s">
        <v>15</v>
      </c>
      <c r="B1367" t="s">
        <v>54</v>
      </c>
      <c r="C1367">
        <v>3</v>
      </c>
      <c r="D1367" s="9">
        <v>5300</v>
      </c>
      <c r="E1367" s="9">
        <f>+Tablo3[[#This Row],[Birim Fiyat]]*Tablo3[[#This Row],[Satış Adet]]</f>
        <v>15900</v>
      </c>
      <c r="F1367" s="9">
        <v>3900</v>
      </c>
      <c r="G1367" t="s">
        <v>66</v>
      </c>
      <c r="H1367" t="s">
        <v>24</v>
      </c>
    </row>
    <row r="1368" spans="1:8" x14ac:dyDescent="0.25">
      <c r="A1368" t="s">
        <v>48</v>
      </c>
      <c r="B1368" t="s">
        <v>54</v>
      </c>
      <c r="C1368">
        <v>2</v>
      </c>
      <c r="D1368" s="9">
        <v>5300</v>
      </c>
      <c r="E1368" s="9">
        <f>+Tablo3[[#This Row],[Birim Fiyat]]*Tablo3[[#This Row],[Satış Adet]]</f>
        <v>10600</v>
      </c>
      <c r="F1368" s="9">
        <v>2600</v>
      </c>
      <c r="G1368" t="s">
        <v>66</v>
      </c>
      <c r="H1368" t="s">
        <v>14</v>
      </c>
    </row>
    <row r="1369" spans="1:8" x14ac:dyDescent="0.25">
      <c r="A1369" t="s">
        <v>67</v>
      </c>
      <c r="B1369" t="s">
        <v>25</v>
      </c>
      <c r="C1369">
        <v>2</v>
      </c>
      <c r="D1369" s="9">
        <v>7250</v>
      </c>
      <c r="E1369" s="9">
        <f>+Tablo3[[#This Row],[Birim Fiyat]]*Tablo3[[#This Row],[Satış Adet]]</f>
        <v>14500</v>
      </c>
      <c r="F1369" s="9">
        <v>4500</v>
      </c>
      <c r="G1369" t="s">
        <v>66</v>
      </c>
      <c r="H1369" t="s">
        <v>11</v>
      </c>
    </row>
    <row r="1370" spans="1:8" x14ac:dyDescent="0.25">
      <c r="A1370" t="s">
        <v>67</v>
      </c>
      <c r="B1370" t="s">
        <v>51</v>
      </c>
      <c r="C1370">
        <v>3</v>
      </c>
      <c r="D1370" s="9">
        <v>1200</v>
      </c>
      <c r="E1370" s="9">
        <f>+Tablo3[[#This Row],[Birim Fiyat]]*Tablo3[[#This Row],[Satış Adet]]</f>
        <v>3600</v>
      </c>
      <c r="F1370" s="9">
        <v>1200</v>
      </c>
      <c r="G1370" t="s">
        <v>66</v>
      </c>
      <c r="H1370" t="s">
        <v>35</v>
      </c>
    </row>
    <row r="1371" spans="1:8" x14ac:dyDescent="0.25">
      <c r="A1371" t="s">
        <v>18</v>
      </c>
      <c r="B1371" t="s">
        <v>9</v>
      </c>
      <c r="C1371">
        <v>1</v>
      </c>
      <c r="D1371" s="9">
        <v>6000</v>
      </c>
      <c r="E1371" s="9">
        <f>+Tablo3[[#This Row],[Birim Fiyat]]*Tablo3[[#This Row],[Satış Adet]]</f>
        <v>6000</v>
      </c>
      <c r="F1371" s="9">
        <v>2000</v>
      </c>
      <c r="G1371" t="s">
        <v>66</v>
      </c>
      <c r="H1371" t="s">
        <v>39</v>
      </c>
    </row>
    <row r="1372" spans="1:8" x14ac:dyDescent="0.25">
      <c r="A1372" t="s">
        <v>15</v>
      </c>
      <c r="B1372" t="s">
        <v>16</v>
      </c>
      <c r="C1372">
        <v>3</v>
      </c>
      <c r="D1372" s="9">
        <v>8450</v>
      </c>
      <c r="E1372" s="9">
        <f>+Tablo3[[#This Row],[Birim Fiyat]]*Tablo3[[#This Row],[Satış Adet]]</f>
        <v>25350</v>
      </c>
      <c r="F1372" s="9">
        <v>7350</v>
      </c>
      <c r="G1372" t="s">
        <v>66</v>
      </c>
      <c r="H1372" t="s">
        <v>24</v>
      </c>
    </row>
    <row r="1373" spans="1:8" x14ac:dyDescent="0.25">
      <c r="A1373" t="s">
        <v>30</v>
      </c>
      <c r="B1373" t="s">
        <v>43</v>
      </c>
      <c r="C1373">
        <v>1</v>
      </c>
      <c r="D1373" s="9">
        <v>4200</v>
      </c>
      <c r="E1373" s="9">
        <f>+Tablo3[[#This Row],[Birim Fiyat]]*Tablo3[[#This Row],[Satış Adet]]</f>
        <v>4200</v>
      </c>
      <c r="F1373" s="9">
        <v>1200</v>
      </c>
      <c r="G1373" t="s">
        <v>66</v>
      </c>
      <c r="H1373" t="s">
        <v>35</v>
      </c>
    </row>
    <row r="1374" spans="1:8" x14ac:dyDescent="0.25">
      <c r="A1374" t="s">
        <v>30</v>
      </c>
      <c r="B1374" t="s">
        <v>37</v>
      </c>
      <c r="C1374">
        <v>3</v>
      </c>
      <c r="D1374" s="9">
        <v>10590</v>
      </c>
      <c r="E1374" s="9">
        <f>+Tablo3[[#This Row],[Birim Fiyat]]*Tablo3[[#This Row],[Satış Adet]]</f>
        <v>31770</v>
      </c>
      <c r="F1374" s="9">
        <v>13770</v>
      </c>
      <c r="G1374" t="s">
        <v>66</v>
      </c>
      <c r="H1374" t="s">
        <v>44</v>
      </c>
    </row>
    <row r="1375" spans="1:8" x14ac:dyDescent="0.25">
      <c r="A1375" t="s">
        <v>67</v>
      </c>
      <c r="B1375" t="s">
        <v>51</v>
      </c>
      <c r="C1375">
        <v>1</v>
      </c>
      <c r="D1375" s="9">
        <v>1200</v>
      </c>
      <c r="E1375" s="9">
        <f>+Tablo3[[#This Row],[Birim Fiyat]]*Tablo3[[#This Row],[Satış Adet]]</f>
        <v>1200</v>
      </c>
      <c r="F1375" s="9">
        <v>400</v>
      </c>
      <c r="G1375" t="s">
        <v>66</v>
      </c>
      <c r="H1375" t="s">
        <v>35</v>
      </c>
    </row>
    <row r="1376" spans="1:8" x14ac:dyDescent="0.25">
      <c r="A1376" t="s">
        <v>46</v>
      </c>
      <c r="B1376" t="s">
        <v>26</v>
      </c>
      <c r="C1376">
        <v>2</v>
      </c>
      <c r="D1376" s="9">
        <v>1100</v>
      </c>
      <c r="E1376" s="9">
        <f>+Tablo3[[#This Row],[Birim Fiyat]]*Tablo3[[#This Row],[Satış Adet]]</f>
        <v>2200</v>
      </c>
      <c r="F1376" s="9">
        <v>600</v>
      </c>
      <c r="G1376" t="s">
        <v>66</v>
      </c>
      <c r="H1376" t="s">
        <v>27</v>
      </c>
    </row>
    <row r="1377" spans="1:8" x14ac:dyDescent="0.25">
      <c r="A1377" t="s">
        <v>38</v>
      </c>
      <c r="B1377" t="s">
        <v>56</v>
      </c>
      <c r="C1377">
        <v>2</v>
      </c>
      <c r="D1377" s="9">
        <v>3700</v>
      </c>
      <c r="E1377" s="9">
        <f>+Tablo3[[#This Row],[Birim Fiyat]]*Tablo3[[#This Row],[Satış Adet]]</f>
        <v>7400</v>
      </c>
      <c r="F1377" s="9">
        <v>1400</v>
      </c>
      <c r="G1377" t="s">
        <v>66</v>
      </c>
      <c r="H1377" t="s">
        <v>44</v>
      </c>
    </row>
    <row r="1378" spans="1:8" x14ac:dyDescent="0.25">
      <c r="A1378" t="s">
        <v>12</v>
      </c>
      <c r="B1378" t="s">
        <v>56</v>
      </c>
      <c r="C1378">
        <v>1</v>
      </c>
      <c r="D1378" s="9">
        <v>3700</v>
      </c>
      <c r="E1378" s="9">
        <f>+Tablo3[[#This Row],[Birim Fiyat]]*Tablo3[[#This Row],[Satış Adet]]</f>
        <v>3700</v>
      </c>
      <c r="F1378" s="9">
        <v>700</v>
      </c>
      <c r="G1378" t="s">
        <v>66</v>
      </c>
      <c r="H1378" t="s">
        <v>27</v>
      </c>
    </row>
    <row r="1379" spans="1:8" x14ac:dyDescent="0.25">
      <c r="A1379" t="s">
        <v>30</v>
      </c>
      <c r="B1379" t="s">
        <v>26</v>
      </c>
      <c r="C1379">
        <v>3</v>
      </c>
      <c r="D1379" s="9">
        <v>1100</v>
      </c>
      <c r="E1379" s="9">
        <f>+Tablo3[[#This Row],[Birim Fiyat]]*Tablo3[[#This Row],[Satış Adet]]</f>
        <v>3300</v>
      </c>
      <c r="F1379" s="9">
        <v>900</v>
      </c>
      <c r="G1379" t="s">
        <v>66</v>
      </c>
      <c r="H1379" t="s">
        <v>29</v>
      </c>
    </row>
    <row r="1380" spans="1:8" x14ac:dyDescent="0.25">
      <c r="A1380" t="s">
        <v>67</v>
      </c>
      <c r="B1380" t="s">
        <v>56</v>
      </c>
      <c r="C1380">
        <v>1</v>
      </c>
      <c r="D1380" s="9">
        <v>3700</v>
      </c>
      <c r="E1380" s="9">
        <f>+Tablo3[[#This Row],[Birim Fiyat]]*Tablo3[[#This Row],[Satış Adet]]</f>
        <v>3700</v>
      </c>
      <c r="F1380" s="9">
        <v>700</v>
      </c>
      <c r="G1380" t="s">
        <v>66</v>
      </c>
      <c r="H1380" t="s">
        <v>52</v>
      </c>
    </row>
    <row r="1381" spans="1:8" x14ac:dyDescent="0.25">
      <c r="A1381" t="s">
        <v>46</v>
      </c>
      <c r="B1381" t="s">
        <v>41</v>
      </c>
      <c r="C1381">
        <v>1</v>
      </c>
      <c r="D1381" s="9">
        <v>1490</v>
      </c>
      <c r="E1381" s="9">
        <f>+Tablo3[[#This Row],[Birim Fiyat]]*Tablo3[[#This Row],[Satış Adet]]</f>
        <v>1490</v>
      </c>
      <c r="F1381" s="9">
        <v>690</v>
      </c>
      <c r="G1381" t="s">
        <v>66</v>
      </c>
      <c r="H1381" t="s">
        <v>20</v>
      </c>
    </row>
    <row r="1382" spans="1:8" x14ac:dyDescent="0.25">
      <c r="A1382" t="s">
        <v>38</v>
      </c>
      <c r="B1382" t="s">
        <v>55</v>
      </c>
      <c r="C1382">
        <v>1</v>
      </c>
      <c r="D1382" s="9">
        <v>1500</v>
      </c>
      <c r="E1382" s="9">
        <f>+Tablo3[[#This Row],[Birim Fiyat]]*Tablo3[[#This Row],[Satış Adet]]</f>
        <v>1500</v>
      </c>
      <c r="F1382" s="9">
        <v>700</v>
      </c>
      <c r="G1382" t="s">
        <v>66</v>
      </c>
      <c r="H1382" t="s">
        <v>20</v>
      </c>
    </row>
    <row r="1383" spans="1:8" x14ac:dyDescent="0.25">
      <c r="A1383" t="s">
        <v>36</v>
      </c>
      <c r="B1383" t="s">
        <v>32</v>
      </c>
      <c r="C1383">
        <v>2</v>
      </c>
      <c r="D1383" s="9">
        <v>1090</v>
      </c>
      <c r="E1383" s="9">
        <f>+Tablo3[[#This Row],[Birim Fiyat]]*Tablo3[[#This Row],[Satış Adet]]</f>
        <v>2180</v>
      </c>
      <c r="F1383" s="9">
        <v>580</v>
      </c>
      <c r="G1383" t="s">
        <v>66</v>
      </c>
      <c r="H1383" t="s">
        <v>40</v>
      </c>
    </row>
    <row r="1384" spans="1:8" x14ac:dyDescent="0.25">
      <c r="A1384" t="s">
        <v>46</v>
      </c>
      <c r="B1384" t="s">
        <v>31</v>
      </c>
      <c r="C1384">
        <v>3</v>
      </c>
      <c r="D1384" s="9">
        <v>1800</v>
      </c>
      <c r="E1384" s="9">
        <f>+Tablo3[[#This Row],[Birim Fiyat]]*Tablo3[[#This Row],[Satış Adet]]</f>
        <v>5400</v>
      </c>
      <c r="F1384" s="9">
        <v>3000</v>
      </c>
      <c r="G1384" t="s">
        <v>66</v>
      </c>
      <c r="H1384" t="s">
        <v>14</v>
      </c>
    </row>
    <row r="1385" spans="1:8" x14ac:dyDescent="0.25">
      <c r="A1385" t="s">
        <v>33</v>
      </c>
      <c r="B1385" t="s">
        <v>53</v>
      </c>
      <c r="C1385">
        <v>2</v>
      </c>
      <c r="D1385" s="9">
        <v>7530</v>
      </c>
      <c r="E1385" s="9">
        <f>+Tablo3[[#This Row],[Birim Fiyat]]*Tablo3[[#This Row],[Satış Adet]]</f>
        <v>15060</v>
      </c>
      <c r="F1385" s="9">
        <v>3060</v>
      </c>
      <c r="G1385" t="s">
        <v>66</v>
      </c>
      <c r="H1385" t="s">
        <v>20</v>
      </c>
    </row>
    <row r="1386" spans="1:8" x14ac:dyDescent="0.25">
      <c r="A1386" t="s">
        <v>30</v>
      </c>
      <c r="B1386" t="s">
        <v>26</v>
      </c>
      <c r="C1386">
        <v>3</v>
      </c>
      <c r="D1386" s="9">
        <v>1100</v>
      </c>
      <c r="E1386" s="9">
        <f>+Tablo3[[#This Row],[Birim Fiyat]]*Tablo3[[#This Row],[Satış Adet]]</f>
        <v>3300</v>
      </c>
      <c r="F1386" s="9">
        <v>900</v>
      </c>
      <c r="G1386" t="s">
        <v>66</v>
      </c>
      <c r="H1386" t="s">
        <v>29</v>
      </c>
    </row>
    <row r="1387" spans="1:8" x14ac:dyDescent="0.25">
      <c r="A1387" t="s">
        <v>38</v>
      </c>
      <c r="B1387" t="s">
        <v>19</v>
      </c>
      <c r="C1387">
        <v>3</v>
      </c>
      <c r="D1387" s="9">
        <v>1350</v>
      </c>
      <c r="E1387" s="9">
        <f>+Tablo3[[#This Row],[Birim Fiyat]]*Tablo3[[#This Row],[Satış Adet]]</f>
        <v>4050</v>
      </c>
      <c r="F1387" s="9">
        <v>1650</v>
      </c>
      <c r="G1387" t="s">
        <v>66</v>
      </c>
      <c r="H1387" t="s">
        <v>17</v>
      </c>
    </row>
    <row r="1388" spans="1:8" x14ac:dyDescent="0.25">
      <c r="A1388" t="s">
        <v>36</v>
      </c>
      <c r="B1388" t="s">
        <v>19</v>
      </c>
      <c r="C1388">
        <v>1</v>
      </c>
      <c r="D1388" s="9">
        <v>1350</v>
      </c>
      <c r="E1388" s="9">
        <f>+Tablo3[[#This Row],[Birim Fiyat]]*Tablo3[[#This Row],[Satış Adet]]</f>
        <v>1350</v>
      </c>
      <c r="F1388" s="9">
        <v>550</v>
      </c>
      <c r="G1388" t="s">
        <v>66</v>
      </c>
      <c r="H1388" t="s">
        <v>14</v>
      </c>
    </row>
    <row r="1389" spans="1:8" x14ac:dyDescent="0.25">
      <c r="A1389" t="s">
        <v>33</v>
      </c>
      <c r="B1389" t="s">
        <v>32</v>
      </c>
      <c r="C1389">
        <v>2</v>
      </c>
      <c r="D1389" s="9">
        <v>1090</v>
      </c>
      <c r="E1389" s="9">
        <f>+Tablo3[[#This Row],[Birim Fiyat]]*Tablo3[[#This Row],[Satış Adet]]</f>
        <v>2180</v>
      </c>
      <c r="F1389" s="9">
        <v>580</v>
      </c>
      <c r="G1389" t="s">
        <v>66</v>
      </c>
      <c r="H1389" t="s">
        <v>17</v>
      </c>
    </row>
    <row r="1390" spans="1:8" x14ac:dyDescent="0.25">
      <c r="A1390" t="s">
        <v>33</v>
      </c>
      <c r="B1390" t="s">
        <v>43</v>
      </c>
      <c r="C1390">
        <v>1</v>
      </c>
      <c r="D1390" s="9">
        <v>4200</v>
      </c>
      <c r="E1390" s="9">
        <f>+Tablo3[[#This Row],[Birim Fiyat]]*Tablo3[[#This Row],[Satış Adet]]</f>
        <v>4200</v>
      </c>
      <c r="F1390" s="9">
        <v>1200</v>
      </c>
      <c r="G1390" t="s">
        <v>66</v>
      </c>
      <c r="H1390" t="s">
        <v>35</v>
      </c>
    </row>
    <row r="1391" spans="1:8" x14ac:dyDescent="0.25">
      <c r="A1391" t="s">
        <v>38</v>
      </c>
      <c r="B1391" t="s">
        <v>31</v>
      </c>
      <c r="C1391">
        <v>2</v>
      </c>
      <c r="D1391" s="9">
        <v>1800</v>
      </c>
      <c r="E1391" s="9">
        <f>+Tablo3[[#This Row],[Birim Fiyat]]*Tablo3[[#This Row],[Satış Adet]]</f>
        <v>3600</v>
      </c>
      <c r="F1391" s="9">
        <v>2000</v>
      </c>
      <c r="G1391" t="s">
        <v>66</v>
      </c>
      <c r="H1391" t="s">
        <v>39</v>
      </c>
    </row>
    <row r="1392" spans="1:8" x14ac:dyDescent="0.25">
      <c r="A1392" t="s">
        <v>48</v>
      </c>
      <c r="B1392" t="s">
        <v>32</v>
      </c>
      <c r="C1392">
        <v>1</v>
      </c>
      <c r="D1392" s="9">
        <v>1090</v>
      </c>
      <c r="E1392" s="9">
        <f>+Tablo3[[#This Row],[Birim Fiyat]]*Tablo3[[#This Row],[Satış Adet]]</f>
        <v>1090</v>
      </c>
      <c r="F1392" s="9">
        <v>290</v>
      </c>
      <c r="G1392" t="s">
        <v>66</v>
      </c>
      <c r="H1392" t="s">
        <v>35</v>
      </c>
    </row>
    <row r="1393" spans="1:8" x14ac:dyDescent="0.25">
      <c r="A1393" t="s">
        <v>8</v>
      </c>
      <c r="B1393" t="s">
        <v>23</v>
      </c>
      <c r="C1393">
        <v>1</v>
      </c>
      <c r="D1393" s="9">
        <v>7600</v>
      </c>
      <c r="E1393" s="9">
        <f>+Tablo3[[#This Row],[Birim Fiyat]]*Tablo3[[#This Row],[Satış Adet]]</f>
        <v>7600</v>
      </c>
      <c r="F1393" s="9">
        <v>1600</v>
      </c>
      <c r="G1393" t="s">
        <v>66</v>
      </c>
      <c r="H1393" t="s">
        <v>29</v>
      </c>
    </row>
    <row r="1394" spans="1:8" x14ac:dyDescent="0.25">
      <c r="A1394" t="s">
        <v>36</v>
      </c>
      <c r="B1394" t="s">
        <v>23</v>
      </c>
      <c r="C1394">
        <v>3</v>
      </c>
      <c r="D1394" s="9">
        <v>7600</v>
      </c>
      <c r="E1394" s="9">
        <f>+Tablo3[[#This Row],[Birim Fiyat]]*Tablo3[[#This Row],[Satış Adet]]</f>
        <v>22800</v>
      </c>
      <c r="F1394" s="9">
        <v>4800</v>
      </c>
      <c r="G1394" t="s">
        <v>66</v>
      </c>
      <c r="H1394" t="s">
        <v>17</v>
      </c>
    </row>
    <row r="1395" spans="1:8" x14ac:dyDescent="0.25">
      <c r="A1395" t="s">
        <v>15</v>
      </c>
      <c r="B1395" t="s">
        <v>56</v>
      </c>
      <c r="C1395">
        <v>1</v>
      </c>
      <c r="D1395" s="9">
        <v>3700</v>
      </c>
      <c r="E1395" s="9">
        <f>+Tablo3[[#This Row],[Birim Fiyat]]*Tablo3[[#This Row],[Satış Adet]]</f>
        <v>3700</v>
      </c>
      <c r="F1395" s="9">
        <v>700</v>
      </c>
      <c r="G1395" t="s">
        <v>66</v>
      </c>
      <c r="H1395" t="s">
        <v>42</v>
      </c>
    </row>
    <row r="1396" spans="1:8" x14ac:dyDescent="0.25">
      <c r="A1396" t="s">
        <v>22</v>
      </c>
      <c r="B1396" t="s">
        <v>25</v>
      </c>
      <c r="C1396">
        <v>3</v>
      </c>
      <c r="D1396" s="9">
        <v>7250</v>
      </c>
      <c r="E1396" s="9">
        <f>+Tablo3[[#This Row],[Birim Fiyat]]*Tablo3[[#This Row],[Satış Adet]]</f>
        <v>21750</v>
      </c>
      <c r="F1396" s="9">
        <v>6750</v>
      </c>
      <c r="G1396" t="s">
        <v>66</v>
      </c>
      <c r="H1396" t="s">
        <v>39</v>
      </c>
    </row>
    <row r="1397" spans="1:8" x14ac:dyDescent="0.25">
      <c r="A1397" t="s">
        <v>12</v>
      </c>
      <c r="B1397" t="s">
        <v>23</v>
      </c>
      <c r="C1397">
        <v>3</v>
      </c>
      <c r="D1397" s="9">
        <v>7600</v>
      </c>
      <c r="E1397" s="9">
        <f>+Tablo3[[#This Row],[Birim Fiyat]]*Tablo3[[#This Row],[Satış Adet]]</f>
        <v>22800</v>
      </c>
      <c r="F1397" s="9">
        <v>4800</v>
      </c>
      <c r="G1397" t="s">
        <v>66</v>
      </c>
      <c r="H1397" t="s">
        <v>17</v>
      </c>
    </row>
    <row r="1398" spans="1:8" x14ac:dyDescent="0.25">
      <c r="A1398" t="s">
        <v>46</v>
      </c>
      <c r="B1398" t="s">
        <v>43</v>
      </c>
      <c r="C1398">
        <v>1</v>
      </c>
      <c r="D1398" s="9">
        <v>4200</v>
      </c>
      <c r="E1398" s="9">
        <f>+Tablo3[[#This Row],[Birim Fiyat]]*Tablo3[[#This Row],[Satış Adet]]</f>
        <v>4200</v>
      </c>
      <c r="F1398" s="9">
        <v>1200</v>
      </c>
      <c r="G1398" t="s">
        <v>66</v>
      </c>
      <c r="H1398" t="s">
        <v>20</v>
      </c>
    </row>
    <row r="1399" spans="1:8" x14ac:dyDescent="0.25">
      <c r="A1399" t="s">
        <v>30</v>
      </c>
      <c r="B1399" t="s">
        <v>50</v>
      </c>
      <c r="C1399">
        <v>3</v>
      </c>
      <c r="D1399" s="9">
        <v>1250</v>
      </c>
      <c r="E1399" s="9">
        <f>+Tablo3[[#This Row],[Birim Fiyat]]*Tablo3[[#This Row],[Satış Adet]]</f>
        <v>3750</v>
      </c>
      <c r="F1399" s="9">
        <v>1350</v>
      </c>
      <c r="G1399" t="s">
        <v>66</v>
      </c>
      <c r="H1399" t="s">
        <v>40</v>
      </c>
    </row>
    <row r="1400" spans="1:8" x14ac:dyDescent="0.25">
      <c r="A1400" t="s">
        <v>36</v>
      </c>
      <c r="B1400" t="s">
        <v>32</v>
      </c>
      <c r="C1400">
        <v>1</v>
      </c>
      <c r="D1400" s="9">
        <v>1090</v>
      </c>
      <c r="E1400" s="9">
        <f>+Tablo3[[#This Row],[Birim Fiyat]]*Tablo3[[#This Row],[Satış Adet]]</f>
        <v>1090</v>
      </c>
      <c r="F1400" s="9">
        <v>290</v>
      </c>
      <c r="G1400" t="s">
        <v>66</v>
      </c>
      <c r="H1400" t="s">
        <v>17</v>
      </c>
    </row>
    <row r="1401" spans="1:8" x14ac:dyDescent="0.25">
      <c r="A1401" t="s">
        <v>18</v>
      </c>
      <c r="B1401" t="s">
        <v>21</v>
      </c>
      <c r="C1401">
        <v>1</v>
      </c>
      <c r="D1401" s="9">
        <v>2180</v>
      </c>
      <c r="E1401" s="9">
        <f>+Tablo3[[#This Row],[Birim Fiyat]]*Tablo3[[#This Row],[Satış Adet]]</f>
        <v>2180</v>
      </c>
      <c r="F1401" s="9">
        <v>680</v>
      </c>
      <c r="G1401" t="s">
        <v>66</v>
      </c>
      <c r="H1401" t="s">
        <v>14</v>
      </c>
    </row>
    <row r="1402" spans="1:8" x14ac:dyDescent="0.25">
      <c r="A1402" t="s">
        <v>48</v>
      </c>
      <c r="B1402" t="s">
        <v>56</v>
      </c>
      <c r="C1402">
        <v>2</v>
      </c>
      <c r="D1402" s="9">
        <v>3700</v>
      </c>
      <c r="E1402" s="9">
        <f>+Tablo3[[#This Row],[Birim Fiyat]]*Tablo3[[#This Row],[Satış Adet]]</f>
        <v>7400</v>
      </c>
      <c r="F1402" s="9">
        <v>1400</v>
      </c>
      <c r="G1402" t="s">
        <v>66</v>
      </c>
      <c r="H1402" t="s">
        <v>17</v>
      </c>
    </row>
    <row r="1403" spans="1:8" x14ac:dyDescent="0.25">
      <c r="A1403" t="s">
        <v>38</v>
      </c>
      <c r="B1403" t="s">
        <v>9</v>
      </c>
      <c r="C1403">
        <v>2</v>
      </c>
      <c r="D1403" s="9">
        <v>6000</v>
      </c>
      <c r="E1403" s="9">
        <f>+Tablo3[[#This Row],[Birim Fiyat]]*Tablo3[[#This Row],[Satış Adet]]</f>
        <v>12000</v>
      </c>
      <c r="F1403" s="9">
        <v>4000</v>
      </c>
      <c r="G1403" t="s">
        <v>66</v>
      </c>
      <c r="H1403" t="s">
        <v>29</v>
      </c>
    </row>
    <row r="1404" spans="1:8" x14ac:dyDescent="0.25">
      <c r="A1404" t="s">
        <v>46</v>
      </c>
      <c r="B1404" t="s">
        <v>50</v>
      </c>
      <c r="C1404">
        <v>2</v>
      </c>
      <c r="D1404" s="9">
        <v>1250</v>
      </c>
      <c r="E1404" s="9">
        <f>+Tablo3[[#This Row],[Birim Fiyat]]*Tablo3[[#This Row],[Satış Adet]]</f>
        <v>2500</v>
      </c>
      <c r="F1404" s="9">
        <v>900</v>
      </c>
      <c r="G1404" t="s">
        <v>66</v>
      </c>
      <c r="H1404" t="s">
        <v>40</v>
      </c>
    </row>
    <row r="1405" spans="1:8" x14ac:dyDescent="0.25">
      <c r="A1405" t="s">
        <v>48</v>
      </c>
      <c r="B1405" t="s">
        <v>23</v>
      </c>
      <c r="C1405">
        <v>1</v>
      </c>
      <c r="D1405" s="9">
        <v>7600</v>
      </c>
      <c r="E1405" s="9">
        <f>+Tablo3[[#This Row],[Birim Fiyat]]*Tablo3[[#This Row],[Satış Adet]]</f>
        <v>7600</v>
      </c>
      <c r="F1405" s="9">
        <v>1600</v>
      </c>
      <c r="G1405" t="s">
        <v>66</v>
      </c>
      <c r="H1405" t="s">
        <v>24</v>
      </c>
    </row>
    <row r="1406" spans="1:8" x14ac:dyDescent="0.25">
      <c r="A1406" t="s">
        <v>8</v>
      </c>
      <c r="B1406" t="s">
        <v>13</v>
      </c>
      <c r="C1406">
        <v>2</v>
      </c>
      <c r="D1406" s="9">
        <v>1400</v>
      </c>
      <c r="E1406" s="9">
        <f>+Tablo3[[#This Row],[Birim Fiyat]]*Tablo3[[#This Row],[Satış Adet]]</f>
        <v>2800</v>
      </c>
      <c r="F1406" s="9">
        <v>1200</v>
      </c>
      <c r="G1406" t="s">
        <v>66</v>
      </c>
      <c r="H1406" t="s">
        <v>17</v>
      </c>
    </row>
    <row r="1407" spans="1:8" x14ac:dyDescent="0.25">
      <c r="A1407" t="s">
        <v>22</v>
      </c>
      <c r="B1407" t="s">
        <v>21</v>
      </c>
      <c r="C1407">
        <v>2</v>
      </c>
      <c r="D1407" s="9">
        <v>2180</v>
      </c>
      <c r="E1407" s="9">
        <f>+Tablo3[[#This Row],[Birim Fiyat]]*Tablo3[[#This Row],[Satış Adet]]</f>
        <v>4360</v>
      </c>
      <c r="F1407" s="9">
        <v>1360</v>
      </c>
      <c r="G1407" t="s">
        <v>66</v>
      </c>
      <c r="H1407" t="s">
        <v>52</v>
      </c>
    </row>
    <row r="1408" spans="1:8" x14ac:dyDescent="0.25">
      <c r="A1408" t="s">
        <v>8</v>
      </c>
      <c r="B1408" t="s">
        <v>31</v>
      </c>
      <c r="C1408">
        <v>3</v>
      </c>
      <c r="D1408" s="9">
        <v>1800</v>
      </c>
      <c r="E1408" s="9">
        <f>+Tablo3[[#This Row],[Birim Fiyat]]*Tablo3[[#This Row],[Satış Adet]]</f>
        <v>5400</v>
      </c>
      <c r="F1408" s="9">
        <v>3000</v>
      </c>
      <c r="G1408" t="s">
        <v>66</v>
      </c>
      <c r="H1408" t="s">
        <v>40</v>
      </c>
    </row>
    <row r="1409" spans="1:8" x14ac:dyDescent="0.25">
      <c r="A1409" t="s">
        <v>15</v>
      </c>
      <c r="B1409" t="s">
        <v>55</v>
      </c>
      <c r="C1409">
        <v>1</v>
      </c>
      <c r="D1409" s="9">
        <v>1500</v>
      </c>
      <c r="E1409" s="9">
        <f>+Tablo3[[#This Row],[Birim Fiyat]]*Tablo3[[#This Row],[Satış Adet]]</f>
        <v>1500</v>
      </c>
      <c r="F1409" s="9">
        <v>700</v>
      </c>
      <c r="G1409" t="s">
        <v>66</v>
      </c>
      <c r="H1409" t="s">
        <v>11</v>
      </c>
    </row>
    <row r="1410" spans="1:8" x14ac:dyDescent="0.25">
      <c r="A1410" t="s">
        <v>30</v>
      </c>
      <c r="B1410" t="s">
        <v>16</v>
      </c>
      <c r="C1410">
        <v>3</v>
      </c>
      <c r="D1410" s="9">
        <v>8450</v>
      </c>
      <c r="E1410" s="9">
        <f>+Tablo3[[#This Row],[Birim Fiyat]]*Tablo3[[#This Row],[Satış Adet]]</f>
        <v>25350</v>
      </c>
      <c r="F1410" s="9">
        <v>7350</v>
      </c>
      <c r="G1410" t="s">
        <v>66</v>
      </c>
      <c r="H1410" t="s">
        <v>40</v>
      </c>
    </row>
    <row r="1411" spans="1:8" x14ac:dyDescent="0.25">
      <c r="A1411" t="s">
        <v>38</v>
      </c>
      <c r="B1411" t="s">
        <v>55</v>
      </c>
      <c r="C1411">
        <v>3</v>
      </c>
      <c r="D1411" s="9">
        <v>1500</v>
      </c>
      <c r="E1411" s="9">
        <f>+Tablo3[[#This Row],[Birim Fiyat]]*Tablo3[[#This Row],[Satış Adet]]</f>
        <v>4500</v>
      </c>
      <c r="F1411" s="9">
        <v>2100</v>
      </c>
      <c r="G1411" t="s">
        <v>66</v>
      </c>
      <c r="H1411" t="s">
        <v>40</v>
      </c>
    </row>
    <row r="1412" spans="1:8" x14ac:dyDescent="0.25">
      <c r="A1412" t="s">
        <v>67</v>
      </c>
      <c r="B1412" t="s">
        <v>9</v>
      </c>
      <c r="C1412">
        <v>3</v>
      </c>
      <c r="D1412" s="9">
        <v>6000</v>
      </c>
      <c r="E1412" s="9">
        <f>+Tablo3[[#This Row],[Birim Fiyat]]*Tablo3[[#This Row],[Satış Adet]]</f>
        <v>18000</v>
      </c>
      <c r="F1412" s="9">
        <v>6000</v>
      </c>
      <c r="G1412" t="s">
        <v>66</v>
      </c>
      <c r="H1412" t="s">
        <v>40</v>
      </c>
    </row>
    <row r="1413" spans="1:8" x14ac:dyDescent="0.25">
      <c r="A1413" t="s">
        <v>48</v>
      </c>
      <c r="B1413" t="s">
        <v>51</v>
      </c>
      <c r="C1413">
        <v>1</v>
      </c>
      <c r="D1413" s="9">
        <v>1200</v>
      </c>
      <c r="E1413" s="9">
        <f>+Tablo3[[#This Row],[Birim Fiyat]]*Tablo3[[#This Row],[Satış Adet]]</f>
        <v>1200</v>
      </c>
      <c r="F1413" s="9">
        <v>400</v>
      </c>
      <c r="G1413" t="s">
        <v>66</v>
      </c>
      <c r="H1413" t="s">
        <v>52</v>
      </c>
    </row>
    <row r="1414" spans="1:8" x14ac:dyDescent="0.25">
      <c r="A1414" t="s">
        <v>8</v>
      </c>
      <c r="B1414" t="s">
        <v>43</v>
      </c>
      <c r="C1414">
        <v>3</v>
      </c>
      <c r="D1414" s="9">
        <v>4200</v>
      </c>
      <c r="E1414" s="9">
        <f>+Tablo3[[#This Row],[Birim Fiyat]]*Tablo3[[#This Row],[Satış Adet]]</f>
        <v>12600</v>
      </c>
      <c r="F1414" s="9">
        <v>3600</v>
      </c>
      <c r="G1414" t="s">
        <v>66</v>
      </c>
      <c r="H1414" t="s">
        <v>27</v>
      </c>
    </row>
    <row r="1415" spans="1:8" x14ac:dyDescent="0.25">
      <c r="A1415" t="s">
        <v>46</v>
      </c>
      <c r="B1415" t="s">
        <v>23</v>
      </c>
      <c r="C1415">
        <v>3</v>
      </c>
      <c r="D1415" s="9">
        <v>7600</v>
      </c>
      <c r="E1415" s="9">
        <f>+Tablo3[[#This Row],[Birim Fiyat]]*Tablo3[[#This Row],[Satış Adet]]</f>
        <v>22800</v>
      </c>
      <c r="F1415" s="9">
        <v>4800</v>
      </c>
      <c r="G1415" t="s">
        <v>66</v>
      </c>
      <c r="H1415" t="s">
        <v>11</v>
      </c>
    </row>
    <row r="1416" spans="1:8" x14ac:dyDescent="0.25">
      <c r="A1416" t="s">
        <v>8</v>
      </c>
      <c r="B1416" t="s">
        <v>9</v>
      </c>
      <c r="C1416">
        <v>3</v>
      </c>
      <c r="D1416" s="9">
        <v>6000</v>
      </c>
      <c r="E1416" s="9">
        <f>+Tablo3[[#This Row],[Birim Fiyat]]*Tablo3[[#This Row],[Satış Adet]]</f>
        <v>18000</v>
      </c>
      <c r="F1416" s="9">
        <v>6000</v>
      </c>
      <c r="G1416" t="s">
        <v>10</v>
      </c>
      <c r="H1416" t="s">
        <v>24</v>
      </c>
    </row>
    <row r="1417" spans="1:8" x14ac:dyDescent="0.25">
      <c r="A1417" t="s">
        <v>12</v>
      </c>
      <c r="B1417" t="s">
        <v>13</v>
      </c>
      <c r="C1417">
        <v>5</v>
      </c>
      <c r="D1417" s="9">
        <v>1400</v>
      </c>
      <c r="E1417" s="9">
        <f>+Tablo3[[#This Row],[Birim Fiyat]]*Tablo3[[#This Row],[Satış Adet]]</f>
        <v>7000</v>
      </c>
      <c r="F1417" s="9">
        <v>3000</v>
      </c>
      <c r="G1417" t="s">
        <v>10</v>
      </c>
      <c r="H1417" t="s">
        <v>35</v>
      </c>
    </row>
    <row r="1418" spans="1:8" x14ac:dyDescent="0.25">
      <c r="A1418" t="s">
        <v>15</v>
      </c>
      <c r="B1418" t="s">
        <v>16</v>
      </c>
      <c r="C1418">
        <v>4</v>
      </c>
      <c r="D1418" s="9">
        <v>8450</v>
      </c>
      <c r="E1418" s="9">
        <f>+Tablo3[[#This Row],[Birim Fiyat]]*Tablo3[[#This Row],[Satış Adet]]</f>
        <v>33800</v>
      </c>
      <c r="F1418" s="9">
        <v>9800</v>
      </c>
      <c r="G1418" t="s">
        <v>10</v>
      </c>
      <c r="H1418" t="s">
        <v>14</v>
      </c>
    </row>
    <row r="1419" spans="1:8" x14ac:dyDescent="0.25">
      <c r="A1419" t="s">
        <v>18</v>
      </c>
      <c r="B1419" t="s">
        <v>19</v>
      </c>
      <c r="C1419">
        <v>4</v>
      </c>
      <c r="D1419" s="9">
        <v>1350</v>
      </c>
      <c r="E1419" s="9">
        <f>+Tablo3[[#This Row],[Birim Fiyat]]*Tablo3[[#This Row],[Satış Adet]]</f>
        <v>5400</v>
      </c>
      <c r="F1419" s="9">
        <v>2200</v>
      </c>
      <c r="G1419" t="s">
        <v>10</v>
      </c>
      <c r="H1419" t="s">
        <v>39</v>
      </c>
    </row>
    <row r="1420" spans="1:8" x14ac:dyDescent="0.25">
      <c r="A1420" t="s">
        <v>8</v>
      </c>
      <c r="B1420" t="s">
        <v>21</v>
      </c>
      <c r="C1420">
        <v>5</v>
      </c>
      <c r="D1420" s="9">
        <v>2180</v>
      </c>
      <c r="E1420" s="9">
        <f>+Tablo3[[#This Row],[Birim Fiyat]]*Tablo3[[#This Row],[Satış Adet]]</f>
        <v>10900</v>
      </c>
      <c r="F1420" s="9">
        <v>3400</v>
      </c>
      <c r="G1420" t="s">
        <v>10</v>
      </c>
      <c r="H1420" t="s">
        <v>35</v>
      </c>
    </row>
    <row r="1421" spans="1:8" x14ac:dyDescent="0.25">
      <c r="A1421" t="s">
        <v>22</v>
      </c>
      <c r="B1421" t="s">
        <v>23</v>
      </c>
      <c r="C1421">
        <v>3</v>
      </c>
      <c r="D1421" s="9">
        <v>7600</v>
      </c>
      <c r="E1421" s="9">
        <f>+Tablo3[[#This Row],[Birim Fiyat]]*Tablo3[[#This Row],[Satış Adet]]</f>
        <v>22800</v>
      </c>
      <c r="F1421" s="9">
        <v>4800</v>
      </c>
      <c r="G1421" t="s">
        <v>10</v>
      </c>
      <c r="H1421" t="s">
        <v>44</v>
      </c>
    </row>
    <row r="1422" spans="1:8" x14ac:dyDescent="0.25">
      <c r="A1422" t="s">
        <v>12</v>
      </c>
      <c r="B1422" t="s">
        <v>25</v>
      </c>
      <c r="C1422">
        <v>5</v>
      </c>
      <c r="D1422" s="9">
        <v>7250</v>
      </c>
      <c r="E1422" s="9">
        <f>+Tablo3[[#This Row],[Birim Fiyat]]*Tablo3[[#This Row],[Satış Adet]]</f>
        <v>36250</v>
      </c>
      <c r="F1422" s="9">
        <v>11250</v>
      </c>
      <c r="G1422" t="s">
        <v>10</v>
      </c>
      <c r="H1422" t="s">
        <v>42</v>
      </c>
    </row>
    <row r="1423" spans="1:8" x14ac:dyDescent="0.25">
      <c r="A1423" t="s">
        <v>18</v>
      </c>
      <c r="B1423" t="s">
        <v>26</v>
      </c>
      <c r="C1423">
        <v>4</v>
      </c>
      <c r="D1423" s="9">
        <v>1100</v>
      </c>
      <c r="E1423" s="9">
        <f>+Tablo3[[#This Row],[Birim Fiyat]]*Tablo3[[#This Row],[Satış Adet]]</f>
        <v>4400</v>
      </c>
      <c r="F1423" s="9">
        <v>1200</v>
      </c>
      <c r="G1423" t="s">
        <v>10</v>
      </c>
      <c r="H1423" t="s">
        <v>14</v>
      </c>
    </row>
    <row r="1424" spans="1:8" x14ac:dyDescent="0.25">
      <c r="A1424" t="s">
        <v>67</v>
      </c>
      <c r="B1424" t="s">
        <v>9</v>
      </c>
      <c r="C1424">
        <v>3</v>
      </c>
      <c r="D1424" s="9">
        <v>6000</v>
      </c>
      <c r="E1424" s="9">
        <f>+Tablo3[[#This Row],[Birim Fiyat]]*Tablo3[[#This Row],[Satış Adet]]</f>
        <v>18000</v>
      </c>
      <c r="F1424" s="9">
        <v>6000</v>
      </c>
      <c r="G1424" t="s">
        <v>10</v>
      </c>
      <c r="H1424" t="s">
        <v>44</v>
      </c>
    </row>
    <row r="1425" spans="1:8" x14ac:dyDescent="0.25">
      <c r="A1425" t="s">
        <v>8</v>
      </c>
      <c r="B1425" t="s">
        <v>28</v>
      </c>
      <c r="C1425">
        <v>2</v>
      </c>
      <c r="D1425" s="9">
        <v>1200</v>
      </c>
      <c r="E1425" s="9">
        <f>+Tablo3[[#This Row],[Birim Fiyat]]*Tablo3[[#This Row],[Satış Adet]]</f>
        <v>2400</v>
      </c>
      <c r="F1425" s="9">
        <v>800</v>
      </c>
      <c r="G1425" t="s">
        <v>10</v>
      </c>
      <c r="H1425" t="s">
        <v>52</v>
      </c>
    </row>
    <row r="1426" spans="1:8" x14ac:dyDescent="0.25">
      <c r="A1426" t="s">
        <v>30</v>
      </c>
      <c r="B1426" t="s">
        <v>31</v>
      </c>
      <c r="C1426">
        <v>3</v>
      </c>
      <c r="D1426" s="9">
        <v>1800</v>
      </c>
      <c r="E1426" s="9">
        <f>+Tablo3[[#This Row],[Birim Fiyat]]*Tablo3[[#This Row],[Satış Adet]]</f>
        <v>5400</v>
      </c>
      <c r="F1426" s="9">
        <v>3000</v>
      </c>
      <c r="G1426" t="s">
        <v>10</v>
      </c>
      <c r="H1426" t="s">
        <v>52</v>
      </c>
    </row>
    <row r="1427" spans="1:8" x14ac:dyDescent="0.25">
      <c r="A1427" t="s">
        <v>30</v>
      </c>
      <c r="B1427" t="s">
        <v>32</v>
      </c>
      <c r="C1427">
        <v>4</v>
      </c>
      <c r="D1427" s="9">
        <v>1090</v>
      </c>
      <c r="E1427" s="9">
        <f>+Tablo3[[#This Row],[Birim Fiyat]]*Tablo3[[#This Row],[Satış Adet]]</f>
        <v>4360</v>
      </c>
      <c r="F1427" s="9">
        <v>1160</v>
      </c>
      <c r="G1427" t="s">
        <v>10</v>
      </c>
      <c r="H1427" t="s">
        <v>29</v>
      </c>
    </row>
    <row r="1428" spans="1:8" x14ac:dyDescent="0.25">
      <c r="A1428" t="s">
        <v>67</v>
      </c>
      <c r="B1428" t="s">
        <v>21</v>
      </c>
      <c r="C1428">
        <v>4</v>
      </c>
      <c r="D1428" s="9">
        <v>2180</v>
      </c>
      <c r="E1428" s="9">
        <f>+Tablo3[[#This Row],[Birim Fiyat]]*Tablo3[[#This Row],[Satış Adet]]</f>
        <v>8720</v>
      </c>
      <c r="F1428" s="9">
        <v>2720</v>
      </c>
      <c r="G1428" t="s">
        <v>10</v>
      </c>
      <c r="H1428" t="s">
        <v>35</v>
      </c>
    </row>
    <row r="1429" spans="1:8" x14ac:dyDescent="0.25">
      <c r="A1429" t="s">
        <v>33</v>
      </c>
      <c r="B1429" t="s">
        <v>31</v>
      </c>
      <c r="C1429">
        <v>3</v>
      </c>
      <c r="D1429" s="9">
        <v>1800</v>
      </c>
      <c r="E1429" s="9">
        <f>+Tablo3[[#This Row],[Birim Fiyat]]*Tablo3[[#This Row],[Satış Adet]]</f>
        <v>5400</v>
      </c>
      <c r="F1429" s="9">
        <v>3000</v>
      </c>
      <c r="G1429" t="s">
        <v>10</v>
      </c>
      <c r="H1429" t="s">
        <v>17</v>
      </c>
    </row>
    <row r="1430" spans="1:8" x14ac:dyDescent="0.25">
      <c r="A1430" t="s">
        <v>22</v>
      </c>
      <c r="B1430" t="s">
        <v>34</v>
      </c>
      <c r="C1430">
        <v>5</v>
      </c>
      <c r="D1430" s="9">
        <v>8000</v>
      </c>
      <c r="E1430" s="9">
        <f>+Tablo3[[#This Row],[Birim Fiyat]]*Tablo3[[#This Row],[Satış Adet]]</f>
        <v>40000</v>
      </c>
      <c r="F1430" s="9">
        <v>10000</v>
      </c>
      <c r="G1430" t="s">
        <v>10</v>
      </c>
      <c r="H1430" t="s">
        <v>24</v>
      </c>
    </row>
    <row r="1431" spans="1:8" x14ac:dyDescent="0.25">
      <c r="A1431" t="s">
        <v>67</v>
      </c>
      <c r="B1431" t="s">
        <v>13</v>
      </c>
      <c r="C1431">
        <v>5</v>
      </c>
      <c r="D1431" s="9">
        <v>1400</v>
      </c>
      <c r="E1431" s="9">
        <f>+Tablo3[[#This Row],[Birim Fiyat]]*Tablo3[[#This Row],[Satış Adet]]</f>
        <v>7000</v>
      </c>
      <c r="F1431" s="9">
        <v>3000</v>
      </c>
      <c r="G1431" t="s">
        <v>10</v>
      </c>
      <c r="H1431" t="s">
        <v>14</v>
      </c>
    </row>
    <row r="1432" spans="1:8" x14ac:dyDescent="0.25">
      <c r="A1432" t="s">
        <v>36</v>
      </c>
      <c r="B1432" t="s">
        <v>37</v>
      </c>
      <c r="C1432">
        <v>5</v>
      </c>
      <c r="D1432" s="9">
        <v>10590</v>
      </c>
      <c r="E1432" s="9">
        <f>+Tablo3[[#This Row],[Birim Fiyat]]*Tablo3[[#This Row],[Satış Adet]]</f>
        <v>52950</v>
      </c>
      <c r="F1432" s="9">
        <v>22950</v>
      </c>
      <c r="G1432" t="s">
        <v>10</v>
      </c>
      <c r="H1432" t="s">
        <v>52</v>
      </c>
    </row>
    <row r="1433" spans="1:8" x14ac:dyDescent="0.25">
      <c r="A1433" t="s">
        <v>38</v>
      </c>
      <c r="B1433" t="s">
        <v>19</v>
      </c>
      <c r="C1433">
        <v>2</v>
      </c>
      <c r="D1433" s="9">
        <v>1350</v>
      </c>
      <c r="E1433" s="9">
        <f>+Tablo3[[#This Row],[Birim Fiyat]]*Tablo3[[#This Row],[Satış Adet]]</f>
        <v>2700</v>
      </c>
      <c r="F1433" s="9">
        <v>1100</v>
      </c>
      <c r="G1433" t="s">
        <v>10</v>
      </c>
      <c r="H1433" t="s">
        <v>42</v>
      </c>
    </row>
    <row r="1434" spans="1:8" x14ac:dyDescent="0.25">
      <c r="A1434" t="s">
        <v>30</v>
      </c>
      <c r="B1434" t="s">
        <v>13</v>
      </c>
      <c r="C1434">
        <v>3</v>
      </c>
      <c r="D1434" s="9">
        <v>1400</v>
      </c>
      <c r="E1434" s="9">
        <f>+Tablo3[[#This Row],[Birim Fiyat]]*Tablo3[[#This Row],[Satış Adet]]</f>
        <v>4200</v>
      </c>
      <c r="F1434" s="9">
        <v>1800</v>
      </c>
      <c r="G1434" t="s">
        <v>10</v>
      </c>
      <c r="H1434" t="s">
        <v>17</v>
      </c>
    </row>
    <row r="1435" spans="1:8" x14ac:dyDescent="0.25">
      <c r="A1435" t="s">
        <v>18</v>
      </c>
      <c r="B1435" t="s">
        <v>9</v>
      </c>
      <c r="C1435">
        <v>4</v>
      </c>
      <c r="D1435" s="9">
        <v>6000</v>
      </c>
      <c r="E1435" s="9">
        <f>+Tablo3[[#This Row],[Birim Fiyat]]*Tablo3[[#This Row],[Satış Adet]]</f>
        <v>24000</v>
      </c>
      <c r="F1435" s="9">
        <v>8000</v>
      </c>
      <c r="G1435" t="s">
        <v>10</v>
      </c>
      <c r="H1435" t="s">
        <v>52</v>
      </c>
    </row>
    <row r="1436" spans="1:8" x14ac:dyDescent="0.25">
      <c r="A1436" t="s">
        <v>36</v>
      </c>
      <c r="B1436" t="s">
        <v>26</v>
      </c>
      <c r="C1436">
        <v>2</v>
      </c>
      <c r="D1436" s="9">
        <v>1100</v>
      </c>
      <c r="E1436" s="9">
        <f>+Tablo3[[#This Row],[Birim Fiyat]]*Tablo3[[#This Row],[Satış Adet]]</f>
        <v>2200</v>
      </c>
      <c r="F1436" s="9">
        <v>600</v>
      </c>
      <c r="G1436" t="s">
        <v>10</v>
      </c>
      <c r="H1436" t="s">
        <v>27</v>
      </c>
    </row>
    <row r="1437" spans="1:8" x14ac:dyDescent="0.25">
      <c r="A1437" t="s">
        <v>15</v>
      </c>
      <c r="B1437" t="s">
        <v>9</v>
      </c>
      <c r="C1437">
        <v>4</v>
      </c>
      <c r="D1437" s="9">
        <v>6000</v>
      </c>
      <c r="E1437" s="9">
        <f>+Tablo3[[#This Row],[Birim Fiyat]]*Tablo3[[#This Row],[Satış Adet]]</f>
        <v>24000</v>
      </c>
      <c r="F1437" s="9">
        <v>8000</v>
      </c>
      <c r="G1437" t="s">
        <v>10</v>
      </c>
      <c r="H1437" t="s">
        <v>27</v>
      </c>
    </row>
    <row r="1438" spans="1:8" x14ac:dyDescent="0.25">
      <c r="A1438" t="s">
        <v>38</v>
      </c>
      <c r="B1438" t="s">
        <v>41</v>
      </c>
      <c r="C1438">
        <v>2</v>
      </c>
      <c r="D1438" s="9">
        <v>1490</v>
      </c>
      <c r="E1438" s="9">
        <f>+Tablo3[[#This Row],[Birim Fiyat]]*Tablo3[[#This Row],[Satış Adet]]</f>
        <v>2980</v>
      </c>
      <c r="F1438" s="9">
        <v>1380</v>
      </c>
      <c r="G1438" t="s">
        <v>10</v>
      </c>
      <c r="H1438" t="s">
        <v>14</v>
      </c>
    </row>
    <row r="1439" spans="1:8" x14ac:dyDescent="0.25">
      <c r="A1439" t="s">
        <v>36</v>
      </c>
      <c r="B1439" t="s">
        <v>37</v>
      </c>
      <c r="C1439">
        <v>2</v>
      </c>
      <c r="D1439" s="9">
        <v>10590</v>
      </c>
      <c r="E1439" s="9">
        <f>+Tablo3[[#This Row],[Birim Fiyat]]*Tablo3[[#This Row],[Satış Adet]]</f>
        <v>21180</v>
      </c>
      <c r="F1439" s="9">
        <v>9180</v>
      </c>
      <c r="G1439" t="s">
        <v>10</v>
      </c>
      <c r="H1439" t="s">
        <v>29</v>
      </c>
    </row>
    <row r="1440" spans="1:8" x14ac:dyDescent="0.25">
      <c r="A1440" t="s">
        <v>15</v>
      </c>
      <c r="B1440" t="s">
        <v>34</v>
      </c>
      <c r="C1440">
        <v>3</v>
      </c>
      <c r="D1440" s="9">
        <v>8000</v>
      </c>
      <c r="E1440" s="9">
        <f>+Tablo3[[#This Row],[Birim Fiyat]]*Tablo3[[#This Row],[Satış Adet]]</f>
        <v>24000</v>
      </c>
      <c r="F1440" s="9">
        <v>6000</v>
      </c>
      <c r="G1440" t="s">
        <v>10</v>
      </c>
      <c r="H1440" t="s">
        <v>29</v>
      </c>
    </row>
    <row r="1441" spans="1:8" x14ac:dyDescent="0.25">
      <c r="A1441" t="s">
        <v>30</v>
      </c>
      <c r="B1441" t="s">
        <v>26</v>
      </c>
      <c r="C1441">
        <v>5</v>
      </c>
      <c r="D1441" s="9">
        <v>1100</v>
      </c>
      <c r="E1441" s="9">
        <f>+Tablo3[[#This Row],[Birim Fiyat]]*Tablo3[[#This Row],[Satış Adet]]</f>
        <v>5500</v>
      </c>
      <c r="F1441" s="9">
        <v>1500</v>
      </c>
      <c r="G1441" t="s">
        <v>10</v>
      </c>
      <c r="H1441" t="s">
        <v>27</v>
      </c>
    </row>
    <row r="1442" spans="1:8" x14ac:dyDescent="0.25">
      <c r="A1442" t="s">
        <v>38</v>
      </c>
      <c r="B1442" t="s">
        <v>28</v>
      </c>
      <c r="C1442">
        <v>5</v>
      </c>
      <c r="D1442" s="9">
        <v>1200</v>
      </c>
      <c r="E1442" s="9">
        <f>+Tablo3[[#This Row],[Birim Fiyat]]*Tablo3[[#This Row],[Satış Adet]]</f>
        <v>6000</v>
      </c>
      <c r="F1442" s="9">
        <v>2000</v>
      </c>
      <c r="G1442" t="s">
        <v>10</v>
      </c>
      <c r="H1442" t="s">
        <v>44</v>
      </c>
    </row>
    <row r="1443" spans="1:8" x14ac:dyDescent="0.25">
      <c r="A1443" t="s">
        <v>22</v>
      </c>
      <c r="B1443" t="s">
        <v>43</v>
      </c>
      <c r="C1443">
        <v>5</v>
      </c>
      <c r="D1443" s="9">
        <v>4200</v>
      </c>
      <c r="E1443" s="9">
        <f>+Tablo3[[#This Row],[Birim Fiyat]]*Tablo3[[#This Row],[Satış Adet]]</f>
        <v>21000</v>
      </c>
      <c r="F1443" s="9">
        <v>6000</v>
      </c>
      <c r="G1443" t="s">
        <v>10</v>
      </c>
      <c r="H1443" t="s">
        <v>42</v>
      </c>
    </row>
    <row r="1444" spans="1:8" x14ac:dyDescent="0.25">
      <c r="A1444" t="s">
        <v>12</v>
      </c>
      <c r="B1444" t="s">
        <v>45</v>
      </c>
      <c r="C1444">
        <v>3</v>
      </c>
      <c r="D1444" s="9">
        <v>5775</v>
      </c>
      <c r="E1444" s="9">
        <f>+Tablo3[[#This Row],[Birim Fiyat]]*Tablo3[[#This Row],[Satış Adet]]</f>
        <v>17325</v>
      </c>
      <c r="F1444" s="9">
        <v>5325</v>
      </c>
      <c r="G1444" t="s">
        <v>10</v>
      </c>
      <c r="H1444" t="s">
        <v>24</v>
      </c>
    </row>
    <row r="1445" spans="1:8" x14ac:dyDescent="0.25">
      <c r="A1445" t="s">
        <v>46</v>
      </c>
      <c r="B1445" t="s">
        <v>23</v>
      </c>
      <c r="C1445">
        <v>3</v>
      </c>
      <c r="D1445" s="9">
        <v>7600</v>
      </c>
      <c r="E1445" s="9">
        <f>+Tablo3[[#This Row],[Birim Fiyat]]*Tablo3[[#This Row],[Satış Adet]]</f>
        <v>22800</v>
      </c>
      <c r="F1445" s="9">
        <v>4800</v>
      </c>
      <c r="G1445" t="s">
        <v>10</v>
      </c>
      <c r="H1445" t="s">
        <v>14</v>
      </c>
    </row>
    <row r="1446" spans="1:8" x14ac:dyDescent="0.25">
      <c r="A1446" t="s">
        <v>12</v>
      </c>
      <c r="B1446" t="s">
        <v>25</v>
      </c>
      <c r="C1446">
        <v>2</v>
      </c>
      <c r="D1446" s="9">
        <v>7250</v>
      </c>
      <c r="E1446" s="9">
        <f>+Tablo3[[#This Row],[Birim Fiyat]]*Tablo3[[#This Row],[Satış Adet]]</f>
        <v>14500</v>
      </c>
      <c r="F1446" s="9">
        <v>4500</v>
      </c>
      <c r="G1446" t="s">
        <v>10</v>
      </c>
      <c r="H1446" t="s">
        <v>27</v>
      </c>
    </row>
    <row r="1447" spans="1:8" x14ac:dyDescent="0.25">
      <c r="A1447" t="s">
        <v>8</v>
      </c>
      <c r="B1447" t="s">
        <v>25</v>
      </c>
      <c r="C1447">
        <v>5</v>
      </c>
      <c r="D1447" s="9">
        <v>7250</v>
      </c>
      <c r="E1447" s="9">
        <f>+Tablo3[[#This Row],[Birim Fiyat]]*Tablo3[[#This Row],[Satış Adet]]</f>
        <v>36250</v>
      </c>
      <c r="F1447" s="9">
        <v>11250</v>
      </c>
      <c r="G1447" t="s">
        <v>10</v>
      </c>
      <c r="H1447" t="s">
        <v>17</v>
      </c>
    </row>
    <row r="1448" spans="1:8" x14ac:dyDescent="0.25">
      <c r="A1448" t="s">
        <v>36</v>
      </c>
      <c r="B1448" t="s">
        <v>25</v>
      </c>
      <c r="C1448">
        <v>5</v>
      </c>
      <c r="D1448" s="9">
        <v>7250</v>
      </c>
      <c r="E1448" s="9">
        <f>+Tablo3[[#This Row],[Birim Fiyat]]*Tablo3[[#This Row],[Satış Adet]]</f>
        <v>36250</v>
      </c>
      <c r="F1448" s="9">
        <v>11250</v>
      </c>
      <c r="G1448" t="s">
        <v>10</v>
      </c>
      <c r="H1448" t="s">
        <v>35</v>
      </c>
    </row>
    <row r="1449" spans="1:8" x14ac:dyDescent="0.25">
      <c r="A1449" t="s">
        <v>67</v>
      </c>
      <c r="B1449" t="s">
        <v>19</v>
      </c>
      <c r="C1449">
        <v>3</v>
      </c>
      <c r="D1449" s="9">
        <v>1350</v>
      </c>
      <c r="E1449" s="9">
        <f>+Tablo3[[#This Row],[Birim Fiyat]]*Tablo3[[#This Row],[Satış Adet]]</f>
        <v>4050</v>
      </c>
      <c r="F1449" s="9">
        <v>1650</v>
      </c>
      <c r="G1449" t="s">
        <v>47</v>
      </c>
      <c r="H1449" t="s">
        <v>27</v>
      </c>
    </row>
    <row r="1450" spans="1:8" x14ac:dyDescent="0.25">
      <c r="A1450" t="s">
        <v>12</v>
      </c>
      <c r="B1450" t="s">
        <v>25</v>
      </c>
      <c r="C1450">
        <v>5</v>
      </c>
      <c r="D1450" s="9">
        <v>7250</v>
      </c>
      <c r="E1450" s="9">
        <f>+Tablo3[[#This Row],[Birim Fiyat]]*Tablo3[[#This Row],[Satış Adet]]</f>
        <v>36250</v>
      </c>
      <c r="F1450" s="9">
        <v>11250</v>
      </c>
      <c r="G1450" t="s">
        <v>47</v>
      </c>
      <c r="H1450" t="s">
        <v>29</v>
      </c>
    </row>
    <row r="1451" spans="1:8" x14ac:dyDescent="0.25">
      <c r="A1451" t="s">
        <v>30</v>
      </c>
      <c r="B1451" t="s">
        <v>23</v>
      </c>
      <c r="C1451">
        <v>3</v>
      </c>
      <c r="D1451" s="9">
        <v>7600</v>
      </c>
      <c r="E1451" s="9">
        <f>+Tablo3[[#This Row],[Birim Fiyat]]*Tablo3[[#This Row],[Satış Adet]]</f>
        <v>22800</v>
      </c>
      <c r="F1451" s="9">
        <v>4800</v>
      </c>
      <c r="G1451" t="s">
        <v>47</v>
      </c>
      <c r="H1451" t="s">
        <v>40</v>
      </c>
    </row>
    <row r="1452" spans="1:8" x14ac:dyDescent="0.25">
      <c r="A1452" t="s">
        <v>48</v>
      </c>
      <c r="B1452" t="s">
        <v>23</v>
      </c>
      <c r="C1452">
        <v>4</v>
      </c>
      <c r="D1452" s="9">
        <v>7600</v>
      </c>
      <c r="E1452" s="9">
        <f>+Tablo3[[#This Row],[Birim Fiyat]]*Tablo3[[#This Row],[Satış Adet]]</f>
        <v>30400</v>
      </c>
      <c r="F1452" s="9">
        <v>6400</v>
      </c>
      <c r="G1452" t="s">
        <v>47</v>
      </c>
      <c r="H1452" t="s">
        <v>29</v>
      </c>
    </row>
    <row r="1453" spans="1:8" x14ac:dyDescent="0.25">
      <c r="A1453" t="s">
        <v>12</v>
      </c>
      <c r="B1453" t="s">
        <v>41</v>
      </c>
      <c r="C1453">
        <v>3</v>
      </c>
      <c r="D1453" s="9">
        <v>1490</v>
      </c>
      <c r="E1453" s="9">
        <f>+Tablo3[[#This Row],[Birim Fiyat]]*Tablo3[[#This Row],[Satış Adet]]</f>
        <v>4470</v>
      </c>
      <c r="F1453" s="9">
        <v>2070</v>
      </c>
      <c r="G1453" t="s">
        <v>47</v>
      </c>
      <c r="H1453" t="s">
        <v>11</v>
      </c>
    </row>
    <row r="1454" spans="1:8" x14ac:dyDescent="0.25">
      <c r="A1454" t="s">
        <v>67</v>
      </c>
      <c r="B1454" t="s">
        <v>49</v>
      </c>
      <c r="C1454">
        <v>4</v>
      </c>
      <c r="D1454" s="9">
        <v>2900</v>
      </c>
      <c r="E1454" s="9">
        <f>+Tablo3[[#This Row],[Birim Fiyat]]*Tablo3[[#This Row],[Satış Adet]]</f>
        <v>11600</v>
      </c>
      <c r="F1454" s="9">
        <v>3600</v>
      </c>
      <c r="G1454" t="s">
        <v>47</v>
      </c>
      <c r="H1454" t="s">
        <v>42</v>
      </c>
    </row>
    <row r="1455" spans="1:8" x14ac:dyDescent="0.25">
      <c r="A1455" t="s">
        <v>38</v>
      </c>
      <c r="B1455" t="s">
        <v>41</v>
      </c>
      <c r="C1455">
        <v>4</v>
      </c>
      <c r="D1455" s="9">
        <v>1490</v>
      </c>
      <c r="E1455" s="9">
        <f>+Tablo3[[#This Row],[Birim Fiyat]]*Tablo3[[#This Row],[Satış Adet]]</f>
        <v>5960</v>
      </c>
      <c r="F1455" s="9">
        <v>2760</v>
      </c>
      <c r="G1455" t="s">
        <v>47</v>
      </c>
      <c r="H1455" t="s">
        <v>42</v>
      </c>
    </row>
    <row r="1456" spans="1:8" x14ac:dyDescent="0.25">
      <c r="A1456" t="s">
        <v>38</v>
      </c>
      <c r="B1456" t="s">
        <v>32</v>
      </c>
      <c r="C1456">
        <v>5</v>
      </c>
      <c r="D1456" s="9">
        <v>1090</v>
      </c>
      <c r="E1456" s="9">
        <f>+Tablo3[[#This Row],[Birim Fiyat]]*Tablo3[[#This Row],[Satış Adet]]</f>
        <v>5450</v>
      </c>
      <c r="F1456" s="9">
        <v>1450</v>
      </c>
      <c r="G1456" t="s">
        <v>47</v>
      </c>
      <c r="H1456" t="s">
        <v>11</v>
      </c>
    </row>
    <row r="1457" spans="1:8" x14ac:dyDescent="0.25">
      <c r="A1457" t="s">
        <v>67</v>
      </c>
      <c r="B1457" t="s">
        <v>28</v>
      </c>
      <c r="C1457">
        <v>2</v>
      </c>
      <c r="D1457" s="9">
        <v>1200</v>
      </c>
      <c r="E1457" s="9">
        <f>+Tablo3[[#This Row],[Birim Fiyat]]*Tablo3[[#This Row],[Satış Adet]]</f>
        <v>2400</v>
      </c>
      <c r="F1457" s="9">
        <v>800</v>
      </c>
      <c r="G1457" t="s">
        <v>47</v>
      </c>
      <c r="H1457" t="s">
        <v>27</v>
      </c>
    </row>
    <row r="1458" spans="1:8" x14ac:dyDescent="0.25">
      <c r="A1458" t="s">
        <v>36</v>
      </c>
      <c r="B1458" t="s">
        <v>37</v>
      </c>
      <c r="C1458">
        <v>5</v>
      </c>
      <c r="D1458" s="9">
        <v>10590</v>
      </c>
      <c r="E1458" s="9">
        <f>+Tablo3[[#This Row],[Birim Fiyat]]*Tablo3[[#This Row],[Satış Adet]]</f>
        <v>52950</v>
      </c>
      <c r="F1458" s="9">
        <v>22950</v>
      </c>
      <c r="G1458" t="s">
        <v>47</v>
      </c>
      <c r="H1458" t="s">
        <v>17</v>
      </c>
    </row>
    <row r="1459" spans="1:8" x14ac:dyDescent="0.25">
      <c r="A1459" t="s">
        <v>30</v>
      </c>
      <c r="B1459" t="s">
        <v>43</v>
      </c>
      <c r="C1459">
        <v>4</v>
      </c>
      <c r="D1459" s="9">
        <v>4200</v>
      </c>
      <c r="E1459" s="9">
        <f>+Tablo3[[#This Row],[Birim Fiyat]]*Tablo3[[#This Row],[Satış Adet]]</f>
        <v>16800</v>
      </c>
      <c r="F1459" s="9">
        <v>4800</v>
      </c>
      <c r="G1459" t="s">
        <v>47</v>
      </c>
      <c r="H1459" t="s">
        <v>29</v>
      </c>
    </row>
    <row r="1460" spans="1:8" x14ac:dyDescent="0.25">
      <c r="A1460" t="s">
        <v>18</v>
      </c>
      <c r="B1460" t="s">
        <v>43</v>
      </c>
      <c r="C1460">
        <v>4</v>
      </c>
      <c r="D1460" s="9">
        <v>4200</v>
      </c>
      <c r="E1460" s="9">
        <f>+Tablo3[[#This Row],[Birim Fiyat]]*Tablo3[[#This Row],[Satış Adet]]</f>
        <v>16800</v>
      </c>
      <c r="F1460" s="9">
        <v>4800</v>
      </c>
      <c r="G1460" t="s">
        <v>47</v>
      </c>
      <c r="H1460" t="s">
        <v>27</v>
      </c>
    </row>
    <row r="1461" spans="1:8" x14ac:dyDescent="0.25">
      <c r="A1461" t="s">
        <v>33</v>
      </c>
      <c r="B1461" t="s">
        <v>37</v>
      </c>
      <c r="C1461">
        <v>2</v>
      </c>
      <c r="D1461" s="9">
        <v>10590</v>
      </c>
      <c r="E1461" s="9">
        <f>+Tablo3[[#This Row],[Birim Fiyat]]*Tablo3[[#This Row],[Satış Adet]]</f>
        <v>21180</v>
      </c>
      <c r="F1461" s="9">
        <v>9180</v>
      </c>
      <c r="G1461" t="s">
        <v>47</v>
      </c>
      <c r="H1461" t="s">
        <v>20</v>
      </c>
    </row>
    <row r="1462" spans="1:8" x14ac:dyDescent="0.25">
      <c r="A1462" t="s">
        <v>48</v>
      </c>
      <c r="B1462" t="s">
        <v>50</v>
      </c>
      <c r="C1462">
        <v>4</v>
      </c>
      <c r="D1462" s="9">
        <v>1250</v>
      </c>
      <c r="E1462" s="9">
        <f>+Tablo3[[#This Row],[Birim Fiyat]]*Tablo3[[#This Row],[Satış Adet]]</f>
        <v>5000</v>
      </c>
      <c r="F1462" s="9">
        <v>1800</v>
      </c>
      <c r="G1462" t="s">
        <v>47</v>
      </c>
      <c r="H1462" t="s">
        <v>35</v>
      </c>
    </row>
    <row r="1463" spans="1:8" x14ac:dyDescent="0.25">
      <c r="A1463" t="s">
        <v>8</v>
      </c>
      <c r="B1463" t="s">
        <v>41</v>
      </c>
      <c r="C1463">
        <v>4</v>
      </c>
      <c r="D1463" s="9">
        <v>1490</v>
      </c>
      <c r="E1463" s="9">
        <f>+Tablo3[[#This Row],[Birim Fiyat]]*Tablo3[[#This Row],[Satış Adet]]</f>
        <v>5960</v>
      </c>
      <c r="F1463" s="9">
        <v>2760</v>
      </c>
      <c r="G1463" t="s">
        <v>47</v>
      </c>
      <c r="H1463" t="s">
        <v>52</v>
      </c>
    </row>
    <row r="1464" spans="1:8" x14ac:dyDescent="0.25">
      <c r="A1464" t="s">
        <v>30</v>
      </c>
      <c r="B1464" t="s">
        <v>28</v>
      </c>
      <c r="C1464">
        <v>5</v>
      </c>
      <c r="D1464" s="9">
        <v>1200</v>
      </c>
      <c r="E1464" s="9">
        <f>+Tablo3[[#This Row],[Birim Fiyat]]*Tablo3[[#This Row],[Satış Adet]]</f>
        <v>6000</v>
      </c>
      <c r="F1464" s="9">
        <v>2000</v>
      </c>
      <c r="G1464" t="s">
        <v>47</v>
      </c>
      <c r="H1464" t="s">
        <v>24</v>
      </c>
    </row>
    <row r="1465" spans="1:8" x14ac:dyDescent="0.25">
      <c r="A1465" t="s">
        <v>15</v>
      </c>
      <c r="B1465" t="s">
        <v>21</v>
      </c>
      <c r="C1465">
        <v>4</v>
      </c>
      <c r="D1465" s="9">
        <v>2180</v>
      </c>
      <c r="E1465" s="9">
        <f>+Tablo3[[#This Row],[Birim Fiyat]]*Tablo3[[#This Row],[Satış Adet]]</f>
        <v>8720</v>
      </c>
      <c r="F1465" s="9">
        <v>2720</v>
      </c>
      <c r="G1465" t="s">
        <v>47</v>
      </c>
      <c r="H1465" t="s">
        <v>17</v>
      </c>
    </row>
    <row r="1466" spans="1:8" x14ac:dyDescent="0.25">
      <c r="A1466" t="s">
        <v>38</v>
      </c>
      <c r="B1466" t="s">
        <v>51</v>
      </c>
      <c r="C1466">
        <v>4</v>
      </c>
      <c r="D1466" s="9">
        <v>1200</v>
      </c>
      <c r="E1466" s="9">
        <f>+Tablo3[[#This Row],[Birim Fiyat]]*Tablo3[[#This Row],[Satış Adet]]</f>
        <v>4800</v>
      </c>
      <c r="F1466" s="9">
        <v>1600</v>
      </c>
      <c r="G1466" t="s">
        <v>47</v>
      </c>
      <c r="H1466" t="s">
        <v>17</v>
      </c>
    </row>
    <row r="1467" spans="1:8" x14ac:dyDescent="0.25">
      <c r="A1467" t="s">
        <v>8</v>
      </c>
      <c r="B1467" t="s">
        <v>31</v>
      </c>
      <c r="C1467">
        <v>2</v>
      </c>
      <c r="D1467" s="9">
        <v>1800</v>
      </c>
      <c r="E1467" s="9">
        <f>+Tablo3[[#This Row],[Birim Fiyat]]*Tablo3[[#This Row],[Satış Adet]]</f>
        <v>3600</v>
      </c>
      <c r="F1467" s="9">
        <v>2000</v>
      </c>
      <c r="G1467" t="s">
        <v>47</v>
      </c>
      <c r="H1467" t="s">
        <v>27</v>
      </c>
    </row>
    <row r="1468" spans="1:8" x14ac:dyDescent="0.25">
      <c r="A1468" t="s">
        <v>15</v>
      </c>
      <c r="B1468" t="s">
        <v>23</v>
      </c>
      <c r="C1468">
        <v>5</v>
      </c>
      <c r="D1468" s="9">
        <v>7600</v>
      </c>
      <c r="E1468" s="9">
        <f>+Tablo3[[#This Row],[Birim Fiyat]]*Tablo3[[#This Row],[Satış Adet]]</f>
        <v>38000</v>
      </c>
      <c r="F1468" s="9">
        <v>8000</v>
      </c>
      <c r="G1468" t="s">
        <v>47</v>
      </c>
      <c r="H1468" t="s">
        <v>20</v>
      </c>
    </row>
    <row r="1469" spans="1:8" x14ac:dyDescent="0.25">
      <c r="A1469" t="s">
        <v>33</v>
      </c>
      <c r="B1469" t="s">
        <v>53</v>
      </c>
      <c r="C1469">
        <v>5</v>
      </c>
      <c r="D1469" s="9">
        <v>7530</v>
      </c>
      <c r="E1469" s="9">
        <f>+Tablo3[[#This Row],[Birim Fiyat]]*Tablo3[[#This Row],[Satış Adet]]</f>
        <v>37650</v>
      </c>
      <c r="F1469" s="9">
        <v>7650</v>
      </c>
      <c r="G1469" t="s">
        <v>47</v>
      </c>
      <c r="H1469" t="s">
        <v>39</v>
      </c>
    </row>
    <row r="1470" spans="1:8" x14ac:dyDescent="0.25">
      <c r="A1470" t="s">
        <v>48</v>
      </c>
      <c r="B1470" t="s">
        <v>41</v>
      </c>
      <c r="C1470">
        <v>5</v>
      </c>
      <c r="D1470" s="9">
        <v>1490</v>
      </c>
      <c r="E1470" s="9">
        <f>+Tablo3[[#This Row],[Birim Fiyat]]*Tablo3[[#This Row],[Satış Adet]]</f>
        <v>7450</v>
      </c>
      <c r="F1470" s="9">
        <v>3450</v>
      </c>
      <c r="G1470" t="s">
        <v>47</v>
      </c>
      <c r="H1470" t="s">
        <v>24</v>
      </c>
    </row>
    <row r="1471" spans="1:8" x14ac:dyDescent="0.25">
      <c r="A1471" t="s">
        <v>8</v>
      </c>
      <c r="B1471" t="s">
        <v>54</v>
      </c>
      <c r="C1471">
        <v>4</v>
      </c>
      <c r="D1471" s="9">
        <v>5300</v>
      </c>
      <c r="E1471" s="9">
        <f>+Tablo3[[#This Row],[Birim Fiyat]]*Tablo3[[#This Row],[Satış Adet]]</f>
        <v>21200</v>
      </c>
      <c r="F1471" s="9">
        <v>5200</v>
      </c>
      <c r="G1471" t="s">
        <v>47</v>
      </c>
      <c r="H1471" t="s">
        <v>24</v>
      </c>
    </row>
    <row r="1472" spans="1:8" x14ac:dyDescent="0.25">
      <c r="A1472" t="s">
        <v>22</v>
      </c>
      <c r="B1472" t="s">
        <v>28</v>
      </c>
      <c r="C1472">
        <v>4</v>
      </c>
      <c r="D1472" s="9">
        <v>1200</v>
      </c>
      <c r="E1472" s="9">
        <f>+Tablo3[[#This Row],[Birim Fiyat]]*Tablo3[[#This Row],[Satış Adet]]</f>
        <v>4800</v>
      </c>
      <c r="F1472" s="9">
        <v>1600</v>
      </c>
      <c r="G1472" t="s">
        <v>47</v>
      </c>
      <c r="H1472" t="s">
        <v>17</v>
      </c>
    </row>
    <row r="1473" spans="1:8" x14ac:dyDescent="0.25">
      <c r="A1473" t="s">
        <v>38</v>
      </c>
      <c r="B1473" t="s">
        <v>32</v>
      </c>
      <c r="C1473">
        <v>3</v>
      </c>
      <c r="D1473" s="9">
        <v>1090</v>
      </c>
      <c r="E1473" s="9">
        <f>+Tablo3[[#This Row],[Birim Fiyat]]*Tablo3[[#This Row],[Satış Adet]]</f>
        <v>3270</v>
      </c>
      <c r="F1473" s="9">
        <v>870</v>
      </c>
      <c r="G1473" t="s">
        <v>47</v>
      </c>
      <c r="H1473" t="s">
        <v>52</v>
      </c>
    </row>
    <row r="1474" spans="1:8" x14ac:dyDescent="0.25">
      <c r="A1474" t="s">
        <v>22</v>
      </c>
      <c r="B1474" t="s">
        <v>25</v>
      </c>
      <c r="C1474">
        <v>4</v>
      </c>
      <c r="D1474" s="9">
        <v>7250</v>
      </c>
      <c r="E1474" s="9">
        <f>+Tablo3[[#This Row],[Birim Fiyat]]*Tablo3[[#This Row],[Satış Adet]]</f>
        <v>29000</v>
      </c>
      <c r="F1474" s="9">
        <v>9000</v>
      </c>
      <c r="G1474" t="s">
        <v>47</v>
      </c>
      <c r="H1474" t="s">
        <v>11</v>
      </c>
    </row>
    <row r="1475" spans="1:8" x14ac:dyDescent="0.25">
      <c r="A1475" t="s">
        <v>46</v>
      </c>
      <c r="B1475" t="s">
        <v>13</v>
      </c>
      <c r="C1475">
        <v>2</v>
      </c>
      <c r="D1475" s="9">
        <v>1400</v>
      </c>
      <c r="E1475" s="9">
        <f>+Tablo3[[#This Row],[Birim Fiyat]]*Tablo3[[#This Row],[Satış Adet]]</f>
        <v>2800</v>
      </c>
      <c r="F1475" s="9">
        <v>1200</v>
      </c>
      <c r="G1475" t="s">
        <v>47</v>
      </c>
      <c r="H1475" t="s">
        <v>27</v>
      </c>
    </row>
    <row r="1476" spans="1:8" x14ac:dyDescent="0.25">
      <c r="A1476" t="s">
        <v>15</v>
      </c>
      <c r="B1476" t="s">
        <v>55</v>
      </c>
      <c r="C1476">
        <v>4</v>
      </c>
      <c r="D1476" s="9">
        <v>1500</v>
      </c>
      <c r="E1476" s="9">
        <f>+Tablo3[[#This Row],[Birim Fiyat]]*Tablo3[[#This Row],[Satış Adet]]</f>
        <v>6000</v>
      </c>
      <c r="F1476" s="9">
        <v>2800</v>
      </c>
      <c r="G1476" t="s">
        <v>47</v>
      </c>
      <c r="H1476" t="s">
        <v>29</v>
      </c>
    </row>
    <row r="1477" spans="1:8" x14ac:dyDescent="0.25">
      <c r="A1477" t="s">
        <v>33</v>
      </c>
      <c r="B1477" t="s">
        <v>19</v>
      </c>
      <c r="C1477">
        <v>3</v>
      </c>
      <c r="D1477" s="9">
        <v>1350</v>
      </c>
      <c r="E1477" s="9">
        <f>+Tablo3[[#This Row],[Birim Fiyat]]*Tablo3[[#This Row],[Satış Adet]]</f>
        <v>4050</v>
      </c>
      <c r="F1477" s="9">
        <v>1650</v>
      </c>
      <c r="G1477" t="s">
        <v>47</v>
      </c>
      <c r="H1477" t="s">
        <v>27</v>
      </c>
    </row>
    <row r="1478" spans="1:8" x14ac:dyDescent="0.25">
      <c r="A1478" t="s">
        <v>33</v>
      </c>
      <c r="B1478" t="s">
        <v>28</v>
      </c>
      <c r="C1478">
        <v>5</v>
      </c>
      <c r="D1478" s="9">
        <v>1200</v>
      </c>
      <c r="E1478" s="9">
        <f>+Tablo3[[#This Row],[Birim Fiyat]]*Tablo3[[#This Row],[Satış Adet]]</f>
        <v>6000</v>
      </c>
      <c r="F1478" s="9">
        <v>2000</v>
      </c>
      <c r="G1478" t="s">
        <v>47</v>
      </c>
      <c r="H1478" t="s">
        <v>11</v>
      </c>
    </row>
    <row r="1479" spans="1:8" x14ac:dyDescent="0.25">
      <c r="A1479" t="s">
        <v>12</v>
      </c>
      <c r="B1479" t="s">
        <v>53</v>
      </c>
      <c r="C1479">
        <v>3</v>
      </c>
      <c r="D1479" s="9">
        <v>7530</v>
      </c>
      <c r="E1479" s="9">
        <f>+Tablo3[[#This Row],[Birim Fiyat]]*Tablo3[[#This Row],[Satış Adet]]</f>
        <v>22590</v>
      </c>
      <c r="F1479" s="9">
        <v>4590</v>
      </c>
      <c r="G1479" t="s">
        <v>47</v>
      </c>
      <c r="H1479" t="s">
        <v>27</v>
      </c>
    </row>
    <row r="1480" spans="1:8" x14ac:dyDescent="0.25">
      <c r="A1480" t="s">
        <v>46</v>
      </c>
      <c r="B1480" t="s">
        <v>28</v>
      </c>
      <c r="C1480">
        <v>3</v>
      </c>
      <c r="D1480" s="9">
        <v>1200</v>
      </c>
      <c r="E1480" s="9">
        <f>+Tablo3[[#This Row],[Birim Fiyat]]*Tablo3[[#This Row],[Satış Adet]]</f>
        <v>3600</v>
      </c>
      <c r="F1480" s="9">
        <v>1200</v>
      </c>
      <c r="G1480" t="s">
        <v>47</v>
      </c>
      <c r="H1480" t="s">
        <v>20</v>
      </c>
    </row>
    <row r="1481" spans="1:8" x14ac:dyDescent="0.25">
      <c r="A1481" t="s">
        <v>36</v>
      </c>
      <c r="B1481" t="s">
        <v>31</v>
      </c>
      <c r="C1481">
        <v>2</v>
      </c>
      <c r="D1481" s="9">
        <v>1800</v>
      </c>
      <c r="E1481" s="9">
        <f>+Tablo3[[#This Row],[Birim Fiyat]]*Tablo3[[#This Row],[Satış Adet]]</f>
        <v>3600</v>
      </c>
      <c r="F1481" s="9">
        <v>2000</v>
      </c>
      <c r="G1481" t="s">
        <v>47</v>
      </c>
      <c r="H1481" t="s">
        <v>29</v>
      </c>
    </row>
    <row r="1482" spans="1:8" x14ac:dyDescent="0.25">
      <c r="A1482" t="s">
        <v>8</v>
      </c>
      <c r="B1482" t="s">
        <v>25</v>
      </c>
      <c r="C1482">
        <v>3</v>
      </c>
      <c r="D1482" s="9">
        <v>7250</v>
      </c>
      <c r="E1482" s="9">
        <f>+Tablo3[[#This Row],[Birim Fiyat]]*Tablo3[[#This Row],[Satış Adet]]</f>
        <v>21750</v>
      </c>
      <c r="F1482" s="9">
        <v>6750</v>
      </c>
      <c r="G1482" t="s">
        <v>47</v>
      </c>
      <c r="H1482" t="s">
        <v>44</v>
      </c>
    </row>
    <row r="1483" spans="1:8" x14ac:dyDescent="0.25">
      <c r="A1483" t="s">
        <v>38</v>
      </c>
      <c r="B1483" t="s">
        <v>41</v>
      </c>
      <c r="C1483">
        <v>4</v>
      </c>
      <c r="D1483" s="9">
        <v>1490</v>
      </c>
      <c r="E1483" s="9">
        <f>+Tablo3[[#This Row],[Birim Fiyat]]*Tablo3[[#This Row],[Satış Adet]]</f>
        <v>5960</v>
      </c>
      <c r="F1483" s="9">
        <v>2760</v>
      </c>
      <c r="G1483" t="s">
        <v>47</v>
      </c>
      <c r="H1483" t="s">
        <v>17</v>
      </c>
    </row>
    <row r="1484" spans="1:8" x14ac:dyDescent="0.25">
      <c r="A1484" t="s">
        <v>38</v>
      </c>
      <c r="B1484" t="s">
        <v>51</v>
      </c>
      <c r="C1484">
        <v>2</v>
      </c>
      <c r="D1484" s="9">
        <v>1200</v>
      </c>
      <c r="E1484" s="9">
        <f>+Tablo3[[#This Row],[Birim Fiyat]]*Tablo3[[#This Row],[Satış Adet]]</f>
        <v>2400</v>
      </c>
      <c r="F1484" s="9">
        <v>800</v>
      </c>
      <c r="G1484" t="s">
        <v>47</v>
      </c>
      <c r="H1484" t="s">
        <v>17</v>
      </c>
    </row>
    <row r="1485" spans="1:8" x14ac:dyDescent="0.25">
      <c r="A1485" t="s">
        <v>12</v>
      </c>
      <c r="B1485" t="s">
        <v>34</v>
      </c>
      <c r="C1485">
        <v>2</v>
      </c>
      <c r="D1485" s="9">
        <v>8000</v>
      </c>
      <c r="E1485" s="9">
        <f>+Tablo3[[#This Row],[Birim Fiyat]]*Tablo3[[#This Row],[Satış Adet]]</f>
        <v>16000</v>
      </c>
      <c r="F1485" s="9">
        <v>4000</v>
      </c>
      <c r="G1485" t="s">
        <v>47</v>
      </c>
      <c r="H1485" t="s">
        <v>39</v>
      </c>
    </row>
    <row r="1486" spans="1:8" x14ac:dyDescent="0.25">
      <c r="A1486" t="s">
        <v>30</v>
      </c>
      <c r="B1486" t="s">
        <v>13</v>
      </c>
      <c r="C1486">
        <v>5</v>
      </c>
      <c r="D1486" s="9">
        <v>1400</v>
      </c>
      <c r="E1486" s="9">
        <f>+Tablo3[[#This Row],[Birim Fiyat]]*Tablo3[[#This Row],[Satış Adet]]</f>
        <v>7000</v>
      </c>
      <c r="F1486" s="9">
        <v>3000</v>
      </c>
      <c r="G1486" t="s">
        <v>47</v>
      </c>
      <c r="H1486" t="s">
        <v>39</v>
      </c>
    </row>
    <row r="1487" spans="1:8" x14ac:dyDescent="0.25">
      <c r="A1487" t="s">
        <v>67</v>
      </c>
      <c r="B1487" t="s">
        <v>19</v>
      </c>
      <c r="C1487">
        <v>3</v>
      </c>
      <c r="D1487" s="9">
        <v>1350</v>
      </c>
      <c r="E1487" s="9">
        <f>+Tablo3[[#This Row],[Birim Fiyat]]*Tablo3[[#This Row],[Satış Adet]]</f>
        <v>4050</v>
      </c>
      <c r="F1487" s="9">
        <v>1650</v>
      </c>
      <c r="G1487" t="s">
        <v>47</v>
      </c>
      <c r="H1487" t="s">
        <v>27</v>
      </c>
    </row>
    <row r="1488" spans="1:8" x14ac:dyDescent="0.25">
      <c r="A1488" t="s">
        <v>36</v>
      </c>
      <c r="B1488" t="s">
        <v>51</v>
      </c>
      <c r="C1488">
        <v>3</v>
      </c>
      <c r="D1488" s="9">
        <v>1200</v>
      </c>
      <c r="E1488" s="9">
        <f>+Tablo3[[#This Row],[Birim Fiyat]]*Tablo3[[#This Row],[Satış Adet]]</f>
        <v>3600</v>
      </c>
      <c r="F1488" s="9">
        <v>1200</v>
      </c>
      <c r="G1488" t="s">
        <v>47</v>
      </c>
      <c r="H1488" t="s">
        <v>52</v>
      </c>
    </row>
    <row r="1489" spans="1:8" x14ac:dyDescent="0.25">
      <c r="A1489" t="s">
        <v>30</v>
      </c>
      <c r="B1489" t="s">
        <v>54</v>
      </c>
      <c r="C1489">
        <v>5</v>
      </c>
      <c r="D1489" s="9">
        <v>5300</v>
      </c>
      <c r="E1489" s="9">
        <f>+Tablo3[[#This Row],[Birim Fiyat]]*Tablo3[[#This Row],[Satış Adet]]</f>
        <v>26500</v>
      </c>
      <c r="F1489" s="9">
        <v>6500</v>
      </c>
      <c r="G1489" t="s">
        <v>47</v>
      </c>
      <c r="H1489" t="s">
        <v>52</v>
      </c>
    </row>
    <row r="1490" spans="1:8" x14ac:dyDescent="0.25">
      <c r="A1490" t="s">
        <v>38</v>
      </c>
      <c r="B1490" t="s">
        <v>37</v>
      </c>
      <c r="C1490">
        <v>4</v>
      </c>
      <c r="D1490" s="9">
        <v>10590</v>
      </c>
      <c r="E1490" s="9">
        <f>+Tablo3[[#This Row],[Birim Fiyat]]*Tablo3[[#This Row],[Satış Adet]]</f>
        <v>42360</v>
      </c>
      <c r="F1490" s="9">
        <v>18360</v>
      </c>
      <c r="G1490" t="s">
        <v>47</v>
      </c>
      <c r="H1490" t="s">
        <v>40</v>
      </c>
    </row>
    <row r="1491" spans="1:8" x14ac:dyDescent="0.25">
      <c r="A1491" t="s">
        <v>22</v>
      </c>
      <c r="B1491" t="s">
        <v>50</v>
      </c>
      <c r="C1491">
        <v>4</v>
      </c>
      <c r="D1491" s="9">
        <v>1250</v>
      </c>
      <c r="E1491" s="9">
        <f>+Tablo3[[#This Row],[Birim Fiyat]]*Tablo3[[#This Row],[Satış Adet]]</f>
        <v>5000</v>
      </c>
      <c r="F1491" s="9">
        <v>1800</v>
      </c>
      <c r="G1491" t="s">
        <v>47</v>
      </c>
      <c r="H1491" t="s">
        <v>35</v>
      </c>
    </row>
    <row r="1492" spans="1:8" x14ac:dyDescent="0.25">
      <c r="A1492" t="s">
        <v>48</v>
      </c>
      <c r="B1492" t="s">
        <v>51</v>
      </c>
      <c r="C1492">
        <v>3</v>
      </c>
      <c r="D1492" s="9">
        <v>1200</v>
      </c>
      <c r="E1492" s="9">
        <f>+Tablo3[[#This Row],[Birim Fiyat]]*Tablo3[[#This Row],[Satış Adet]]</f>
        <v>3600</v>
      </c>
      <c r="F1492" s="9">
        <v>1200</v>
      </c>
      <c r="G1492" t="s">
        <v>47</v>
      </c>
      <c r="H1492" t="s">
        <v>42</v>
      </c>
    </row>
    <row r="1493" spans="1:8" x14ac:dyDescent="0.25">
      <c r="A1493" t="s">
        <v>22</v>
      </c>
      <c r="B1493" t="s">
        <v>13</v>
      </c>
      <c r="C1493">
        <v>2</v>
      </c>
      <c r="D1493" s="9">
        <v>1400</v>
      </c>
      <c r="E1493" s="9">
        <f>+Tablo3[[#This Row],[Birim Fiyat]]*Tablo3[[#This Row],[Satış Adet]]</f>
        <v>2800</v>
      </c>
      <c r="F1493" s="9">
        <v>1200</v>
      </c>
      <c r="G1493" t="s">
        <v>47</v>
      </c>
      <c r="H1493" t="s">
        <v>17</v>
      </c>
    </row>
    <row r="1494" spans="1:8" x14ac:dyDescent="0.25">
      <c r="A1494" t="s">
        <v>48</v>
      </c>
      <c r="B1494" t="s">
        <v>53</v>
      </c>
      <c r="C1494">
        <v>4</v>
      </c>
      <c r="D1494" s="9">
        <v>7530</v>
      </c>
      <c r="E1494" s="9">
        <f>+Tablo3[[#This Row],[Birim Fiyat]]*Tablo3[[#This Row],[Satış Adet]]</f>
        <v>30120</v>
      </c>
      <c r="F1494" s="9">
        <v>6120</v>
      </c>
      <c r="G1494" t="s">
        <v>47</v>
      </c>
      <c r="H1494" t="s">
        <v>27</v>
      </c>
    </row>
    <row r="1495" spans="1:8" x14ac:dyDescent="0.25">
      <c r="A1495" t="s">
        <v>30</v>
      </c>
      <c r="B1495" t="s">
        <v>23</v>
      </c>
      <c r="C1495">
        <v>5</v>
      </c>
      <c r="D1495" s="9">
        <v>7600</v>
      </c>
      <c r="E1495" s="9">
        <f>+Tablo3[[#This Row],[Birim Fiyat]]*Tablo3[[#This Row],[Satış Adet]]</f>
        <v>38000</v>
      </c>
      <c r="F1495" s="9">
        <v>8000</v>
      </c>
      <c r="G1495" t="s">
        <v>47</v>
      </c>
      <c r="H1495" t="s">
        <v>29</v>
      </c>
    </row>
    <row r="1496" spans="1:8" x14ac:dyDescent="0.25">
      <c r="A1496" t="s">
        <v>48</v>
      </c>
      <c r="B1496" t="s">
        <v>55</v>
      </c>
      <c r="C1496">
        <v>3</v>
      </c>
      <c r="D1496" s="9">
        <v>1500</v>
      </c>
      <c r="E1496" s="9">
        <f>+Tablo3[[#This Row],[Birim Fiyat]]*Tablo3[[#This Row],[Satış Adet]]</f>
        <v>4500</v>
      </c>
      <c r="F1496" s="9">
        <v>2100</v>
      </c>
      <c r="G1496" t="s">
        <v>47</v>
      </c>
      <c r="H1496" t="s">
        <v>35</v>
      </c>
    </row>
    <row r="1497" spans="1:8" x14ac:dyDescent="0.25">
      <c r="A1497" t="s">
        <v>38</v>
      </c>
      <c r="B1497" t="s">
        <v>21</v>
      </c>
      <c r="C1497">
        <v>5</v>
      </c>
      <c r="D1497" s="9">
        <v>2180</v>
      </c>
      <c r="E1497" s="9">
        <f>+Tablo3[[#This Row],[Birim Fiyat]]*Tablo3[[#This Row],[Satış Adet]]</f>
        <v>10900</v>
      </c>
      <c r="F1497" s="9">
        <v>3400</v>
      </c>
      <c r="G1497" t="s">
        <v>47</v>
      </c>
      <c r="H1497" t="s">
        <v>29</v>
      </c>
    </row>
    <row r="1498" spans="1:8" x14ac:dyDescent="0.25">
      <c r="A1498" t="s">
        <v>18</v>
      </c>
      <c r="B1498" t="s">
        <v>21</v>
      </c>
      <c r="C1498">
        <v>2</v>
      </c>
      <c r="D1498" s="9">
        <v>2180</v>
      </c>
      <c r="E1498" s="9">
        <f>+Tablo3[[#This Row],[Birim Fiyat]]*Tablo3[[#This Row],[Satış Adet]]</f>
        <v>4360</v>
      </c>
      <c r="F1498" s="9">
        <v>1360</v>
      </c>
      <c r="G1498" t="s">
        <v>47</v>
      </c>
      <c r="H1498" t="s">
        <v>35</v>
      </c>
    </row>
    <row r="1499" spans="1:8" x14ac:dyDescent="0.25">
      <c r="A1499" t="s">
        <v>38</v>
      </c>
      <c r="B1499" t="s">
        <v>45</v>
      </c>
      <c r="C1499">
        <v>5</v>
      </c>
      <c r="D1499" s="9">
        <v>5775</v>
      </c>
      <c r="E1499" s="9">
        <f>+Tablo3[[#This Row],[Birim Fiyat]]*Tablo3[[#This Row],[Satış Adet]]</f>
        <v>28875</v>
      </c>
      <c r="F1499" s="9">
        <v>8875</v>
      </c>
      <c r="G1499" t="s">
        <v>47</v>
      </c>
      <c r="H1499" t="s">
        <v>52</v>
      </c>
    </row>
    <row r="1500" spans="1:8" x14ac:dyDescent="0.25">
      <c r="A1500" t="s">
        <v>38</v>
      </c>
      <c r="B1500" t="s">
        <v>26</v>
      </c>
      <c r="C1500">
        <v>5</v>
      </c>
      <c r="D1500" s="9">
        <v>1100</v>
      </c>
      <c r="E1500" s="9">
        <f>+Tablo3[[#This Row],[Birim Fiyat]]*Tablo3[[#This Row],[Satış Adet]]</f>
        <v>5500</v>
      </c>
      <c r="F1500" s="9">
        <v>1500</v>
      </c>
      <c r="G1500" t="s">
        <v>47</v>
      </c>
      <c r="H1500" t="s">
        <v>29</v>
      </c>
    </row>
    <row r="1501" spans="1:8" x14ac:dyDescent="0.25">
      <c r="A1501" t="s">
        <v>46</v>
      </c>
      <c r="B1501" t="s">
        <v>45</v>
      </c>
      <c r="C1501">
        <v>5</v>
      </c>
      <c r="D1501" s="9">
        <v>5775</v>
      </c>
      <c r="E1501" s="9">
        <f>+Tablo3[[#This Row],[Birim Fiyat]]*Tablo3[[#This Row],[Satış Adet]]</f>
        <v>28875</v>
      </c>
      <c r="F1501" s="9">
        <v>8875</v>
      </c>
      <c r="G1501" t="s">
        <v>47</v>
      </c>
      <c r="H1501" t="s">
        <v>44</v>
      </c>
    </row>
    <row r="1502" spans="1:8" x14ac:dyDescent="0.25">
      <c r="A1502" t="s">
        <v>33</v>
      </c>
      <c r="B1502" t="s">
        <v>19</v>
      </c>
      <c r="C1502">
        <v>3</v>
      </c>
      <c r="D1502" s="9">
        <v>1350</v>
      </c>
      <c r="E1502" s="9">
        <f>+Tablo3[[#This Row],[Birim Fiyat]]*Tablo3[[#This Row],[Satış Adet]]</f>
        <v>4050</v>
      </c>
      <c r="F1502" s="9">
        <v>1650</v>
      </c>
      <c r="G1502" t="s">
        <v>47</v>
      </c>
      <c r="H1502" t="s">
        <v>20</v>
      </c>
    </row>
    <row r="1503" spans="1:8" x14ac:dyDescent="0.25">
      <c r="A1503" t="s">
        <v>8</v>
      </c>
      <c r="B1503" t="s">
        <v>23</v>
      </c>
      <c r="C1503">
        <v>2</v>
      </c>
      <c r="D1503" s="9">
        <v>7600</v>
      </c>
      <c r="E1503" s="9">
        <f>+Tablo3[[#This Row],[Birim Fiyat]]*Tablo3[[#This Row],[Satış Adet]]</f>
        <v>15200</v>
      </c>
      <c r="F1503" s="9">
        <v>3200</v>
      </c>
      <c r="G1503" t="s">
        <v>47</v>
      </c>
      <c r="H1503" t="s">
        <v>11</v>
      </c>
    </row>
    <row r="1504" spans="1:8" x14ac:dyDescent="0.25">
      <c r="A1504" t="s">
        <v>15</v>
      </c>
      <c r="B1504" t="s">
        <v>25</v>
      </c>
      <c r="C1504">
        <v>5</v>
      </c>
      <c r="D1504" s="9">
        <v>7250</v>
      </c>
      <c r="E1504" s="9">
        <f>+Tablo3[[#This Row],[Birim Fiyat]]*Tablo3[[#This Row],[Satış Adet]]</f>
        <v>36250</v>
      </c>
      <c r="F1504" s="9">
        <v>11250</v>
      </c>
      <c r="G1504" t="s">
        <v>47</v>
      </c>
      <c r="H1504" t="s">
        <v>44</v>
      </c>
    </row>
    <row r="1505" spans="1:8" x14ac:dyDescent="0.25">
      <c r="A1505" t="s">
        <v>48</v>
      </c>
      <c r="B1505" t="s">
        <v>41</v>
      </c>
      <c r="C1505">
        <v>3</v>
      </c>
      <c r="D1505" s="9">
        <v>1490</v>
      </c>
      <c r="E1505" s="9">
        <f>+Tablo3[[#This Row],[Birim Fiyat]]*Tablo3[[#This Row],[Satış Adet]]</f>
        <v>4470</v>
      </c>
      <c r="F1505" s="9">
        <v>2070</v>
      </c>
      <c r="G1505" t="s">
        <v>47</v>
      </c>
      <c r="H1505" t="s">
        <v>39</v>
      </c>
    </row>
    <row r="1506" spans="1:8" x14ac:dyDescent="0.25">
      <c r="A1506" t="s">
        <v>18</v>
      </c>
      <c r="B1506" t="s">
        <v>41</v>
      </c>
      <c r="C1506">
        <v>2</v>
      </c>
      <c r="D1506" s="9">
        <v>1490</v>
      </c>
      <c r="E1506" s="9">
        <f>+Tablo3[[#This Row],[Birim Fiyat]]*Tablo3[[#This Row],[Satış Adet]]</f>
        <v>2980</v>
      </c>
      <c r="F1506" s="9">
        <v>1380</v>
      </c>
      <c r="G1506" t="s">
        <v>47</v>
      </c>
      <c r="H1506" t="s">
        <v>40</v>
      </c>
    </row>
    <row r="1507" spans="1:8" x14ac:dyDescent="0.25">
      <c r="A1507" t="s">
        <v>36</v>
      </c>
      <c r="B1507" t="s">
        <v>32</v>
      </c>
      <c r="C1507">
        <v>2</v>
      </c>
      <c r="D1507" s="9">
        <v>1090</v>
      </c>
      <c r="E1507" s="9">
        <f>+Tablo3[[#This Row],[Birim Fiyat]]*Tablo3[[#This Row],[Satış Adet]]</f>
        <v>2180</v>
      </c>
      <c r="F1507" s="9">
        <v>580</v>
      </c>
      <c r="G1507" t="s">
        <v>47</v>
      </c>
      <c r="H1507" t="s">
        <v>40</v>
      </c>
    </row>
    <row r="1508" spans="1:8" x14ac:dyDescent="0.25">
      <c r="A1508" t="s">
        <v>36</v>
      </c>
      <c r="B1508" t="s">
        <v>28</v>
      </c>
      <c r="C1508">
        <v>3</v>
      </c>
      <c r="D1508" s="9">
        <v>1200</v>
      </c>
      <c r="E1508" s="9">
        <f>+Tablo3[[#This Row],[Birim Fiyat]]*Tablo3[[#This Row],[Satış Adet]]</f>
        <v>3600</v>
      </c>
      <c r="F1508" s="9">
        <v>1200</v>
      </c>
      <c r="G1508" t="s">
        <v>47</v>
      </c>
      <c r="H1508" t="s">
        <v>35</v>
      </c>
    </row>
    <row r="1509" spans="1:8" x14ac:dyDescent="0.25">
      <c r="A1509" t="s">
        <v>48</v>
      </c>
      <c r="B1509" t="s">
        <v>32</v>
      </c>
      <c r="C1509">
        <v>2</v>
      </c>
      <c r="D1509" s="9">
        <v>1090</v>
      </c>
      <c r="E1509" s="9">
        <f>+Tablo3[[#This Row],[Birim Fiyat]]*Tablo3[[#This Row],[Satış Adet]]</f>
        <v>2180</v>
      </c>
      <c r="F1509" s="9">
        <v>580</v>
      </c>
      <c r="G1509" t="s">
        <v>47</v>
      </c>
      <c r="H1509" t="s">
        <v>11</v>
      </c>
    </row>
    <row r="1510" spans="1:8" x14ac:dyDescent="0.25">
      <c r="A1510" t="s">
        <v>48</v>
      </c>
      <c r="B1510" t="s">
        <v>21</v>
      </c>
      <c r="C1510">
        <v>2</v>
      </c>
      <c r="D1510" s="9">
        <v>2180</v>
      </c>
      <c r="E1510" s="9">
        <f>+Tablo3[[#This Row],[Birim Fiyat]]*Tablo3[[#This Row],[Satış Adet]]</f>
        <v>4360</v>
      </c>
      <c r="F1510" s="9">
        <v>1360</v>
      </c>
      <c r="G1510" t="s">
        <v>47</v>
      </c>
      <c r="H1510" t="s">
        <v>29</v>
      </c>
    </row>
    <row r="1511" spans="1:8" x14ac:dyDescent="0.25">
      <c r="A1511" t="s">
        <v>15</v>
      </c>
      <c r="B1511" t="s">
        <v>54</v>
      </c>
      <c r="C1511">
        <v>4</v>
      </c>
      <c r="D1511" s="9">
        <v>5300</v>
      </c>
      <c r="E1511" s="9">
        <f>+Tablo3[[#This Row],[Birim Fiyat]]*Tablo3[[#This Row],[Satış Adet]]</f>
        <v>21200</v>
      </c>
      <c r="F1511" s="9">
        <v>5200</v>
      </c>
      <c r="G1511" t="s">
        <v>47</v>
      </c>
      <c r="H1511" t="s">
        <v>14</v>
      </c>
    </row>
    <row r="1512" spans="1:8" x14ac:dyDescent="0.25">
      <c r="A1512" t="s">
        <v>48</v>
      </c>
      <c r="B1512" t="s">
        <v>54</v>
      </c>
      <c r="C1512">
        <v>4</v>
      </c>
      <c r="D1512" s="9">
        <v>5300</v>
      </c>
      <c r="E1512" s="9">
        <f>+Tablo3[[#This Row],[Birim Fiyat]]*Tablo3[[#This Row],[Satış Adet]]</f>
        <v>21200</v>
      </c>
      <c r="F1512" s="9">
        <v>5200</v>
      </c>
      <c r="G1512" t="s">
        <v>47</v>
      </c>
      <c r="H1512" t="s">
        <v>35</v>
      </c>
    </row>
    <row r="1513" spans="1:8" x14ac:dyDescent="0.25">
      <c r="A1513" t="s">
        <v>67</v>
      </c>
      <c r="B1513" t="s">
        <v>25</v>
      </c>
      <c r="C1513">
        <v>4</v>
      </c>
      <c r="D1513" s="9">
        <v>7250</v>
      </c>
      <c r="E1513" s="9">
        <f>+Tablo3[[#This Row],[Birim Fiyat]]*Tablo3[[#This Row],[Satış Adet]]</f>
        <v>29000</v>
      </c>
      <c r="F1513" s="9">
        <v>9000</v>
      </c>
      <c r="G1513" t="s">
        <v>47</v>
      </c>
      <c r="H1513" t="s">
        <v>29</v>
      </c>
    </row>
    <row r="1514" spans="1:8" x14ac:dyDescent="0.25">
      <c r="A1514" t="s">
        <v>67</v>
      </c>
      <c r="B1514" t="s">
        <v>51</v>
      </c>
      <c r="C1514">
        <v>2</v>
      </c>
      <c r="D1514" s="9">
        <v>1200</v>
      </c>
      <c r="E1514" s="9">
        <f>+Tablo3[[#This Row],[Birim Fiyat]]*Tablo3[[#This Row],[Satış Adet]]</f>
        <v>2400</v>
      </c>
      <c r="F1514" s="9">
        <v>800</v>
      </c>
      <c r="G1514" t="s">
        <v>47</v>
      </c>
      <c r="H1514" t="s">
        <v>39</v>
      </c>
    </row>
    <row r="1515" spans="1:8" x14ac:dyDescent="0.25">
      <c r="A1515" t="s">
        <v>18</v>
      </c>
      <c r="B1515" t="s">
        <v>9</v>
      </c>
      <c r="C1515">
        <v>5</v>
      </c>
      <c r="D1515" s="9">
        <v>6000</v>
      </c>
      <c r="E1515" s="9">
        <f>+Tablo3[[#This Row],[Birim Fiyat]]*Tablo3[[#This Row],[Satış Adet]]</f>
        <v>30000</v>
      </c>
      <c r="F1515" s="9">
        <v>10000</v>
      </c>
      <c r="G1515" t="s">
        <v>47</v>
      </c>
      <c r="H1515" t="s">
        <v>40</v>
      </c>
    </row>
    <row r="1516" spans="1:8" x14ac:dyDescent="0.25">
      <c r="A1516" t="s">
        <v>15</v>
      </c>
      <c r="B1516" t="s">
        <v>16</v>
      </c>
      <c r="C1516">
        <v>4</v>
      </c>
      <c r="D1516" s="9">
        <v>8450</v>
      </c>
      <c r="E1516" s="9">
        <f>+Tablo3[[#This Row],[Birim Fiyat]]*Tablo3[[#This Row],[Satış Adet]]</f>
        <v>33800</v>
      </c>
      <c r="F1516" s="9">
        <v>9800</v>
      </c>
      <c r="G1516" t="s">
        <v>47</v>
      </c>
      <c r="H1516" t="s">
        <v>27</v>
      </c>
    </row>
    <row r="1517" spans="1:8" x14ac:dyDescent="0.25">
      <c r="A1517" t="s">
        <v>30</v>
      </c>
      <c r="B1517" t="s">
        <v>43</v>
      </c>
      <c r="C1517">
        <v>5</v>
      </c>
      <c r="D1517" s="9">
        <v>4200</v>
      </c>
      <c r="E1517" s="9">
        <f>+Tablo3[[#This Row],[Birim Fiyat]]*Tablo3[[#This Row],[Satış Adet]]</f>
        <v>21000</v>
      </c>
      <c r="F1517" s="9">
        <v>6000</v>
      </c>
      <c r="G1517" t="s">
        <v>47</v>
      </c>
      <c r="H1517" t="s">
        <v>24</v>
      </c>
    </row>
    <row r="1518" spans="1:8" x14ac:dyDescent="0.25">
      <c r="A1518" t="s">
        <v>30</v>
      </c>
      <c r="B1518" t="s">
        <v>37</v>
      </c>
      <c r="C1518">
        <v>3</v>
      </c>
      <c r="D1518" s="9">
        <v>10590</v>
      </c>
      <c r="E1518" s="9">
        <f>+Tablo3[[#This Row],[Birim Fiyat]]*Tablo3[[#This Row],[Satış Adet]]</f>
        <v>31770</v>
      </c>
      <c r="F1518" s="9">
        <v>13770</v>
      </c>
      <c r="G1518" t="s">
        <v>47</v>
      </c>
      <c r="H1518" t="s">
        <v>11</v>
      </c>
    </row>
    <row r="1519" spans="1:8" x14ac:dyDescent="0.25">
      <c r="A1519" t="s">
        <v>67</v>
      </c>
      <c r="B1519" t="s">
        <v>51</v>
      </c>
      <c r="C1519">
        <v>3</v>
      </c>
      <c r="D1519" s="9">
        <v>1200</v>
      </c>
      <c r="E1519" s="9">
        <f>+Tablo3[[#This Row],[Birim Fiyat]]*Tablo3[[#This Row],[Satış Adet]]</f>
        <v>3600</v>
      </c>
      <c r="F1519" s="9">
        <v>1200</v>
      </c>
      <c r="G1519" t="s">
        <v>47</v>
      </c>
      <c r="H1519" t="s">
        <v>44</v>
      </c>
    </row>
    <row r="1520" spans="1:8" x14ac:dyDescent="0.25">
      <c r="A1520" t="s">
        <v>46</v>
      </c>
      <c r="B1520" t="s">
        <v>26</v>
      </c>
      <c r="C1520">
        <v>5</v>
      </c>
      <c r="D1520" s="9">
        <v>1100</v>
      </c>
      <c r="E1520" s="9">
        <f>+Tablo3[[#This Row],[Birim Fiyat]]*Tablo3[[#This Row],[Satış Adet]]</f>
        <v>5500</v>
      </c>
      <c r="F1520" s="9">
        <v>1500</v>
      </c>
      <c r="G1520" t="s">
        <v>47</v>
      </c>
      <c r="H1520" t="s">
        <v>24</v>
      </c>
    </row>
    <row r="1521" spans="1:8" x14ac:dyDescent="0.25">
      <c r="A1521" t="s">
        <v>38</v>
      </c>
      <c r="B1521" t="s">
        <v>56</v>
      </c>
      <c r="C1521">
        <v>3</v>
      </c>
      <c r="D1521" s="9">
        <v>3700</v>
      </c>
      <c r="E1521" s="9">
        <f>+Tablo3[[#This Row],[Birim Fiyat]]*Tablo3[[#This Row],[Satış Adet]]</f>
        <v>11100</v>
      </c>
      <c r="F1521" s="9">
        <v>2100</v>
      </c>
      <c r="G1521" t="s">
        <v>47</v>
      </c>
      <c r="H1521" t="s">
        <v>20</v>
      </c>
    </row>
    <row r="1522" spans="1:8" x14ac:dyDescent="0.25">
      <c r="A1522" t="s">
        <v>12</v>
      </c>
      <c r="B1522" t="s">
        <v>56</v>
      </c>
      <c r="C1522">
        <v>3</v>
      </c>
      <c r="D1522" s="9">
        <v>3700</v>
      </c>
      <c r="E1522" s="9">
        <f>+Tablo3[[#This Row],[Birim Fiyat]]*Tablo3[[#This Row],[Satış Adet]]</f>
        <v>11100</v>
      </c>
      <c r="F1522" s="9">
        <v>2100</v>
      </c>
      <c r="G1522" t="s">
        <v>47</v>
      </c>
      <c r="H1522" t="s">
        <v>11</v>
      </c>
    </row>
    <row r="1523" spans="1:8" x14ac:dyDescent="0.25">
      <c r="A1523" t="s">
        <v>30</v>
      </c>
      <c r="B1523" t="s">
        <v>26</v>
      </c>
      <c r="C1523">
        <v>3</v>
      </c>
      <c r="D1523" s="9">
        <v>1100</v>
      </c>
      <c r="E1523" s="9">
        <f>+Tablo3[[#This Row],[Birim Fiyat]]*Tablo3[[#This Row],[Satış Adet]]</f>
        <v>3300</v>
      </c>
      <c r="F1523" s="9">
        <v>900</v>
      </c>
      <c r="G1523" t="s">
        <v>47</v>
      </c>
      <c r="H1523" t="s">
        <v>29</v>
      </c>
    </row>
    <row r="1524" spans="1:8" x14ac:dyDescent="0.25">
      <c r="A1524" t="s">
        <v>67</v>
      </c>
      <c r="B1524" t="s">
        <v>56</v>
      </c>
      <c r="C1524">
        <v>2</v>
      </c>
      <c r="D1524" s="9">
        <v>3700</v>
      </c>
      <c r="E1524" s="9">
        <f>+Tablo3[[#This Row],[Birim Fiyat]]*Tablo3[[#This Row],[Satış Adet]]</f>
        <v>7400</v>
      </c>
      <c r="F1524" s="9">
        <v>1400</v>
      </c>
      <c r="G1524" t="s">
        <v>57</v>
      </c>
      <c r="H1524" t="s">
        <v>39</v>
      </c>
    </row>
    <row r="1525" spans="1:8" x14ac:dyDescent="0.25">
      <c r="A1525" t="s">
        <v>46</v>
      </c>
      <c r="B1525" t="s">
        <v>41</v>
      </c>
      <c r="C1525">
        <v>2</v>
      </c>
      <c r="D1525" s="9">
        <v>1490</v>
      </c>
      <c r="E1525" s="9">
        <f>+Tablo3[[#This Row],[Birim Fiyat]]*Tablo3[[#This Row],[Satış Adet]]</f>
        <v>2980</v>
      </c>
      <c r="F1525" s="9">
        <v>1380</v>
      </c>
      <c r="G1525" t="s">
        <v>57</v>
      </c>
      <c r="H1525" t="s">
        <v>35</v>
      </c>
    </row>
    <row r="1526" spans="1:8" x14ac:dyDescent="0.25">
      <c r="A1526" t="s">
        <v>38</v>
      </c>
      <c r="B1526" t="s">
        <v>55</v>
      </c>
      <c r="C1526">
        <v>5</v>
      </c>
      <c r="D1526" s="9">
        <v>1500</v>
      </c>
      <c r="E1526" s="9">
        <f>+Tablo3[[#This Row],[Birim Fiyat]]*Tablo3[[#This Row],[Satış Adet]]</f>
        <v>7500</v>
      </c>
      <c r="F1526" s="9">
        <v>3500</v>
      </c>
      <c r="G1526" t="s">
        <v>57</v>
      </c>
      <c r="H1526" t="s">
        <v>29</v>
      </c>
    </row>
    <row r="1527" spans="1:8" x14ac:dyDescent="0.25">
      <c r="A1527" t="s">
        <v>36</v>
      </c>
      <c r="B1527" t="s">
        <v>32</v>
      </c>
      <c r="C1527">
        <v>5</v>
      </c>
      <c r="D1527" s="9">
        <v>1090</v>
      </c>
      <c r="E1527" s="9">
        <f>+Tablo3[[#This Row],[Birim Fiyat]]*Tablo3[[#This Row],[Satış Adet]]</f>
        <v>5450</v>
      </c>
      <c r="F1527" s="9">
        <v>1450</v>
      </c>
      <c r="G1527" t="s">
        <v>57</v>
      </c>
      <c r="H1527" t="s">
        <v>11</v>
      </c>
    </row>
    <row r="1528" spans="1:8" x14ac:dyDescent="0.25">
      <c r="A1528" t="s">
        <v>46</v>
      </c>
      <c r="B1528" t="s">
        <v>31</v>
      </c>
      <c r="C1528">
        <v>4</v>
      </c>
      <c r="D1528" s="9">
        <v>1800</v>
      </c>
      <c r="E1528" s="9">
        <f>+Tablo3[[#This Row],[Birim Fiyat]]*Tablo3[[#This Row],[Satış Adet]]</f>
        <v>7200</v>
      </c>
      <c r="F1528" s="9">
        <v>4000</v>
      </c>
      <c r="G1528" t="s">
        <v>57</v>
      </c>
      <c r="H1528" t="s">
        <v>11</v>
      </c>
    </row>
    <row r="1529" spans="1:8" x14ac:dyDescent="0.25">
      <c r="A1529" t="s">
        <v>33</v>
      </c>
      <c r="B1529" t="s">
        <v>53</v>
      </c>
      <c r="C1529">
        <v>2</v>
      </c>
      <c r="D1529" s="9">
        <v>7530</v>
      </c>
      <c r="E1529" s="9">
        <f>+Tablo3[[#This Row],[Birim Fiyat]]*Tablo3[[#This Row],[Satış Adet]]</f>
        <v>15060</v>
      </c>
      <c r="F1529" s="9">
        <v>3060</v>
      </c>
      <c r="G1529" t="s">
        <v>57</v>
      </c>
      <c r="H1529" t="s">
        <v>17</v>
      </c>
    </row>
    <row r="1530" spans="1:8" x14ac:dyDescent="0.25">
      <c r="A1530" t="s">
        <v>30</v>
      </c>
      <c r="B1530" t="s">
        <v>26</v>
      </c>
      <c r="C1530">
        <v>2</v>
      </c>
      <c r="D1530" s="9">
        <v>1100</v>
      </c>
      <c r="E1530" s="9">
        <f>+Tablo3[[#This Row],[Birim Fiyat]]*Tablo3[[#This Row],[Satış Adet]]</f>
        <v>2200</v>
      </c>
      <c r="F1530" s="9">
        <v>600</v>
      </c>
      <c r="G1530" t="s">
        <v>57</v>
      </c>
      <c r="H1530" t="s">
        <v>52</v>
      </c>
    </row>
    <row r="1531" spans="1:8" x14ac:dyDescent="0.25">
      <c r="A1531" t="s">
        <v>38</v>
      </c>
      <c r="B1531" t="s">
        <v>19</v>
      </c>
      <c r="C1531">
        <v>2</v>
      </c>
      <c r="D1531" s="9">
        <v>1350</v>
      </c>
      <c r="E1531" s="9">
        <f>+Tablo3[[#This Row],[Birim Fiyat]]*Tablo3[[#This Row],[Satış Adet]]</f>
        <v>2700</v>
      </c>
      <c r="F1531" s="9">
        <v>1100</v>
      </c>
      <c r="G1531" t="s">
        <v>57</v>
      </c>
      <c r="H1531" t="s">
        <v>29</v>
      </c>
    </row>
    <row r="1532" spans="1:8" x14ac:dyDescent="0.25">
      <c r="A1532" t="s">
        <v>36</v>
      </c>
      <c r="B1532" t="s">
        <v>19</v>
      </c>
      <c r="C1532">
        <v>3</v>
      </c>
      <c r="D1532" s="9">
        <v>1350</v>
      </c>
      <c r="E1532" s="9">
        <f>+Tablo3[[#This Row],[Birim Fiyat]]*Tablo3[[#This Row],[Satış Adet]]</f>
        <v>4050</v>
      </c>
      <c r="F1532" s="9">
        <v>1650</v>
      </c>
      <c r="G1532" t="s">
        <v>57</v>
      </c>
      <c r="H1532" t="s">
        <v>39</v>
      </c>
    </row>
    <row r="1533" spans="1:8" x14ac:dyDescent="0.25">
      <c r="A1533" t="s">
        <v>33</v>
      </c>
      <c r="B1533" t="s">
        <v>32</v>
      </c>
      <c r="C1533">
        <v>3</v>
      </c>
      <c r="D1533" s="9">
        <v>1090</v>
      </c>
      <c r="E1533" s="9">
        <f>+Tablo3[[#This Row],[Birim Fiyat]]*Tablo3[[#This Row],[Satış Adet]]</f>
        <v>3270</v>
      </c>
      <c r="F1533" s="9">
        <v>870</v>
      </c>
      <c r="G1533" t="s">
        <v>57</v>
      </c>
      <c r="H1533" t="s">
        <v>44</v>
      </c>
    </row>
    <row r="1534" spans="1:8" x14ac:dyDescent="0.25">
      <c r="A1534" t="s">
        <v>33</v>
      </c>
      <c r="B1534" t="s">
        <v>43</v>
      </c>
      <c r="C1534">
        <v>5</v>
      </c>
      <c r="D1534" s="9">
        <v>4200</v>
      </c>
      <c r="E1534" s="9">
        <f>+Tablo3[[#This Row],[Birim Fiyat]]*Tablo3[[#This Row],[Satış Adet]]</f>
        <v>21000</v>
      </c>
      <c r="F1534" s="9">
        <v>6000</v>
      </c>
      <c r="G1534" t="s">
        <v>57</v>
      </c>
      <c r="H1534" t="s">
        <v>29</v>
      </c>
    </row>
    <row r="1535" spans="1:8" x14ac:dyDescent="0.25">
      <c r="A1535" t="s">
        <v>38</v>
      </c>
      <c r="B1535" t="s">
        <v>31</v>
      </c>
      <c r="C1535">
        <v>4</v>
      </c>
      <c r="D1535" s="9">
        <v>1800</v>
      </c>
      <c r="E1535" s="9">
        <f>+Tablo3[[#This Row],[Birim Fiyat]]*Tablo3[[#This Row],[Satış Adet]]</f>
        <v>7200</v>
      </c>
      <c r="F1535" s="9">
        <v>4000</v>
      </c>
      <c r="G1535" t="s">
        <v>57</v>
      </c>
      <c r="H1535" t="s">
        <v>39</v>
      </c>
    </row>
    <row r="1536" spans="1:8" x14ac:dyDescent="0.25">
      <c r="A1536" t="s">
        <v>48</v>
      </c>
      <c r="B1536" t="s">
        <v>32</v>
      </c>
      <c r="C1536">
        <v>4</v>
      </c>
      <c r="D1536" s="9">
        <v>1090</v>
      </c>
      <c r="E1536" s="9">
        <f>+Tablo3[[#This Row],[Birim Fiyat]]*Tablo3[[#This Row],[Satış Adet]]</f>
        <v>4360</v>
      </c>
      <c r="F1536" s="9">
        <v>1160</v>
      </c>
      <c r="G1536" t="s">
        <v>57</v>
      </c>
      <c r="H1536" t="s">
        <v>39</v>
      </c>
    </row>
    <row r="1537" spans="1:8" x14ac:dyDescent="0.25">
      <c r="A1537" t="s">
        <v>8</v>
      </c>
      <c r="B1537" t="s">
        <v>23</v>
      </c>
      <c r="C1537">
        <v>2</v>
      </c>
      <c r="D1537" s="9">
        <v>7600</v>
      </c>
      <c r="E1537" s="9">
        <f>+Tablo3[[#This Row],[Birim Fiyat]]*Tablo3[[#This Row],[Satış Adet]]</f>
        <v>15200</v>
      </c>
      <c r="F1537" s="9">
        <v>3200</v>
      </c>
      <c r="G1537" t="s">
        <v>57</v>
      </c>
      <c r="H1537" t="s">
        <v>39</v>
      </c>
    </row>
    <row r="1538" spans="1:8" x14ac:dyDescent="0.25">
      <c r="A1538" t="s">
        <v>36</v>
      </c>
      <c r="B1538" t="s">
        <v>23</v>
      </c>
      <c r="C1538">
        <v>2</v>
      </c>
      <c r="D1538" s="9">
        <v>7600</v>
      </c>
      <c r="E1538" s="9">
        <f>+Tablo3[[#This Row],[Birim Fiyat]]*Tablo3[[#This Row],[Satış Adet]]</f>
        <v>15200</v>
      </c>
      <c r="F1538" s="9">
        <v>3200</v>
      </c>
      <c r="G1538" t="s">
        <v>57</v>
      </c>
      <c r="H1538" t="s">
        <v>44</v>
      </c>
    </row>
    <row r="1539" spans="1:8" x14ac:dyDescent="0.25">
      <c r="A1539" t="s">
        <v>15</v>
      </c>
      <c r="B1539" t="s">
        <v>56</v>
      </c>
      <c r="C1539">
        <v>3</v>
      </c>
      <c r="D1539" s="9">
        <v>3700</v>
      </c>
      <c r="E1539" s="9">
        <f>+Tablo3[[#This Row],[Birim Fiyat]]*Tablo3[[#This Row],[Satış Adet]]</f>
        <v>11100</v>
      </c>
      <c r="F1539" s="9">
        <v>2100</v>
      </c>
      <c r="G1539" t="s">
        <v>57</v>
      </c>
      <c r="H1539" t="s">
        <v>11</v>
      </c>
    </row>
    <row r="1540" spans="1:8" x14ac:dyDescent="0.25">
      <c r="A1540" t="s">
        <v>22</v>
      </c>
      <c r="B1540" t="s">
        <v>25</v>
      </c>
      <c r="C1540">
        <v>3</v>
      </c>
      <c r="D1540" s="9">
        <v>7250</v>
      </c>
      <c r="E1540" s="9">
        <f>+Tablo3[[#This Row],[Birim Fiyat]]*Tablo3[[#This Row],[Satış Adet]]</f>
        <v>21750</v>
      </c>
      <c r="F1540" s="9">
        <v>6750</v>
      </c>
      <c r="G1540" t="s">
        <v>57</v>
      </c>
      <c r="H1540" t="s">
        <v>29</v>
      </c>
    </row>
    <row r="1541" spans="1:8" x14ac:dyDescent="0.25">
      <c r="A1541" t="s">
        <v>12</v>
      </c>
      <c r="B1541" t="s">
        <v>23</v>
      </c>
      <c r="C1541">
        <v>4</v>
      </c>
      <c r="D1541" s="9">
        <v>7600</v>
      </c>
      <c r="E1541" s="9">
        <f>+Tablo3[[#This Row],[Birim Fiyat]]*Tablo3[[#This Row],[Satış Adet]]</f>
        <v>30400</v>
      </c>
      <c r="F1541" s="9">
        <v>6400</v>
      </c>
      <c r="G1541" t="s">
        <v>57</v>
      </c>
      <c r="H1541" t="s">
        <v>42</v>
      </c>
    </row>
    <row r="1542" spans="1:8" x14ac:dyDescent="0.25">
      <c r="A1542" t="s">
        <v>46</v>
      </c>
      <c r="B1542" t="s">
        <v>43</v>
      </c>
      <c r="C1542">
        <v>2</v>
      </c>
      <c r="D1542" s="9">
        <v>4200</v>
      </c>
      <c r="E1542" s="9">
        <f>+Tablo3[[#This Row],[Birim Fiyat]]*Tablo3[[#This Row],[Satış Adet]]</f>
        <v>8400</v>
      </c>
      <c r="F1542" s="9">
        <v>2400</v>
      </c>
      <c r="G1542" t="s">
        <v>57</v>
      </c>
      <c r="H1542" t="s">
        <v>27</v>
      </c>
    </row>
    <row r="1543" spans="1:8" x14ac:dyDescent="0.25">
      <c r="A1543" t="s">
        <v>30</v>
      </c>
      <c r="B1543" t="s">
        <v>50</v>
      </c>
      <c r="C1543">
        <v>4</v>
      </c>
      <c r="D1543" s="9">
        <v>1250</v>
      </c>
      <c r="E1543" s="9">
        <f>+Tablo3[[#This Row],[Birim Fiyat]]*Tablo3[[#This Row],[Satış Adet]]</f>
        <v>5000</v>
      </c>
      <c r="F1543" s="9">
        <v>1800</v>
      </c>
      <c r="G1543" t="s">
        <v>57</v>
      </c>
      <c r="H1543" t="s">
        <v>39</v>
      </c>
    </row>
    <row r="1544" spans="1:8" x14ac:dyDescent="0.25">
      <c r="A1544" t="s">
        <v>36</v>
      </c>
      <c r="B1544" t="s">
        <v>32</v>
      </c>
      <c r="C1544">
        <v>2</v>
      </c>
      <c r="D1544" s="9">
        <v>1090</v>
      </c>
      <c r="E1544" s="9">
        <f>+Tablo3[[#This Row],[Birim Fiyat]]*Tablo3[[#This Row],[Satış Adet]]</f>
        <v>2180</v>
      </c>
      <c r="F1544" s="9">
        <v>580</v>
      </c>
      <c r="G1544" t="s">
        <v>57</v>
      </c>
      <c r="H1544" t="s">
        <v>20</v>
      </c>
    </row>
    <row r="1545" spans="1:8" x14ac:dyDescent="0.25">
      <c r="A1545" t="s">
        <v>18</v>
      </c>
      <c r="B1545" t="s">
        <v>21</v>
      </c>
      <c r="C1545">
        <v>4</v>
      </c>
      <c r="D1545" s="9">
        <v>2180</v>
      </c>
      <c r="E1545" s="9">
        <f>+Tablo3[[#This Row],[Birim Fiyat]]*Tablo3[[#This Row],[Satış Adet]]</f>
        <v>8720</v>
      </c>
      <c r="F1545" s="9">
        <v>2720</v>
      </c>
      <c r="G1545" t="s">
        <v>57</v>
      </c>
      <c r="H1545" t="s">
        <v>44</v>
      </c>
    </row>
    <row r="1546" spans="1:8" x14ac:dyDescent="0.25">
      <c r="A1546" t="s">
        <v>48</v>
      </c>
      <c r="B1546" t="s">
        <v>56</v>
      </c>
      <c r="C1546">
        <v>3</v>
      </c>
      <c r="D1546" s="9">
        <v>3700</v>
      </c>
      <c r="E1546" s="9">
        <f>+Tablo3[[#This Row],[Birim Fiyat]]*Tablo3[[#This Row],[Satış Adet]]</f>
        <v>11100</v>
      </c>
      <c r="F1546" s="9">
        <v>2100</v>
      </c>
      <c r="G1546" t="s">
        <v>57</v>
      </c>
      <c r="H1546" t="s">
        <v>52</v>
      </c>
    </row>
    <row r="1547" spans="1:8" x14ac:dyDescent="0.25">
      <c r="A1547" t="s">
        <v>38</v>
      </c>
      <c r="B1547" t="s">
        <v>9</v>
      </c>
      <c r="C1547">
        <v>4</v>
      </c>
      <c r="D1547" s="9">
        <v>6000</v>
      </c>
      <c r="E1547" s="9">
        <f>+Tablo3[[#This Row],[Birim Fiyat]]*Tablo3[[#This Row],[Satış Adet]]</f>
        <v>24000</v>
      </c>
      <c r="F1547" s="9">
        <v>8000</v>
      </c>
      <c r="G1547" t="s">
        <v>57</v>
      </c>
      <c r="H1547" t="s">
        <v>27</v>
      </c>
    </row>
    <row r="1548" spans="1:8" x14ac:dyDescent="0.25">
      <c r="A1548" t="s">
        <v>46</v>
      </c>
      <c r="B1548" t="s">
        <v>50</v>
      </c>
      <c r="C1548">
        <v>2</v>
      </c>
      <c r="D1548" s="9">
        <v>1250</v>
      </c>
      <c r="E1548" s="9">
        <f>+Tablo3[[#This Row],[Birim Fiyat]]*Tablo3[[#This Row],[Satış Adet]]</f>
        <v>2500</v>
      </c>
      <c r="F1548" s="9">
        <v>900</v>
      </c>
      <c r="G1548" t="s">
        <v>57</v>
      </c>
      <c r="H1548" t="s">
        <v>52</v>
      </c>
    </row>
    <row r="1549" spans="1:8" x14ac:dyDescent="0.25">
      <c r="A1549" t="s">
        <v>48</v>
      </c>
      <c r="B1549" t="s">
        <v>23</v>
      </c>
      <c r="C1549">
        <v>5</v>
      </c>
      <c r="D1549" s="9">
        <v>7600</v>
      </c>
      <c r="E1549" s="9">
        <f>+Tablo3[[#This Row],[Birim Fiyat]]*Tablo3[[#This Row],[Satış Adet]]</f>
        <v>38000</v>
      </c>
      <c r="F1549" s="9">
        <v>8000</v>
      </c>
      <c r="G1549" t="s">
        <v>57</v>
      </c>
      <c r="H1549" t="s">
        <v>14</v>
      </c>
    </row>
    <row r="1550" spans="1:8" x14ac:dyDescent="0.25">
      <c r="A1550" t="s">
        <v>8</v>
      </c>
      <c r="B1550" t="s">
        <v>13</v>
      </c>
      <c r="C1550">
        <v>3</v>
      </c>
      <c r="D1550" s="9">
        <v>1400</v>
      </c>
      <c r="E1550" s="9">
        <f>+Tablo3[[#This Row],[Birim Fiyat]]*Tablo3[[#This Row],[Satış Adet]]</f>
        <v>4200</v>
      </c>
      <c r="F1550" s="9">
        <v>1800</v>
      </c>
      <c r="G1550" t="s">
        <v>57</v>
      </c>
      <c r="H1550" t="s">
        <v>14</v>
      </c>
    </row>
    <row r="1551" spans="1:8" x14ac:dyDescent="0.25">
      <c r="A1551" t="s">
        <v>22</v>
      </c>
      <c r="B1551" t="s">
        <v>21</v>
      </c>
      <c r="C1551">
        <v>2</v>
      </c>
      <c r="D1551" s="9">
        <v>2180</v>
      </c>
      <c r="E1551" s="9">
        <f>+Tablo3[[#This Row],[Birim Fiyat]]*Tablo3[[#This Row],[Satış Adet]]</f>
        <v>4360</v>
      </c>
      <c r="F1551" s="9">
        <v>1360</v>
      </c>
      <c r="G1551" t="s">
        <v>57</v>
      </c>
      <c r="H1551" t="s">
        <v>24</v>
      </c>
    </row>
    <row r="1552" spans="1:8" x14ac:dyDescent="0.25">
      <c r="A1552" t="s">
        <v>8</v>
      </c>
      <c r="B1552" t="s">
        <v>31</v>
      </c>
      <c r="C1552">
        <v>3</v>
      </c>
      <c r="D1552" s="9">
        <v>1800</v>
      </c>
      <c r="E1552" s="9">
        <f>+Tablo3[[#This Row],[Birim Fiyat]]*Tablo3[[#This Row],[Satış Adet]]</f>
        <v>5400</v>
      </c>
      <c r="F1552" s="9">
        <v>3000</v>
      </c>
      <c r="G1552" t="s">
        <v>57</v>
      </c>
      <c r="H1552" t="s">
        <v>17</v>
      </c>
    </row>
    <row r="1553" spans="1:8" x14ac:dyDescent="0.25">
      <c r="A1553" t="s">
        <v>15</v>
      </c>
      <c r="B1553" t="s">
        <v>55</v>
      </c>
      <c r="C1553">
        <v>2</v>
      </c>
      <c r="D1553" s="9">
        <v>1500</v>
      </c>
      <c r="E1553" s="9">
        <f>+Tablo3[[#This Row],[Birim Fiyat]]*Tablo3[[#This Row],[Satış Adet]]</f>
        <v>3000</v>
      </c>
      <c r="F1553" s="9">
        <v>1400</v>
      </c>
      <c r="G1553" t="s">
        <v>57</v>
      </c>
      <c r="H1553" t="s">
        <v>35</v>
      </c>
    </row>
    <row r="1554" spans="1:8" x14ac:dyDescent="0.25">
      <c r="A1554" t="s">
        <v>30</v>
      </c>
      <c r="B1554" t="s">
        <v>16</v>
      </c>
      <c r="C1554">
        <v>3</v>
      </c>
      <c r="D1554" s="9">
        <v>8450</v>
      </c>
      <c r="E1554" s="9">
        <f>+Tablo3[[#This Row],[Birim Fiyat]]*Tablo3[[#This Row],[Satış Adet]]</f>
        <v>25350</v>
      </c>
      <c r="F1554" s="9">
        <v>7350</v>
      </c>
      <c r="G1554" t="s">
        <v>57</v>
      </c>
      <c r="H1554" t="s">
        <v>24</v>
      </c>
    </row>
    <row r="1555" spans="1:8" x14ac:dyDescent="0.25">
      <c r="A1555" t="s">
        <v>38</v>
      </c>
      <c r="B1555" t="s">
        <v>55</v>
      </c>
      <c r="C1555">
        <v>4</v>
      </c>
      <c r="D1555" s="9">
        <v>1500</v>
      </c>
      <c r="E1555" s="9">
        <f>+Tablo3[[#This Row],[Birim Fiyat]]*Tablo3[[#This Row],[Satış Adet]]</f>
        <v>6000</v>
      </c>
      <c r="F1555" s="9">
        <v>2800</v>
      </c>
      <c r="G1555" t="s">
        <v>57</v>
      </c>
      <c r="H1555" t="s">
        <v>44</v>
      </c>
    </row>
    <row r="1556" spans="1:8" x14ac:dyDescent="0.25">
      <c r="A1556" t="s">
        <v>67</v>
      </c>
      <c r="B1556" t="s">
        <v>9</v>
      </c>
      <c r="C1556">
        <v>3</v>
      </c>
      <c r="D1556" s="9">
        <v>6000</v>
      </c>
      <c r="E1556" s="9">
        <f>+Tablo3[[#This Row],[Birim Fiyat]]*Tablo3[[#This Row],[Satış Adet]]</f>
        <v>18000</v>
      </c>
      <c r="F1556" s="9">
        <v>6000</v>
      </c>
      <c r="G1556" t="s">
        <v>57</v>
      </c>
      <c r="H1556" t="s">
        <v>24</v>
      </c>
    </row>
    <row r="1557" spans="1:8" x14ac:dyDescent="0.25">
      <c r="A1557" t="s">
        <v>48</v>
      </c>
      <c r="B1557" t="s">
        <v>51</v>
      </c>
      <c r="C1557">
        <v>4</v>
      </c>
      <c r="D1557" s="9">
        <v>1200</v>
      </c>
      <c r="E1557" s="9">
        <f>+Tablo3[[#This Row],[Birim Fiyat]]*Tablo3[[#This Row],[Satış Adet]]</f>
        <v>4800</v>
      </c>
      <c r="F1557" s="9">
        <v>1600</v>
      </c>
      <c r="G1557" t="s">
        <v>57</v>
      </c>
      <c r="H1557" t="s">
        <v>27</v>
      </c>
    </row>
    <row r="1558" spans="1:8" x14ac:dyDescent="0.25">
      <c r="A1558" t="s">
        <v>8</v>
      </c>
      <c r="B1558" t="s">
        <v>43</v>
      </c>
      <c r="C1558">
        <v>2</v>
      </c>
      <c r="D1558" s="9">
        <v>4200</v>
      </c>
      <c r="E1558" s="9">
        <f>+Tablo3[[#This Row],[Birim Fiyat]]*Tablo3[[#This Row],[Satış Adet]]</f>
        <v>8400</v>
      </c>
      <c r="F1558" s="9">
        <v>2400</v>
      </c>
      <c r="G1558" t="s">
        <v>57</v>
      </c>
      <c r="H1558" t="s">
        <v>17</v>
      </c>
    </row>
    <row r="1559" spans="1:8" x14ac:dyDescent="0.25">
      <c r="A1559" t="s">
        <v>46</v>
      </c>
      <c r="B1559" t="s">
        <v>23</v>
      </c>
      <c r="C1559">
        <v>5</v>
      </c>
      <c r="D1559" s="9">
        <v>7600</v>
      </c>
      <c r="E1559" s="9">
        <f>+Tablo3[[#This Row],[Birim Fiyat]]*Tablo3[[#This Row],[Satış Adet]]</f>
        <v>38000</v>
      </c>
      <c r="F1559" s="9">
        <v>8000</v>
      </c>
      <c r="G1559" t="s">
        <v>57</v>
      </c>
      <c r="H1559" t="s">
        <v>17</v>
      </c>
    </row>
    <row r="1560" spans="1:8" x14ac:dyDescent="0.25">
      <c r="A1560" t="s">
        <v>67</v>
      </c>
      <c r="B1560" t="s">
        <v>25</v>
      </c>
      <c r="C1560">
        <v>3</v>
      </c>
      <c r="D1560" s="9">
        <v>7250</v>
      </c>
      <c r="E1560" s="9">
        <f>+Tablo3[[#This Row],[Birim Fiyat]]*Tablo3[[#This Row],[Satış Adet]]</f>
        <v>21750</v>
      </c>
      <c r="F1560" s="9">
        <v>6750</v>
      </c>
      <c r="G1560" t="s">
        <v>58</v>
      </c>
      <c r="H1560" t="s">
        <v>39</v>
      </c>
    </row>
    <row r="1561" spans="1:8" x14ac:dyDescent="0.25">
      <c r="A1561" t="s">
        <v>12</v>
      </c>
      <c r="B1561" t="s">
        <v>53</v>
      </c>
      <c r="C1561">
        <v>2</v>
      </c>
      <c r="D1561" s="9">
        <v>7530</v>
      </c>
      <c r="E1561" s="9">
        <f>+Tablo3[[#This Row],[Birim Fiyat]]*Tablo3[[#This Row],[Satış Adet]]</f>
        <v>15060</v>
      </c>
      <c r="F1561" s="9">
        <v>3060</v>
      </c>
      <c r="G1561" t="s">
        <v>58</v>
      </c>
      <c r="H1561" t="s">
        <v>29</v>
      </c>
    </row>
    <row r="1562" spans="1:8" x14ac:dyDescent="0.25">
      <c r="A1562" t="s">
        <v>15</v>
      </c>
      <c r="B1562" t="s">
        <v>25</v>
      </c>
      <c r="C1562">
        <v>3</v>
      </c>
      <c r="D1562" s="9">
        <v>7250</v>
      </c>
      <c r="E1562" s="9">
        <f>+Tablo3[[#This Row],[Birim Fiyat]]*Tablo3[[#This Row],[Satış Adet]]</f>
        <v>21750</v>
      </c>
      <c r="F1562" s="9">
        <v>6750</v>
      </c>
      <c r="G1562" t="s">
        <v>58</v>
      </c>
      <c r="H1562" t="s">
        <v>42</v>
      </c>
    </row>
    <row r="1563" spans="1:8" x14ac:dyDescent="0.25">
      <c r="A1563" t="s">
        <v>12</v>
      </c>
      <c r="B1563" t="s">
        <v>9</v>
      </c>
      <c r="C1563">
        <v>5</v>
      </c>
      <c r="D1563" s="9">
        <v>6000</v>
      </c>
      <c r="E1563" s="9">
        <f>+Tablo3[[#This Row],[Birim Fiyat]]*Tablo3[[#This Row],[Satış Adet]]</f>
        <v>30000</v>
      </c>
      <c r="F1563" s="9">
        <v>10000</v>
      </c>
      <c r="G1563" t="s">
        <v>58</v>
      </c>
      <c r="H1563" t="s">
        <v>11</v>
      </c>
    </row>
    <row r="1564" spans="1:8" x14ac:dyDescent="0.25">
      <c r="A1564" t="s">
        <v>67</v>
      </c>
      <c r="B1564" t="s">
        <v>51</v>
      </c>
      <c r="C1564">
        <v>2</v>
      </c>
      <c r="D1564" s="9">
        <v>1200</v>
      </c>
      <c r="E1564" s="9">
        <f>+Tablo3[[#This Row],[Birim Fiyat]]*Tablo3[[#This Row],[Satış Adet]]</f>
        <v>2400</v>
      </c>
      <c r="F1564" s="9">
        <v>800</v>
      </c>
      <c r="G1564" t="s">
        <v>58</v>
      </c>
      <c r="H1564" t="s">
        <v>29</v>
      </c>
    </row>
    <row r="1565" spans="1:8" x14ac:dyDescent="0.25">
      <c r="A1565" t="s">
        <v>48</v>
      </c>
      <c r="B1565" t="s">
        <v>54</v>
      </c>
      <c r="C1565">
        <v>4</v>
      </c>
      <c r="D1565" s="9">
        <v>5300</v>
      </c>
      <c r="E1565" s="9">
        <f>+Tablo3[[#This Row],[Birim Fiyat]]*Tablo3[[#This Row],[Satış Adet]]</f>
        <v>21200</v>
      </c>
      <c r="F1565" s="9">
        <v>5200</v>
      </c>
      <c r="G1565" t="s">
        <v>58</v>
      </c>
      <c r="H1565" t="s">
        <v>11</v>
      </c>
    </row>
    <row r="1566" spans="1:8" x14ac:dyDescent="0.25">
      <c r="A1566" t="s">
        <v>36</v>
      </c>
      <c r="B1566" t="s">
        <v>16</v>
      </c>
      <c r="C1566">
        <v>3</v>
      </c>
      <c r="D1566" s="9">
        <v>8450</v>
      </c>
      <c r="E1566" s="9">
        <f>+Tablo3[[#This Row],[Birim Fiyat]]*Tablo3[[#This Row],[Satış Adet]]</f>
        <v>25350</v>
      </c>
      <c r="F1566" s="9">
        <v>7350</v>
      </c>
      <c r="G1566" t="s">
        <v>58</v>
      </c>
      <c r="H1566" t="s">
        <v>42</v>
      </c>
    </row>
    <row r="1567" spans="1:8" x14ac:dyDescent="0.25">
      <c r="A1567" t="s">
        <v>22</v>
      </c>
      <c r="B1567" t="s">
        <v>19</v>
      </c>
      <c r="C1567">
        <v>2</v>
      </c>
      <c r="D1567" s="9">
        <v>1350</v>
      </c>
      <c r="E1567" s="9">
        <f>+Tablo3[[#This Row],[Birim Fiyat]]*Tablo3[[#This Row],[Satış Adet]]</f>
        <v>2700</v>
      </c>
      <c r="F1567" s="9">
        <v>1100</v>
      </c>
      <c r="G1567" t="s">
        <v>58</v>
      </c>
      <c r="H1567" t="s">
        <v>42</v>
      </c>
    </row>
    <row r="1568" spans="1:8" x14ac:dyDescent="0.25">
      <c r="A1568" t="s">
        <v>30</v>
      </c>
      <c r="B1568" t="s">
        <v>32</v>
      </c>
      <c r="C1568">
        <v>2</v>
      </c>
      <c r="D1568" s="9">
        <v>1090</v>
      </c>
      <c r="E1568" s="9">
        <f>+Tablo3[[#This Row],[Birim Fiyat]]*Tablo3[[#This Row],[Satış Adet]]</f>
        <v>2180</v>
      </c>
      <c r="F1568" s="9">
        <v>580</v>
      </c>
      <c r="G1568" t="s">
        <v>58</v>
      </c>
      <c r="H1568" t="s">
        <v>27</v>
      </c>
    </row>
    <row r="1569" spans="1:8" x14ac:dyDescent="0.25">
      <c r="A1569" t="s">
        <v>22</v>
      </c>
      <c r="B1569" t="s">
        <v>21</v>
      </c>
      <c r="C1569">
        <v>4</v>
      </c>
      <c r="D1569" s="9">
        <v>2180</v>
      </c>
      <c r="E1569" s="9">
        <f>+Tablo3[[#This Row],[Birim Fiyat]]*Tablo3[[#This Row],[Satış Adet]]</f>
        <v>8720</v>
      </c>
      <c r="F1569" s="9">
        <v>2720</v>
      </c>
      <c r="G1569" t="s">
        <v>58</v>
      </c>
      <c r="H1569" t="s">
        <v>40</v>
      </c>
    </row>
    <row r="1570" spans="1:8" x14ac:dyDescent="0.25">
      <c r="A1570" t="s">
        <v>8</v>
      </c>
      <c r="B1570" t="s">
        <v>9</v>
      </c>
      <c r="C1570">
        <v>5</v>
      </c>
      <c r="D1570" s="9">
        <v>6000</v>
      </c>
      <c r="E1570" s="9">
        <f>+Tablo3[[#This Row],[Birim Fiyat]]*Tablo3[[#This Row],[Satış Adet]]</f>
        <v>30000</v>
      </c>
      <c r="F1570" s="9">
        <v>10000</v>
      </c>
      <c r="G1570" t="s">
        <v>58</v>
      </c>
      <c r="H1570" t="s">
        <v>24</v>
      </c>
    </row>
    <row r="1571" spans="1:8" x14ac:dyDescent="0.25">
      <c r="A1571" t="s">
        <v>12</v>
      </c>
      <c r="B1571" t="s">
        <v>13</v>
      </c>
      <c r="C1571">
        <v>4</v>
      </c>
      <c r="D1571" s="9">
        <v>1400</v>
      </c>
      <c r="E1571" s="9">
        <f>+Tablo3[[#This Row],[Birim Fiyat]]*Tablo3[[#This Row],[Satış Adet]]</f>
        <v>5600</v>
      </c>
      <c r="F1571" s="9">
        <v>2400</v>
      </c>
      <c r="G1571" t="s">
        <v>58</v>
      </c>
      <c r="H1571" t="s">
        <v>42</v>
      </c>
    </row>
    <row r="1572" spans="1:8" x14ac:dyDescent="0.25">
      <c r="A1572" t="s">
        <v>15</v>
      </c>
      <c r="B1572" t="s">
        <v>16</v>
      </c>
      <c r="C1572">
        <v>3</v>
      </c>
      <c r="D1572" s="9">
        <v>8450</v>
      </c>
      <c r="E1572" s="9">
        <f>+Tablo3[[#This Row],[Birim Fiyat]]*Tablo3[[#This Row],[Satış Adet]]</f>
        <v>25350</v>
      </c>
      <c r="F1572" s="9">
        <v>7350</v>
      </c>
      <c r="G1572" t="s">
        <v>58</v>
      </c>
      <c r="H1572" t="s">
        <v>42</v>
      </c>
    </row>
    <row r="1573" spans="1:8" x14ac:dyDescent="0.25">
      <c r="A1573" t="s">
        <v>18</v>
      </c>
      <c r="B1573" t="s">
        <v>19</v>
      </c>
      <c r="C1573">
        <v>2</v>
      </c>
      <c r="D1573" s="9">
        <v>1350</v>
      </c>
      <c r="E1573" s="9">
        <f>+Tablo3[[#This Row],[Birim Fiyat]]*Tablo3[[#This Row],[Satış Adet]]</f>
        <v>2700</v>
      </c>
      <c r="F1573" s="9">
        <v>1100</v>
      </c>
      <c r="G1573" t="s">
        <v>58</v>
      </c>
      <c r="H1573" t="s">
        <v>44</v>
      </c>
    </row>
    <row r="1574" spans="1:8" x14ac:dyDescent="0.25">
      <c r="A1574" t="s">
        <v>8</v>
      </c>
      <c r="B1574" t="s">
        <v>21</v>
      </c>
      <c r="C1574">
        <v>5</v>
      </c>
      <c r="D1574" s="9">
        <v>2180</v>
      </c>
      <c r="E1574" s="9">
        <f>+Tablo3[[#This Row],[Birim Fiyat]]*Tablo3[[#This Row],[Satış Adet]]</f>
        <v>10900</v>
      </c>
      <c r="F1574" s="9">
        <v>3400</v>
      </c>
      <c r="G1574" t="s">
        <v>58</v>
      </c>
      <c r="H1574" t="s">
        <v>27</v>
      </c>
    </row>
    <row r="1575" spans="1:8" x14ac:dyDescent="0.25">
      <c r="A1575" t="s">
        <v>22</v>
      </c>
      <c r="B1575" t="s">
        <v>23</v>
      </c>
      <c r="C1575">
        <v>3</v>
      </c>
      <c r="D1575" s="9">
        <v>7600</v>
      </c>
      <c r="E1575" s="9">
        <f>+Tablo3[[#This Row],[Birim Fiyat]]*Tablo3[[#This Row],[Satış Adet]]</f>
        <v>22800</v>
      </c>
      <c r="F1575" s="9">
        <v>4800</v>
      </c>
      <c r="G1575" t="s">
        <v>58</v>
      </c>
      <c r="H1575" t="s">
        <v>14</v>
      </c>
    </row>
    <row r="1576" spans="1:8" x14ac:dyDescent="0.25">
      <c r="A1576" t="s">
        <v>12</v>
      </c>
      <c r="B1576" t="s">
        <v>25</v>
      </c>
      <c r="C1576">
        <v>5</v>
      </c>
      <c r="D1576" s="9">
        <v>7250</v>
      </c>
      <c r="E1576" s="9">
        <f>+Tablo3[[#This Row],[Birim Fiyat]]*Tablo3[[#This Row],[Satış Adet]]</f>
        <v>36250</v>
      </c>
      <c r="F1576" s="9">
        <v>11250</v>
      </c>
      <c r="G1576" t="s">
        <v>58</v>
      </c>
      <c r="H1576" t="s">
        <v>52</v>
      </c>
    </row>
    <row r="1577" spans="1:8" x14ac:dyDescent="0.25">
      <c r="A1577" t="s">
        <v>18</v>
      </c>
      <c r="B1577" t="s">
        <v>26</v>
      </c>
      <c r="C1577">
        <v>5</v>
      </c>
      <c r="D1577" s="9">
        <v>1100</v>
      </c>
      <c r="E1577" s="9">
        <f>+Tablo3[[#This Row],[Birim Fiyat]]*Tablo3[[#This Row],[Satış Adet]]</f>
        <v>5500</v>
      </c>
      <c r="F1577" s="9">
        <v>1500</v>
      </c>
      <c r="G1577" t="s">
        <v>58</v>
      </c>
      <c r="H1577" t="s">
        <v>11</v>
      </c>
    </row>
    <row r="1578" spans="1:8" x14ac:dyDescent="0.25">
      <c r="A1578" t="s">
        <v>67</v>
      </c>
      <c r="B1578" t="s">
        <v>9</v>
      </c>
      <c r="C1578">
        <v>2</v>
      </c>
      <c r="D1578" s="9">
        <v>6000</v>
      </c>
      <c r="E1578" s="9">
        <f>+Tablo3[[#This Row],[Birim Fiyat]]*Tablo3[[#This Row],[Satış Adet]]</f>
        <v>12000</v>
      </c>
      <c r="F1578" s="9">
        <v>4000</v>
      </c>
      <c r="G1578" t="s">
        <v>58</v>
      </c>
      <c r="H1578" t="s">
        <v>40</v>
      </c>
    </row>
    <row r="1579" spans="1:8" x14ac:dyDescent="0.25">
      <c r="A1579" t="s">
        <v>8</v>
      </c>
      <c r="B1579" t="s">
        <v>28</v>
      </c>
      <c r="C1579">
        <v>2</v>
      </c>
      <c r="D1579" s="9">
        <v>1200</v>
      </c>
      <c r="E1579" s="9">
        <f>+Tablo3[[#This Row],[Birim Fiyat]]*Tablo3[[#This Row],[Satış Adet]]</f>
        <v>2400</v>
      </c>
      <c r="F1579" s="9">
        <v>800</v>
      </c>
      <c r="G1579" t="s">
        <v>58</v>
      </c>
      <c r="H1579" t="s">
        <v>44</v>
      </c>
    </row>
    <row r="1580" spans="1:8" x14ac:dyDescent="0.25">
      <c r="A1580" t="s">
        <v>30</v>
      </c>
      <c r="B1580" t="s">
        <v>31</v>
      </c>
      <c r="C1580">
        <v>5</v>
      </c>
      <c r="D1580" s="9">
        <v>1800</v>
      </c>
      <c r="E1580" s="9">
        <f>+Tablo3[[#This Row],[Birim Fiyat]]*Tablo3[[#This Row],[Satış Adet]]</f>
        <v>9000</v>
      </c>
      <c r="F1580" s="9">
        <v>5000</v>
      </c>
      <c r="G1580" t="s">
        <v>58</v>
      </c>
      <c r="H1580" t="s">
        <v>24</v>
      </c>
    </row>
    <row r="1581" spans="1:8" x14ac:dyDescent="0.25">
      <c r="A1581" t="s">
        <v>30</v>
      </c>
      <c r="B1581" t="s">
        <v>32</v>
      </c>
      <c r="C1581">
        <v>4</v>
      </c>
      <c r="D1581" s="9">
        <v>1090</v>
      </c>
      <c r="E1581" s="9">
        <f>+Tablo3[[#This Row],[Birim Fiyat]]*Tablo3[[#This Row],[Satış Adet]]</f>
        <v>4360</v>
      </c>
      <c r="F1581" s="9">
        <v>1160</v>
      </c>
      <c r="G1581" t="s">
        <v>58</v>
      </c>
      <c r="H1581" t="s">
        <v>14</v>
      </c>
    </row>
    <row r="1582" spans="1:8" x14ac:dyDescent="0.25">
      <c r="A1582" t="s">
        <v>67</v>
      </c>
      <c r="B1582" t="s">
        <v>21</v>
      </c>
      <c r="C1582">
        <v>5</v>
      </c>
      <c r="D1582" s="9">
        <v>2180</v>
      </c>
      <c r="E1582" s="9">
        <f>+Tablo3[[#This Row],[Birim Fiyat]]*Tablo3[[#This Row],[Satış Adet]]</f>
        <v>10900</v>
      </c>
      <c r="F1582" s="9">
        <v>3400</v>
      </c>
      <c r="G1582" t="s">
        <v>58</v>
      </c>
      <c r="H1582" t="s">
        <v>29</v>
      </c>
    </row>
    <row r="1583" spans="1:8" x14ac:dyDescent="0.25">
      <c r="A1583" t="s">
        <v>33</v>
      </c>
      <c r="B1583" t="s">
        <v>31</v>
      </c>
      <c r="C1583">
        <v>5</v>
      </c>
      <c r="D1583" s="9">
        <v>1800</v>
      </c>
      <c r="E1583" s="9">
        <f>+Tablo3[[#This Row],[Birim Fiyat]]*Tablo3[[#This Row],[Satış Adet]]</f>
        <v>9000</v>
      </c>
      <c r="F1583" s="9">
        <v>5000</v>
      </c>
      <c r="G1583" t="s">
        <v>58</v>
      </c>
      <c r="H1583" t="s">
        <v>52</v>
      </c>
    </row>
    <row r="1584" spans="1:8" x14ac:dyDescent="0.25">
      <c r="A1584" t="s">
        <v>22</v>
      </c>
      <c r="B1584" t="s">
        <v>34</v>
      </c>
      <c r="C1584">
        <v>4</v>
      </c>
      <c r="D1584" s="9">
        <v>8000</v>
      </c>
      <c r="E1584" s="9">
        <f>+Tablo3[[#This Row],[Birim Fiyat]]*Tablo3[[#This Row],[Satış Adet]]</f>
        <v>32000</v>
      </c>
      <c r="F1584" s="9">
        <v>8000</v>
      </c>
      <c r="G1584" t="s">
        <v>58</v>
      </c>
      <c r="H1584" t="s">
        <v>39</v>
      </c>
    </row>
    <row r="1585" spans="1:8" x14ac:dyDescent="0.25">
      <c r="A1585" t="s">
        <v>67</v>
      </c>
      <c r="B1585" t="s">
        <v>13</v>
      </c>
      <c r="C1585">
        <v>5</v>
      </c>
      <c r="D1585" s="9">
        <v>1400</v>
      </c>
      <c r="E1585" s="9">
        <f>+Tablo3[[#This Row],[Birim Fiyat]]*Tablo3[[#This Row],[Satış Adet]]</f>
        <v>7000</v>
      </c>
      <c r="F1585" s="9">
        <v>3000</v>
      </c>
      <c r="G1585" t="s">
        <v>58</v>
      </c>
      <c r="H1585" t="s">
        <v>24</v>
      </c>
    </row>
    <row r="1586" spans="1:8" x14ac:dyDescent="0.25">
      <c r="A1586" t="s">
        <v>36</v>
      </c>
      <c r="B1586" t="s">
        <v>37</v>
      </c>
      <c r="C1586">
        <v>4</v>
      </c>
      <c r="D1586" s="9">
        <v>10590</v>
      </c>
      <c r="E1586" s="9">
        <f>+Tablo3[[#This Row],[Birim Fiyat]]*Tablo3[[#This Row],[Satış Adet]]</f>
        <v>42360</v>
      </c>
      <c r="F1586" s="9">
        <v>18360</v>
      </c>
      <c r="G1586" t="s">
        <v>58</v>
      </c>
      <c r="H1586" t="s">
        <v>40</v>
      </c>
    </row>
    <row r="1587" spans="1:8" x14ac:dyDescent="0.25">
      <c r="A1587" t="s">
        <v>38</v>
      </c>
      <c r="B1587" t="s">
        <v>19</v>
      </c>
      <c r="C1587">
        <v>3</v>
      </c>
      <c r="D1587" s="9">
        <v>1350</v>
      </c>
      <c r="E1587" s="9">
        <f>+Tablo3[[#This Row],[Birim Fiyat]]*Tablo3[[#This Row],[Satış Adet]]</f>
        <v>4050</v>
      </c>
      <c r="F1587" s="9">
        <v>1650</v>
      </c>
      <c r="G1587" t="s">
        <v>58</v>
      </c>
      <c r="H1587" t="s">
        <v>20</v>
      </c>
    </row>
    <row r="1588" spans="1:8" x14ac:dyDescent="0.25">
      <c r="A1588" t="s">
        <v>30</v>
      </c>
      <c r="B1588" t="s">
        <v>13</v>
      </c>
      <c r="C1588">
        <v>3</v>
      </c>
      <c r="D1588" s="9">
        <v>1400</v>
      </c>
      <c r="E1588" s="9">
        <f>+Tablo3[[#This Row],[Birim Fiyat]]*Tablo3[[#This Row],[Satış Adet]]</f>
        <v>4200</v>
      </c>
      <c r="F1588" s="9">
        <v>1800</v>
      </c>
      <c r="G1588" t="s">
        <v>58</v>
      </c>
      <c r="H1588" t="s">
        <v>52</v>
      </c>
    </row>
    <row r="1589" spans="1:8" x14ac:dyDescent="0.25">
      <c r="A1589" t="s">
        <v>18</v>
      </c>
      <c r="B1589" t="s">
        <v>9</v>
      </c>
      <c r="C1589">
        <v>2</v>
      </c>
      <c r="D1589" s="9">
        <v>6000</v>
      </c>
      <c r="E1589" s="9">
        <f>+Tablo3[[#This Row],[Birim Fiyat]]*Tablo3[[#This Row],[Satış Adet]]</f>
        <v>12000</v>
      </c>
      <c r="F1589" s="9">
        <v>4000</v>
      </c>
      <c r="G1589" t="s">
        <v>58</v>
      </c>
      <c r="H1589" t="s">
        <v>29</v>
      </c>
    </row>
    <row r="1590" spans="1:8" x14ac:dyDescent="0.25">
      <c r="A1590" t="s">
        <v>36</v>
      </c>
      <c r="B1590" t="s">
        <v>26</v>
      </c>
      <c r="C1590">
        <v>5</v>
      </c>
      <c r="D1590" s="9">
        <v>1100</v>
      </c>
      <c r="E1590" s="9">
        <f>+Tablo3[[#This Row],[Birim Fiyat]]*Tablo3[[#This Row],[Satış Adet]]</f>
        <v>5500</v>
      </c>
      <c r="F1590" s="9">
        <v>1500</v>
      </c>
      <c r="G1590" t="s">
        <v>58</v>
      </c>
      <c r="H1590" t="s">
        <v>42</v>
      </c>
    </row>
    <row r="1591" spans="1:8" x14ac:dyDescent="0.25">
      <c r="A1591" t="s">
        <v>15</v>
      </c>
      <c r="B1591" t="s">
        <v>9</v>
      </c>
      <c r="C1591">
        <v>3</v>
      </c>
      <c r="D1591" s="9">
        <v>6000</v>
      </c>
      <c r="E1591" s="9">
        <f>+Tablo3[[#This Row],[Birim Fiyat]]*Tablo3[[#This Row],[Satış Adet]]</f>
        <v>18000</v>
      </c>
      <c r="F1591" s="9">
        <v>6000</v>
      </c>
      <c r="G1591" t="s">
        <v>58</v>
      </c>
      <c r="H1591" t="s">
        <v>29</v>
      </c>
    </row>
    <row r="1592" spans="1:8" x14ac:dyDescent="0.25">
      <c r="A1592" t="s">
        <v>38</v>
      </c>
      <c r="B1592" t="s">
        <v>41</v>
      </c>
      <c r="C1592">
        <v>2</v>
      </c>
      <c r="D1592" s="9">
        <v>1490</v>
      </c>
      <c r="E1592" s="9">
        <f>+Tablo3[[#This Row],[Birim Fiyat]]*Tablo3[[#This Row],[Satış Adet]]</f>
        <v>2980</v>
      </c>
      <c r="F1592" s="9">
        <v>1380</v>
      </c>
      <c r="G1592" t="s">
        <v>58</v>
      </c>
      <c r="H1592" t="s">
        <v>44</v>
      </c>
    </row>
    <row r="1593" spans="1:8" x14ac:dyDescent="0.25">
      <c r="A1593" t="s">
        <v>36</v>
      </c>
      <c r="B1593" t="s">
        <v>37</v>
      </c>
      <c r="C1593">
        <v>2</v>
      </c>
      <c r="D1593" s="9">
        <v>10590</v>
      </c>
      <c r="E1593" s="9">
        <f>+Tablo3[[#This Row],[Birim Fiyat]]*Tablo3[[#This Row],[Satış Adet]]</f>
        <v>21180</v>
      </c>
      <c r="F1593" s="9">
        <v>9180</v>
      </c>
      <c r="G1593" t="s">
        <v>58</v>
      </c>
      <c r="H1593" t="s">
        <v>20</v>
      </c>
    </row>
    <row r="1594" spans="1:8" x14ac:dyDescent="0.25">
      <c r="A1594" t="s">
        <v>15</v>
      </c>
      <c r="B1594" t="s">
        <v>34</v>
      </c>
      <c r="C1594">
        <v>4</v>
      </c>
      <c r="D1594" s="9">
        <v>8000</v>
      </c>
      <c r="E1594" s="9">
        <f>+Tablo3[[#This Row],[Birim Fiyat]]*Tablo3[[#This Row],[Satış Adet]]</f>
        <v>32000</v>
      </c>
      <c r="F1594" s="9">
        <v>8000</v>
      </c>
      <c r="G1594" t="s">
        <v>58</v>
      </c>
      <c r="H1594" t="s">
        <v>42</v>
      </c>
    </row>
    <row r="1595" spans="1:8" x14ac:dyDescent="0.25">
      <c r="A1595" t="s">
        <v>30</v>
      </c>
      <c r="B1595" t="s">
        <v>26</v>
      </c>
      <c r="C1595">
        <v>3</v>
      </c>
      <c r="D1595" s="9">
        <v>1100</v>
      </c>
      <c r="E1595" s="9">
        <f>+Tablo3[[#This Row],[Birim Fiyat]]*Tablo3[[#This Row],[Satış Adet]]</f>
        <v>3300</v>
      </c>
      <c r="F1595" s="9">
        <v>900</v>
      </c>
      <c r="G1595" t="s">
        <v>58</v>
      </c>
      <c r="H1595" t="s">
        <v>11</v>
      </c>
    </row>
    <row r="1596" spans="1:8" x14ac:dyDescent="0.25">
      <c r="A1596" t="s">
        <v>38</v>
      </c>
      <c r="B1596" t="s">
        <v>28</v>
      </c>
      <c r="C1596">
        <v>2</v>
      </c>
      <c r="D1596" s="9">
        <v>1200</v>
      </c>
      <c r="E1596" s="9">
        <f>+Tablo3[[#This Row],[Birim Fiyat]]*Tablo3[[#This Row],[Satış Adet]]</f>
        <v>2400</v>
      </c>
      <c r="F1596" s="9">
        <v>800</v>
      </c>
      <c r="G1596" t="s">
        <v>58</v>
      </c>
      <c r="H1596" t="s">
        <v>35</v>
      </c>
    </row>
    <row r="1597" spans="1:8" x14ac:dyDescent="0.25">
      <c r="A1597" t="s">
        <v>22</v>
      </c>
      <c r="B1597" t="s">
        <v>43</v>
      </c>
      <c r="C1597">
        <v>3</v>
      </c>
      <c r="D1597" s="9">
        <v>4200</v>
      </c>
      <c r="E1597" s="9">
        <f>+Tablo3[[#This Row],[Birim Fiyat]]*Tablo3[[#This Row],[Satış Adet]]</f>
        <v>12600</v>
      </c>
      <c r="F1597" s="9">
        <v>3600</v>
      </c>
      <c r="G1597" t="s">
        <v>58</v>
      </c>
      <c r="H1597" t="s">
        <v>24</v>
      </c>
    </row>
    <row r="1598" spans="1:8" x14ac:dyDescent="0.25">
      <c r="A1598" t="s">
        <v>12</v>
      </c>
      <c r="B1598" t="s">
        <v>45</v>
      </c>
      <c r="C1598">
        <v>2</v>
      </c>
      <c r="D1598" s="9">
        <v>5775</v>
      </c>
      <c r="E1598" s="9">
        <f>+Tablo3[[#This Row],[Birim Fiyat]]*Tablo3[[#This Row],[Satış Adet]]</f>
        <v>11550</v>
      </c>
      <c r="F1598" s="9">
        <v>3550</v>
      </c>
      <c r="G1598" t="s">
        <v>58</v>
      </c>
      <c r="H1598" t="s">
        <v>29</v>
      </c>
    </row>
    <row r="1599" spans="1:8" x14ac:dyDescent="0.25">
      <c r="A1599" t="s">
        <v>46</v>
      </c>
      <c r="B1599" t="s">
        <v>23</v>
      </c>
      <c r="C1599">
        <v>4</v>
      </c>
      <c r="D1599" s="9">
        <v>7600</v>
      </c>
      <c r="E1599" s="9">
        <f>+Tablo3[[#This Row],[Birim Fiyat]]*Tablo3[[#This Row],[Satış Adet]]</f>
        <v>30400</v>
      </c>
      <c r="F1599" s="9">
        <v>6400</v>
      </c>
      <c r="G1599" t="s">
        <v>58</v>
      </c>
      <c r="H1599" t="s">
        <v>42</v>
      </c>
    </row>
    <row r="1600" spans="1:8" x14ac:dyDescent="0.25">
      <c r="A1600" t="s">
        <v>12</v>
      </c>
      <c r="B1600" t="s">
        <v>25</v>
      </c>
      <c r="C1600">
        <v>2</v>
      </c>
      <c r="D1600" s="9">
        <v>7250</v>
      </c>
      <c r="E1600" s="9">
        <f>+Tablo3[[#This Row],[Birim Fiyat]]*Tablo3[[#This Row],[Satış Adet]]</f>
        <v>14500</v>
      </c>
      <c r="F1600" s="9">
        <v>4500</v>
      </c>
      <c r="G1600" t="s">
        <v>58</v>
      </c>
      <c r="H1600" t="s">
        <v>40</v>
      </c>
    </row>
    <row r="1601" spans="1:8" x14ac:dyDescent="0.25">
      <c r="A1601" t="s">
        <v>8</v>
      </c>
      <c r="B1601" t="s">
        <v>25</v>
      </c>
      <c r="C1601">
        <v>3</v>
      </c>
      <c r="D1601" s="9">
        <v>7250</v>
      </c>
      <c r="E1601" s="9">
        <f>+Tablo3[[#This Row],[Birim Fiyat]]*Tablo3[[#This Row],[Satış Adet]]</f>
        <v>21750</v>
      </c>
      <c r="F1601" s="9">
        <v>6750</v>
      </c>
      <c r="G1601" t="s">
        <v>58</v>
      </c>
      <c r="H1601" t="s">
        <v>27</v>
      </c>
    </row>
    <row r="1602" spans="1:8" x14ac:dyDescent="0.25">
      <c r="A1602" t="s">
        <v>36</v>
      </c>
      <c r="B1602" t="s">
        <v>25</v>
      </c>
      <c r="C1602">
        <v>3</v>
      </c>
      <c r="D1602" s="9">
        <v>7250</v>
      </c>
      <c r="E1602" s="9">
        <f>+Tablo3[[#This Row],[Birim Fiyat]]*Tablo3[[#This Row],[Satış Adet]]</f>
        <v>21750</v>
      </c>
      <c r="F1602" s="9">
        <v>6750</v>
      </c>
      <c r="G1602" t="s">
        <v>58</v>
      </c>
      <c r="H1602" t="s">
        <v>35</v>
      </c>
    </row>
    <row r="1603" spans="1:8" x14ac:dyDescent="0.25">
      <c r="A1603" t="s">
        <v>67</v>
      </c>
      <c r="B1603" t="s">
        <v>19</v>
      </c>
      <c r="C1603">
        <v>5</v>
      </c>
      <c r="D1603" s="9">
        <v>1350</v>
      </c>
      <c r="E1603" s="9">
        <f>+Tablo3[[#This Row],[Birim Fiyat]]*Tablo3[[#This Row],[Satış Adet]]</f>
        <v>6750</v>
      </c>
      <c r="F1603" s="9">
        <v>2750</v>
      </c>
      <c r="G1603" t="s">
        <v>58</v>
      </c>
      <c r="H1603" t="s">
        <v>29</v>
      </c>
    </row>
    <row r="1604" spans="1:8" x14ac:dyDescent="0.25">
      <c r="A1604" t="s">
        <v>12</v>
      </c>
      <c r="B1604" t="s">
        <v>25</v>
      </c>
      <c r="C1604">
        <v>5</v>
      </c>
      <c r="D1604" s="9">
        <v>7250</v>
      </c>
      <c r="E1604" s="9">
        <f>+Tablo3[[#This Row],[Birim Fiyat]]*Tablo3[[#This Row],[Satış Adet]]</f>
        <v>36250</v>
      </c>
      <c r="F1604" s="9">
        <v>11250</v>
      </c>
      <c r="G1604" t="s">
        <v>58</v>
      </c>
      <c r="H1604" t="s">
        <v>52</v>
      </c>
    </row>
    <row r="1605" spans="1:8" x14ac:dyDescent="0.25">
      <c r="A1605" t="s">
        <v>30</v>
      </c>
      <c r="B1605" t="s">
        <v>23</v>
      </c>
      <c r="C1605">
        <v>5</v>
      </c>
      <c r="D1605" s="9">
        <v>7600</v>
      </c>
      <c r="E1605" s="9">
        <f>+Tablo3[[#This Row],[Birim Fiyat]]*Tablo3[[#This Row],[Satış Adet]]</f>
        <v>38000</v>
      </c>
      <c r="F1605" s="9">
        <v>8000</v>
      </c>
      <c r="G1605" t="s">
        <v>58</v>
      </c>
      <c r="H1605" t="s">
        <v>14</v>
      </c>
    </row>
    <row r="1606" spans="1:8" x14ac:dyDescent="0.25">
      <c r="A1606" t="s">
        <v>48</v>
      </c>
      <c r="B1606" t="s">
        <v>23</v>
      </c>
      <c r="C1606">
        <v>4</v>
      </c>
      <c r="D1606" s="9">
        <v>7600</v>
      </c>
      <c r="E1606" s="9">
        <f>+Tablo3[[#This Row],[Birim Fiyat]]*Tablo3[[#This Row],[Satış Adet]]</f>
        <v>30400</v>
      </c>
      <c r="F1606" s="9">
        <v>6400</v>
      </c>
      <c r="G1606" t="s">
        <v>58</v>
      </c>
      <c r="H1606" t="s">
        <v>20</v>
      </c>
    </row>
    <row r="1607" spans="1:8" x14ac:dyDescent="0.25">
      <c r="A1607" t="s">
        <v>12</v>
      </c>
      <c r="B1607" t="s">
        <v>41</v>
      </c>
      <c r="C1607">
        <v>4</v>
      </c>
      <c r="D1607" s="9">
        <v>1490</v>
      </c>
      <c r="E1607" s="9">
        <f>+Tablo3[[#This Row],[Birim Fiyat]]*Tablo3[[#This Row],[Satış Adet]]</f>
        <v>5960</v>
      </c>
      <c r="F1607" s="9">
        <v>2760</v>
      </c>
      <c r="G1607" t="s">
        <v>58</v>
      </c>
      <c r="H1607" t="s">
        <v>17</v>
      </c>
    </row>
    <row r="1608" spans="1:8" x14ac:dyDescent="0.25">
      <c r="A1608" t="s">
        <v>67</v>
      </c>
      <c r="B1608" t="s">
        <v>49</v>
      </c>
      <c r="C1608">
        <v>5</v>
      </c>
      <c r="D1608" s="9">
        <v>2900</v>
      </c>
      <c r="E1608" s="9">
        <f>+Tablo3[[#This Row],[Birim Fiyat]]*Tablo3[[#This Row],[Satış Adet]]</f>
        <v>14500</v>
      </c>
      <c r="F1608" s="9">
        <v>4500</v>
      </c>
      <c r="G1608" t="s">
        <v>58</v>
      </c>
      <c r="H1608" t="s">
        <v>44</v>
      </c>
    </row>
    <row r="1609" spans="1:8" x14ac:dyDescent="0.25">
      <c r="A1609" t="s">
        <v>38</v>
      </c>
      <c r="B1609" t="s">
        <v>41</v>
      </c>
      <c r="C1609">
        <v>4</v>
      </c>
      <c r="D1609" s="9">
        <v>1490</v>
      </c>
      <c r="E1609" s="9">
        <f>+Tablo3[[#This Row],[Birim Fiyat]]*Tablo3[[#This Row],[Satış Adet]]</f>
        <v>5960</v>
      </c>
      <c r="F1609" s="9">
        <v>2760</v>
      </c>
      <c r="G1609" t="s">
        <v>58</v>
      </c>
      <c r="H1609" t="s">
        <v>14</v>
      </c>
    </row>
    <row r="1610" spans="1:8" x14ac:dyDescent="0.25">
      <c r="A1610" t="s">
        <v>38</v>
      </c>
      <c r="B1610" t="s">
        <v>32</v>
      </c>
      <c r="C1610">
        <v>2</v>
      </c>
      <c r="D1610" s="9">
        <v>1090</v>
      </c>
      <c r="E1610" s="9">
        <f>+Tablo3[[#This Row],[Birim Fiyat]]*Tablo3[[#This Row],[Satış Adet]]</f>
        <v>2180</v>
      </c>
      <c r="F1610" s="9">
        <v>580</v>
      </c>
      <c r="G1610" t="s">
        <v>58</v>
      </c>
      <c r="H1610" t="s">
        <v>27</v>
      </c>
    </row>
    <row r="1611" spans="1:8" x14ac:dyDescent="0.25">
      <c r="A1611" t="s">
        <v>67</v>
      </c>
      <c r="B1611" t="s">
        <v>28</v>
      </c>
      <c r="C1611">
        <v>3</v>
      </c>
      <c r="D1611" s="9">
        <v>1200</v>
      </c>
      <c r="E1611" s="9">
        <f>+Tablo3[[#This Row],[Birim Fiyat]]*Tablo3[[#This Row],[Satış Adet]]</f>
        <v>3600</v>
      </c>
      <c r="F1611" s="9">
        <v>1200</v>
      </c>
      <c r="G1611" t="s">
        <v>58</v>
      </c>
      <c r="H1611" t="s">
        <v>52</v>
      </c>
    </row>
    <row r="1612" spans="1:8" x14ac:dyDescent="0.25">
      <c r="A1612" t="s">
        <v>36</v>
      </c>
      <c r="B1612" t="s">
        <v>37</v>
      </c>
      <c r="C1612">
        <v>4</v>
      </c>
      <c r="D1612" s="9">
        <v>10590</v>
      </c>
      <c r="E1612" s="9">
        <f>+Tablo3[[#This Row],[Birim Fiyat]]*Tablo3[[#This Row],[Satış Adet]]</f>
        <v>42360</v>
      </c>
      <c r="F1612" s="9">
        <v>18360</v>
      </c>
      <c r="G1612" t="s">
        <v>58</v>
      </c>
      <c r="H1612" t="s">
        <v>29</v>
      </c>
    </row>
    <row r="1613" spans="1:8" x14ac:dyDescent="0.25">
      <c r="A1613" t="s">
        <v>30</v>
      </c>
      <c r="B1613" t="s">
        <v>43</v>
      </c>
      <c r="C1613">
        <v>2</v>
      </c>
      <c r="D1613" s="9">
        <v>4200</v>
      </c>
      <c r="E1613" s="9">
        <f>+Tablo3[[#This Row],[Birim Fiyat]]*Tablo3[[#This Row],[Satış Adet]]</f>
        <v>8400</v>
      </c>
      <c r="F1613" s="9">
        <v>2400</v>
      </c>
      <c r="G1613" t="s">
        <v>58</v>
      </c>
      <c r="H1613" t="s">
        <v>35</v>
      </c>
    </row>
    <row r="1614" spans="1:8" x14ac:dyDescent="0.25">
      <c r="A1614" t="s">
        <v>18</v>
      </c>
      <c r="B1614" t="s">
        <v>43</v>
      </c>
      <c r="C1614">
        <v>5</v>
      </c>
      <c r="D1614" s="9">
        <v>4200</v>
      </c>
      <c r="E1614" s="9">
        <f>+Tablo3[[#This Row],[Birim Fiyat]]*Tablo3[[#This Row],[Satış Adet]]</f>
        <v>21000</v>
      </c>
      <c r="F1614" s="9">
        <v>6000</v>
      </c>
      <c r="G1614" t="s">
        <v>58</v>
      </c>
      <c r="H1614" t="s">
        <v>17</v>
      </c>
    </row>
    <row r="1615" spans="1:8" x14ac:dyDescent="0.25">
      <c r="A1615" t="s">
        <v>33</v>
      </c>
      <c r="B1615" t="s">
        <v>37</v>
      </c>
      <c r="C1615">
        <v>2</v>
      </c>
      <c r="D1615" s="9">
        <v>10590</v>
      </c>
      <c r="E1615" s="9">
        <f>+Tablo3[[#This Row],[Birim Fiyat]]*Tablo3[[#This Row],[Satış Adet]]</f>
        <v>21180</v>
      </c>
      <c r="F1615" s="9">
        <v>9180</v>
      </c>
      <c r="G1615" t="s">
        <v>58</v>
      </c>
      <c r="H1615" t="s">
        <v>17</v>
      </c>
    </row>
    <row r="1616" spans="1:8" x14ac:dyDescent="0.25">
      <c r="A1616" t="s">
        <v>48</v>
      </c>
      <c r="B1616" t="s">
        <v>50</v>
      </c>
      <c r="C1616">
        <v>4</v>
      </c>
      <c r="D1616" s="9">
        <v>1250</v>
      </c>
      <c r="E1616" s="9">
        <f>+Tablo3[[#This Row],[Birim Fiyat]]*Tablo3[[#This Row],[Satış Adet]]</f>
        <v>5000</v>
      </c>
      <c r="F1616" s="9">
        <v>1800</v>
      </c>
      <c r="G1616" t="s">
        <v>58</v>
      </c>
      <c r="H1616" t="s">
        <v>20</v>
      </c>
    </row>
    <row r="1617" spans="1:8" x14ac:dyDescent="0.25">
      <c r="A1617" t="s">
        <v>8</v>
      </c>
      <c r="B1617" t="s">
        <v>41</v>
      </c>
      <c r="C1617">
        <v>4</v>
      </c>
      <c r="D1617" s="9">
        <v>1490</v>
      </c>
      <c r="E1617" s="9">
        <f>+Tablo3[[#This Row],[Birim Fiyat]]*Tablo3[[#This Row],[Satış Adet]]</f>
        <v>5960</v>
      </c>
      <c r="F1617" s="9">
        <v>2760</v>
      </c>
      <c r="G1617" t="s">
        <v>58</v>
      </c>
      <c r="H1617" t="s">
        <v>42</v>
      </c>
    </row>
    <row r="1618" spans="1:8" x14ac:dyDescent="0.25">
      <c r="A1618" t="s">
        <v>30</v>
      </c>
      <c r="B1618" t="s">
        <v>28</v>
      </c>
      <c r="C1618">
        <v>4</v>
      </c>
      <c r="D1618" s="9">
        <v>1200</v>
      </c>
      <c r="E1618" s="9">
        <f>+Tablo3[[#This Row],[Birim Fiyat]]*Tablo3[[#This Row],[Satış Adet]]</f>
        <v>4800</v>
      </c>
      <c r="F1618" s="9">
        <v>1600</v>
      </c>
      <c r="G1618" t="s">
        <v>58</v>
      </c>
      <c r="H1618" t="s">
        <v>42</v>
      </c>
    </row>
    <row r="1619" spans="1:8" x14ac:dyDescent="0.25">
      <c r="A1619" t="s">
        <v>15</v>
      </c>
      <c r="B1619" t="s">
        <v>21</v>
      </c>
      <c r="C1619">
        <v>3</v>
      </c>
      <c r="D1619" s="9">
        <v>2180</v>
      </c>
      <c r="E1619" s="9">
        <f>+Tablo3[[#This Row],[Birim Fiyat]]*Tablo3[[#This Row],[Satış Adet]]</f>
        <v>6540</v>
      </c>
      <c r="F1619" s="9">
        <v>2040</v>
      </c>
      <c r="G1619" t="s">
        <v>58</v>
      </c>
      <c r="H1619" t="s">
        <v>52</v>
      </c>
    </row>
    <row r="1620" spans="1:8" x14ac:dyDescent="0.25">
      <c r="A1620" t="s">
        <v>38</v>
      </c>
      <c r="B1620" t="s">
        <v>51</v>
      </c>
      <c r="C1620">
        <v>2</v>
      </c>
      <c r="D1620" s="9">
        <v>1200</v>
      </c>
      <c r="E1620" s="9">
        <f>+Tablo3[[#This Row],[Birim Fiyat]]*Tablo3[[#This Row],[Satış Adet]]</f>
        <v>2400</v>
      </c>
      <c r="F1620" s="9">
        <v>800</v>
      </c>
      <c r="G1620" t="s">
        <v>58</v>
      </c>
      <c r="H1620" t="s">
        <v>52</v>
      </c>
    </row>
    <row r="1621" spans="1:8" x14ac:dyDescent="0.25">
      <c r="A1621" t="s">
        <v>8</v>
      </c>
      <c r="B1621" t="s">
        <v>31</v>
      </c>
      <c r="C1621">
        <v>4</v>
      </c>
      <c r="D1621" s="9">
        <v>1800</v>
      </c>
      <c r="E1621" s="9">
        <f>+Tablo3[[#This Row],[Birim Fiyat]]*Tablo3[[#This Row],[Satış Adet]]</f>
        <v>7200</v>
      </c>
      <c r="F1621" s="9">
        <v>4000</v>
      </c>
      <c r="G1621" t="s">
        <v>58</v>
      </c>
      <c r="H1621" t="s">
        <v>14</v>
      </c>
    </row>
    <row r="1622" spans="1:8" x14ac:dyDescent="0.25">
      <c r="A1622" t="s">
        <v>15</v>
      </c>
      <c r="B1622" t="s">
        <v>23</v>
      </c>
      <c r="C1622">
        <v>2</v>
      </c>
      <c r="D1622" s="9">
        <v>7600</v>
      </c>
      <c r="E1622" s="9">
        <f>+Tablo3[[#This Row],[Birim Fiyat]]*Tablo3[[#This Row],[Satış Adet]]</f>
        <v>15200</v>
      </c>
      <c r="F1622" s="9">
        <v>3200</v>
      </c>
      <c r="G1622" t="s">
        <v>58</v>
      </c>
      <c r="H1622" t="s">
        <v>11</v>
      </c>
    </row>
    <row r="1623" spans="1:8" x14ac:dyDescent="0.25">
      <c r="A1623" t="s">
        <v>33</v>
      </c>
      <c r="B1623" t="s">
        <v>53</v>
      </c>
      <c r="C1623">
        <v>4</v>
      </c>
      <c r="D1623" s="9">
        <v>7530</v>
      </c>
      <c r="E1623" s="9">
        <f>+Tablo3[[#This Row],[Birim Fiyat]]*Tablo3[[#This Row],[Satış Adet]]</f>
        <v>30120</v>
      </c>
      <c r="F1623" s="9">
        <v>6120</v>
      </c>
      <c r="G1623" t="s">
        <v>58</v>
      </c>
      <c r="H1623" t="s">
        <v>52</v>
      </c>
    </row>
    <row r="1624" spans="1:8" x14ac:dyDescent="0.25">
      <c r="A1624" t="s">
        <v>48</v>
      </c>
      <c r="B1624" t="s">
        <v>41</v>
      </c>
      <c r="C1624">
        <v>2</v>
      </c>
      <c r="D1624" s="9">
        <v>1490</v>
      </c>
      <c r="E1624" s="9">
        <f>+Tablo3[[#This Row],[Birim Fiyat]]*Tablo3[[#This Row],[Satış Adet]]</f>
        <v>2980</v>
      </c>
      <c r="F1624" s="9">
        <v>1380</v>
      </c>
      <c r="G1624" t="s">
        <v>58</v>
      </c>
      <c r="H1624" t="s">
        <v>29</v>
      </c>
    </row>
    <row r="1625" spans="1:8" x14ac:dyDescent="0.25">
      <c r="A1625" t="s">
        <v>8</v>
      </c>
      <c r="B1625" t="s">
        <v>54</v>
      </c>
      <c r="C1625">
        <v>3</v>
      </c>
      <c r="D1625" s="9">
        <v>5300</v>
      </c>
      <c r="E1625" s="9">
        <f>+Tablo3[[#This Row],[Birim Fiyat]]*Tablo3[[#This Row],[Satış Adet]]</f>
        <v>15900</v>
      </c>
      <c r="F1625" s="9">
        <v>3900</v>
      </c>
      <c r="G1625" t="s">
        <v>58</v>
      </c>
      <c r="H1625" t="s">
        <v>14</v>
      </c>
    </row>
    <row r="1626" spans="1:8" x14ac:dyDescent="0.25">
      <c r="A1626" t="s">
        <v>22</v>
      </c>
      <c r="B1626" t="s">
        <v>28</v>
      </c>
      <c r="C1626">
        <v>3</v>
      </c>
      <c r="D1626" s="9">
        <v>1200</v>
      </c>
      <c r="E1626" s="9">
        <f>+Tablo3[[#This Row],[Birim Fiyat]]*Tablo3[[#This Row],[Satış Adet]]</f>
        <v>3600</v>
      </c>
      <c r="F1626" s="9">
        <v>1200</v>
      </c>
      <c r="G1626" t="s">
        <v>58</v>
      </c>
      <c r="H1626" t="s">
        <v>29</v>
      </c>
    </row>
    <row r="1627" spans="1:8" x14ac:dyDescent="0.25">
      <c r="A1627" t="s">
        <v>38</v>
      </c>
      <c r="B1627" t="s">
        <v>32</v>
      </c>
      <c r="C1627">
        <v>2</v>
      </c>
      <c r="D1627" s="9">
        <v>1090</v>
      </c>
      <c r="E1627" s="9">
        <f>+Tablo3[[#This Row],[Birim Fiyat]]*Tablo3[[#This Row],[Satış Adet]]</f>
        <v>2180</v>
      </c>
      <c r="F1627" s="9">
        <v>580</v>
      </c>
      <c r="G1627" t="s">
        <v>58</v>
      </c>
      <c r="H1627" t="s">
        <v>35</v>
      </c>
    </row>
    <row r="1628" spans="1:8" x14ac:dyDescent="0.25">
      <c r="A1628" t="s">
        <v>22</v>
      </c>
      <c r="B1628" t="s">
        <v>25</v>
      </c>
      <c r="C1628">
        <v>5</v>
      </c>
      <c r="D1628" s="9">
        <v>7250</v>
      </c>
      <c r="E1628" s="9">
        <f>+Tablo3[[#This Row],[Birim Fiyat]]*Tablo3[[#This Row],[Satış Adet]]</f>
        <v>36250</v>
      </c>
      <c r="F1628" s="9">
        <v>11250</v>
      </c>
      <c r="G1628" t="s">
        <v>58</v>
      </c>
      <c r="H1628" t="s">
        <v>29</v>
      </c>
    </row>
    <row r="1629" spans="1:8" x14ac:dyDescent="0.25">
      <c r="A1629" t="s">
        <v>46</v>
      </c>
      <c r="B1629" t="s">
        <v>13</v>
      </c>
      <c r="C1629">
        <v>2</v>
      </c>
      <c r="D1629" s="9">
        <v>1400</v>
      </c>
      <c r="E1629" s="9">
        <f>+Tablo3[[#This Row],[Birim Fiyat]]*Tablo3[[#This Row],[Satış Adet]]</f>
        <v>2800</v>
      </c>
      <c r="F1629" s="9">
        <v>1200</v>
      </c>
      <c r="G1629" t="s">
        <v>58</v>
      </c>
      <c r="H1629" t="s">
        <v>42</v>
      </c>
    </row>
    <row r="1630" spans="1:8" x14ac:dyDescent="0.25">
      <c r="A1630" t="s">
        <v>15</v>
      </c>
      <c r="B1630" t="s">
        <v>55</v>
      </c>
      <c r="C1630">
        <v>2</v>
      </c>
      <c r="D1630" s="9">
        <v>1500</v>
      </c>
      <c r="E1630" s="9">
        <f>+Tablo3[[#This Row],[Birim Fiyat]]*Tablo3[[#This Row],[Satış Adet]]</f>
        <v>3000</v>
      </c>
      <c r="F1630" s="9">
        <v>1400</v>
      </c>
      <c r="G1630" t="s">
        <v>58</v>
      </c>
      <c r="H1630" t="s">
        <v>20</v>
      </c>
    </row>
    <row r="1631" spans="1:8" x14ac:dyDescent="0.25">
      <c r="A1631" t="s">
        <v>33</v>
      </c>
      <c r="B1631" t="s">
        <v>19</v>
      </c>
      <c r="C1631">
        <v>3</v>
      </c>
      <c r="D1631" s="9">
        <v>1350</v>
      </c>
      <c r="E1631" s="9">
        <f>+Tablo3[[#This Row],[Birim Fiyat]]*Tablo3[[#This Row],[Satış Adet]]</f>
        <v>4050</v>
      </c>
      <c r="F1631" s="9">
        <v>1650</v>
      </c>
      <c r="G1631" t="s">
        <v>58</v>
      </c>
      <c r="H1631" t="s">
        <v>20</v>
      </c>
    </row>
    <row r="1632" spans="1:8" x14ac:dyDescent="0.25">
      <c r="A1632" t="s">
        <v>33</v>
      </c>
      <c r="B1632" t="s">
        <v>28</v>
      </c>
      <c r="C1632">
        <v>2</v>
      </c>
      <c r="D1632" s="9">
        <v>1200</v>
      </c>
      <c r="E1632" s="9">
        <f>+Tablo3[[#This Row],[Birim Fiyat]]*Tablo3[[#This Row],[Satış Adet]]</f>
        <v>2400</v>
      </c>
      <c r="F1632" s="9">
        <v>800</v>
      </c>
      <c r="G1632" t="s">
        <v>58</v>
      </c>
      <c r="H1632" t="s">
        <v>52</v>
      </c>
    </row>
    <row r="1633" spans="1:8" x14ac:dyDescent="0.25">
      <c r="A1633" t="s">
        <v>12</v>
      </c>
      <c r="B1633" t="s">
        <v>53</v>
      </c>
      <c r="C1633">
        <v>5</v>
      </c>
      <c r="D1633" s="9">
        <v>7530</v>
      </c>
      <c r="E1633" s="9">
        <f>+Tablo3[[#This Row],[Birim Fiyat]]*Tablo3[[#This Row],[Satış Adet]]</f>
        <v>37650</v>
      </c>
      <c r="F1633" s="9">
        <v>7650</v>
      </c>
      <c r="G1633" t="s">
        <v>58</v>
      </c>
      <c r="H1633" t="s">
        <v>14</v>
      </c>
    </row>
    <row r="1634" spans="1:8" x14ac:dyDescent="0.25">
      <c r="A1634" t="s">
        <v>46</v>
      </c>
      <c r="B1634" t="s">
        <v>28</v>
      </c>
      <c r="C1634">
        <v>5</v>
      </c>
      <c r="D1634" s="9">
        <v>1200</v>
      </c>
      <c r="E1634" s="9">
        <f>+Tablo3[[#This Row],[Birim Fiyat]]*Tablo3[[#This Row],[Satış Adet]]</f>
        <v>6000</v>
      </c>
      <c r="F1634" s="9">
        <v>2000</v>
      </c>
      <c r="G1634" t="s">
        <v>58</v>
      </c>
      <c r="H1634" t="s">
        <v>24</v>
      </c>
    </row>
    <row r="1635" spans="1:8" x14ac:dyDescent="0.25">
      <c r="A1635" t="s">
        <v>36</v>
      </c>
      <c r="B1635" t="s">
        <v>31</v>
      </c>
      <c r="C1635">
        <v>3</v>
      </c>
      <c r="D1635" s="9">
        <v>1800</v>
      </c>
      <c r="E1635" s="9">
        <f>+Tablo3[[#This Row],[Birim Fiyat]]*Tablo3[[#This Row],[Satış Adet]]</f>
        <v>5400</v>
      </c>
      <c r="F1635" s="9">
        <v>3000</v>
      </c>
      <c r="G1635" t="s">
        <v>58</v>
      </c>
      <c r="H1635" t="s">
        <v>42</v>
      </c>
    </row>
    <row r="1636" spans="1:8" x14ac:dyDescent="0.25">
      <c r="A1636" t="s">
        <v>8</v>
      </c>
      <c r="B1636" t="s">
        <v>25</v>
      </c>
      <c r="C1636">
        <v>3</v>
      </c>
      <c r="D1636" s="9">
        <v>7250</v>
      </c>
      <c r="E1636" s="9">
        <f>+Tablo3[[#This Row],[Birim Fiyat]]*Tablo3[[#This Row],[Satış Adet]]</f>
        <v>21750</v>
      </c>
      <c r="F1636" s="9">
        <v>6750</v>
      </c>
      <c r="G1636" t="s">
        <v>58</v>
      </c>
      <c r="H1636" t="s">
        <v>52</v>
      </c>
    </row>
    <row r="1637" spans="1:8" x14ac:dyDescent="0.25">
      <c r="A1637" t="s">
        <v>38</v>
      </c>
      <c r="B1637" t="s">
        <v>41</v>
      </c>
      <c r="C1637">
        <v>2</v>
      </c>
      <c r="D1637" s="9">
        <v>1490</v>
      </c>
      <c r="E1637" s="9">
        <f>+Tablo3[[#This Row],[Birim Fiyat]]*Tablo3[[#This Row],[Satış Adet]]</f>
        <v>2980</v>
      </c>
      <c r="F1637" s="9">
        <v>1380</v>
      </c>
      <c r="G1637" t="s">
        <v>58</v>
      </c>
      <c r="H1637" t="s">
        <v>39</v>
      </c>
    </row>
    <row r="1638" spans="1:8" x14ac:dyDescent="0.25">
      <c r="A1638" t="s">
        <v>38</v>
      </c>
      <c r="B1638" t="s">
        <v>51</v>
      </c>
      <c r="C1638">
        <v>3</v>
      </c>
      <c r="D1638" s="9">
        <v>1200</v>
      </c>
      <c r="E1638" s="9">
        <f>+Tablo3[[#This Row],[Birim Fiyat]]*Tablo3[[#This Row],[Satış Adet]]</f>
        <v>3600</v>
      </c>
      <c r="F1638" s="9">
        <v>1200</v>
      </c>
      <c r="G1638" t="s">
        <v>58</v>
      </c>
      <c r="H1638" t="s">
        <v>29</v>
      </c>
    </row>
    <row r="1639" spans="1:8" x14ac:dyDescent="0.25">
      <c r="A1639" t="s">
        <v>12</v>
      </c>
      <c r="B1639" t="s">
        <v>34</v>
      </c>
      <c r="C1639">
        <v>5</v>
      </c>
      <c r="D1639" s="9">
        <v>8000</v>
      </c>
      <c r="E1639" s="9">
        <f>+Tablo3[[#This Row],[Birim Fiyat]]*Tablo3[[#This Row],[Satış Adet]]</f>
        <v>40000</v>
      </c>
      <c r="F1639" s="9">
        <v>10000</v>
      </c>
      <c r="G1639" t="s">
        <v>58</v>
      </c>
      <c r="H1639" t="s">
        <v>17</v>
      </c>
    </row>
    <row r="1640" spans="1:8" x14ac:dyDescent="0.25">
      <c r="A1640" t="s">
        <v>30</v>
      </c>
      <c r="B1640" t="s">
        <v>13</v>
      </c>
      <c r="C1640">
        <v>3</v>
      </c>
      <c r="D1640" s="9">
        <v>1400</v>
      </c>
      <c r="E1640" s="9">
        <f>+Tablo3[[#This Row],[Birim Fiyat]]*Tablo3[[#This Row],[Satış Adet]]</f>
        <v>4200</v>
      </c>
      <c r="F1640" s="9">
        <v>1800</v>
      </c>
      <c r="G1640" t="s">
        <v>58</v>
      </c>
      <c r="H1640" t="s">
        <v>52</v>
      </c>
    </row>
    <row r="1641" spans="1:8" x14ac:dyDescent="0.25">
      <c r="A1641" t="s">
        <v>67</v>
      </c>
      <c r="B1641" t="s">
        <v>19</v>
      </c>
      <c r="C1641">
        <v>2</v>
      </c>
      <c r="D1641" s="9">
        <v>1350</v>
      </c>
      <c r="E1641" s="9">
        <f>+Tablo3[[#This Row],[Birim Fiyat]]*Tablo3[[#This Row],[Satış Adet]]</f>
        <v>2700</v>
      </c>
      <c r="F1641" s="9">
        <v>1100</v>
      </c>
      <c r="G1641" t="s">
        <v>58</v>
      </c>
      <c r="H1641" t="s">
        <v>27</v>
      </c>
    </row>
    <row r="1642" spans="1:8" x14ac:dyDescent="0.25">
      <c r="A1642" t="s">
        <v>36</v>
      </c>
      <c r="B1642" t="s">
        <v>51</v>
      </c>
      <c r="C1642">
        <v>2</v>
      </c>
      <c r="D1642" s="9">
        <v>1200</v>
      </c>
      <c r="E1642" s="9">
        <f>+Tablo3[[#This Row],[Birim Fiyat]]*Tablo3[[#This Row],[Satış Adet]]</f>
        <v>2400</v>
      </c>
      <c r="F1642" s="9">
        <v>800</v>
      </c>
      <c r="G1642" t="s">
        <v>58</v>
      </c>
      <c r="H1642" t="s">
        <v>39</v>
      </c>
    </row>
    <row r="1643" spans="1:8" x14ac:dyDescent="0.25">
      <c r="A1643" t="s">
        <v>30</v>
      </c>
      <c r="B1643" t="s">
        <v>54</v>
      </c>
      <c r="C1643">
        <v>3</v>
      </c>
      <c r="D1643" s="9">
        <v>5300</v>
      </c>
      <c r="E1643" s="9">
        <f>+Tablo3[[#This Row],[Birim Fiyat]]*Tablo3[[#This Row],[Satış Adet]]</f>
        <v>15900</v>
      </c>
      <c r="F1643" s="9">
        <v>3900</v>
      </c>
      <c r="G1643" t="s">
        <v>58</v>
      </c>
      <c r="H1643" t="s">
        <v>52</v>
      </c>
    </row>
    <row r="1644" spans="1:8" x14ac:dyDescent="0.25">
      <c r="A1644" t="s">
        <v>38</v>
      </c>
      <c r="B1644" t="s">
        <v>37</v>
      </c>
      <c r="C1644">
        <v>2</v>
      </c>
      <c r="D1644" s="9">
        <v>10590</v>
      </c>
      <c r="E1644" s="9">
        <f>+Tablo3[[#This Row],[Birim Fiyat]]*Tablo3[[#This Row],[Satış Adet]]</f>
        <v>21180</v>
      </c>
      <c r="F1644" s="9">
        <v>9180</v>
      </c>
      <c r="G1644" t="s">
        <v>58</v>
      </c>
      <c r="H1644" t="s">
        <v>52</v>
      </c>
    </row>
    <row r="1645" spans="1:8" x14ac:dyDescent="0.25">
      <c r="A1645" t="s">
        <v>22</v>
      </c>
      <c r="B1645" t="s">
        <v>50</v>
      </c>
      <c r="C1645">
        <v>5</v>
      </c>
      <c r="D1645" s="9">
        <v>1250</v>
      </c>
      <c r="E1645" s="9">
        <f>+Tablo3[[#This Row],[Birim Fiyat]]*Tablo3[[#This Row],[Satış Adet]]</f>
        <v>6250</v>
      </c>
      <c r="F1645" s="9">
        <v>2250</v>
      </c>
      <c r="G1645" t="s">
        <v>58</v>
      </c>
      <c r="H1645" t="s">
        <v>39</v>
      </c>
    </row>
    <row r="1646" spans="1:8" x14ac:dyDescent="0.25">
      <c r="A1646" t="s">
        <v>48</v>
      </c>
      <c r="B1646" t="s">
        <v>51</v>
      </c>
      <c r="C1646">
        <v>2</v>
      </c>
      <c r="D1646" s="9">
        <v>1200</v>
      </c>
      <c r="E1646" s="9">
        <f>+Tablo3[[#This Row],[Birim Fiyat]]*Tablo3[[#This Row],[Satış Adet]]</f>
        <v>2400</v>
      </c>
      <c r="F1646" s="9">
        <v>800</v>
      </c>
      <c r="G1646" t="s">
        <v>58</v>
      </c>
      <c r="H1646" t="s">
        <v>17</v>
      </c>
    </row>
    <row r="1647" spans="1:8" x14ac:dyDescent="0.25">
      <c r="A1647" t="s">
        <v>22</v>
      </c>
      <c r="B1647" t="s">
        <v>13</v>
      </c>
      <c r="C1647">
        <v>2</v>
      </c>
      <c r="D1647" s="9">
        <v>1400</v>
      </c>
      <c r="E1647" s="9">
        <f>+Tablo3[[#This Row],[Birim Fiyat]]*Tablo3[[#This Row],[Satış Adet]]</f>
        <v>2800</v>
      </c>
      <c r="F1647" s="9">
        <v>1200</v>
      </c>
      <c r="G1647" t="s">
        <v>58</v>
      </c>
      <c r="H1647" t="s">
        <v>11</v>
      </c>
    </row>
    <row r="1648" spans="1:8" x14ac:dyDescent="0.25">
      <c r="A1648" t="s">
        <v>48</v>
      </c>
      <c r="B1648" t="s">
        <v>53</v>
      </c>
      <c r="C1648">
        <v>3</v>
      </c>
      <c r="D1648" s="9">
        <v>7530</v>
      </c>
      <c r="E1648" s="9">
        <f>+Tablo3[[#This Row],[Birim Fiyat]]*Tablo3[[#This Row],[Satış Adet]]</f>
        <v>22590</v>
      </c>
      <c r="F1648" s="9">
        <v>4590</v>
      </c>
      <c r="G1648" t="s">
        <v>58</v>
      </c>
      <c r="H1648" t="s">
        <v>14</v>
      </c>
    </row>
    <row r="1649" spans="1:8" x14ac:dyDescent="0.25">
      <c r="A1649" t="s">
        <v>30</v>
      </c>
      <c r="B1649" t="s">
        <v>23</v>
      </c>
      <c r="C1649">
        <v>3</v>
      </c>
      <c r="D1649" s="9">
        <v>7600</v>
      </c>
      <c r="E1649" s="9">
        <f>+Tablo3[[#This Row],[Birim Fiyat]]*Tablo3[[#This Row],[Satış Adet]]</f>
        <v>22800</v>
      </c>
      <c r="F1649" s="9">
        <v>4800</v>
      </c>
      <c r="G1649" t="s">
        <v>58</v>
      </c>
      <c r="H1649" t="s">
        <v>44</v>
      </c>
    </row>
    <row r="1650" spans="1:8" x14ac:dyDescent="0.25">
      <c r="A1650" t="s">
        <v>48</v>
      </c>
      <c r="B1650" t="s">
        <v>55</v>
      </c>
      <c r="C1650">
        <v>2</v>
      </c>
      <c r="D1650" s="9">
        <v>1500</v>
      </c>
      <c r="E1650" s="9">
        <f>+Tablo3[[#This Row],[Birim Fiyat]]*Tablo3[[#This Row],[Satış Adet]]</f>
        <v>3000</v>
      </c>
      <c r="F1650" s="9">
        <v>1400</v>
      </c>
      <c r="G1650" t="s">
        <v>58</v>
      </c>
      <c r="H1650" t="s">
        <v>29</v>
      </c>
    </row>
    <row r="1651" spans="1:8" x14ac:dyDescent="0.25">
      <c r="A1651" t="s">
        <v>38</v>
      </c>
      <c r="B1651" t="s">
        <v>21</v>
      </c>
      <c r="C1651">
        <v>5</v>
      </c>
      <c r="D1651" s="9">
        <v>2180</v>
      </c>
      <c r="E1651" s="9">
        <f>+Tablo3[[#This Row],[Birim Fiyat]]*Tablo3[[#This Row],[Satış Adet]]</f>
        <v>10900</v>
      </c>
      <c r="F1651" s="9">
        <v>3400</v>
      </c>
      <c r="G1651" t="s">
        <v>58</v>
      </c>
      <c r="H1651" t="s">
        <v>29</v>
      </c>
    </row>
    <row r="1652" spans="1:8" x14ac:dyDescent="0.25">
      <c r="A1652" t="s">
        <v>18</v>
      </c>
      <c r="B1652" t="s">
        <v>21</v>
      </c>
      <c r="C1652">
        <v>2</v>
      </c>
      <c r="D1652" s="9">
        <v>2180</v>
      </c>
      <c r="E1652" s="9">
        <f>+Tablo3[[#This Row],[Birim Fiyat]]*Tablo3[[#This Row],[Satış Adet]]</f>
        <v>4360</v>
      </c>
      <c r="F1652" s="9">
        <v>1360</v>
      </c>
      <c r="G1652" t="s">
        <v>58</v>
      </c>
      <c r="H1652" t="s">
        <v>40</v>
      </c>
    </row>
    <row r="1653" spans="1:8" x14ac:dyDescent="0.25">
      <c r="A1653" t="s">
        <v>38</v>
      </c>
      <c r="B1653" t="s">
        <v>45</v>
      </c>
      <c r="C1653">
        <v>2</v>
      </c>
      <c r="D1653" s="9">
        <v>5775</v>
      </c>
      <c r="E1653" s="9">
        <f>+Tablo3[[#This Row],[Birim Fiyat]]*Tablo3[[#This Row],[Satış Adet]]</f>
        <v>11550</v>
      </c>
      <c r="F1653" s="9">
        <v>3550</v>
      </c>
      <c r="G1653" t="s">
        <v>58</v>
      </c>
      <c r="H1653" t="s">
        <v>42</v>
      </c>
    </row>
    <row r="1654" spans="1:8" x14ac:dyDescent="0.25">
      <c r="A1654" t="s">
        <v>38</v>
      </c>
      <c r="B1654" t="s">
        <v>26</v>
      </c>
      <c r="C1654">
        <v>3</v>
      </c>
      <c r="D1654" s="9">
        <v>1100</v>
      </c>
      <c r="E1654" s="9">
        <f>+Tablo3[[#This Row],[Birim Fiyat]]*Tablo3[[#This Row],[Satış Adet]]</f>
        <v>3300</v>
      </c>
      <c r="F1654" s="9">
        <v>900</v>
      </c>
      <c r="G1654" t="s">
        <v>58</v>
      </c>
      <c r="H1654" t="s">
        <v>40</v>
      </c>
    </row>
    <row r="1655" spans="1:8" x14ac:dyDescent="0.25">
      <c r="A1655" t="s">
        <v>46</v>
      </c>
      <c r="B1655" t="s">
        <v>45</v>
      </c>
      <c r="C1655">
        <v>2</v>
      </c>
      <c r="D1655" s="9">
        <v>5775</v>
      </c>
      <c r="E1655" s="9">
        <f>+Tablo3[[#This Row],[Birim Fiyat]]*Tablo3[[#This Row],[Satış Adet]]</f>
        <v>11550</v>
      </c>
      <c r="F1655" s="9">
        <v>3550</v>
      </c>
      <c r="G1655" t="s">
        <v>58</v>
      </c>
      <c r="H1655" t="s">
        <v>40</v>
      </c>
    </row>
    <row r="1656" spans="1:8" x14ac:dyDescent="0.25">
      <c r="A1656" t="s">
        <v>33</v>
      </c>
      <c r="B1656" t="s">
        <v>19</v>
      </c>
      <c r="C1656">
        <v>3</v>
      </c>
      <c r="D1656" s="9">
        <v>1350</v>
      </c>
      <c r="E1656" s="9">
        <f>+Tablo3[[#This Row],[Birim Fiyat]]*Tablo3[[#This Row],[Satış Adet]]</f>
        <v>4050</v>
      </c>
      <c r="F1656" s="9">
        <v>1650</v>
      </c>
      <c r="G1656" t="s">
        <v>58</v>
      </c>
      <c r="H1656" t="s">
        <v>52</v>
      </c>
    </row>
    <row r="1657" spans="1:8" x14ac:dyDescent="0.25">
      <c r="A1657" t="s">
        <v>8</v>
      </c>
      <c r="B1657" t="s">
        <v>23</v>
      </c>
      <c r="C1657">
        <v>5</v>
      </c>
      <c r="D1657" s="9">
        <v>7600</v>
      </c>
      <c r="E1657" s="9">
        <f>+Tablo3[[#This Row],[Birim Fiyat]]*Tablo3[[#This Row],[Satış Adet]]</f>
        <v>38000</v>
      </c>
      <c r="F1657" s="9">
        <v>8000</v>
      </c>
      <c r="G1657" t="s">
        <v>58</v>
      </c>
      <c r="H1657" t="s">
        <v>20</v>
      </c>
    </row>
    <row r="1658" spans="1:8" x14ac:dyDescent="0.25">
      <c r="A1658" t="s">
        <v>15</v>
      </c>
      <c r="B1658" t="s">
        <v>25</v>
      </c>
      <c r="C1658">
        <v>4</v>
      </c>
      <c r="D1658" s="9">
        <v>7250</v>
      </c>
      <c r="E1658" s="9">
        <f>+Tablo3[[#This Row],[Birim Fiyat]]*Tablo3[[#This Row],[Satış Adet]]</f>
        <v>29000</v>
      </c>
      <c r="F1658" s="9">
        <v>9000</v>
      </c>
      <c r="G1658" t="s">
        <v>58</v>
      </c>
      <c r="H1658" t="s">
        <v>52</v>
      </c>
    </row>
    <row r="1659" spans="1:8" x14ac:dyDescent="0.25">
      <c r="A1659" t="s">
        <v>48</v>
      </c>
      <c r="B1659" t="s">
        <v>41</v>
      </c>
      <c r="C1659">
        <v>4</v>
      </c>
      <c r="D1659" s="9">
        <v>1490</v>
      </c>
      <c r="E1659" s="9">
        <f>+Tablo3[[#This Row],[Birim Fiyat]]*Tablo3[[#This Row],[Satış Adet]]</f>
        <v>5960</v>
      </c>
      <c r="F1659" s="9">
        <v>2760</v>
      </c>
      <c r="G1659" t="s">
        <v>58</v>
      </c>
      <c r="H1659" t="s">
        <v>42</v>
      </c>
    </row>
    <row r="1660" spans="1:8" x14ac:dyDescent="0.25">
      <c r="A1660" t="s">
        <v>18</v>
      </c>
      <c r="B1660" t="s">
        <v>41</v>
      </c>
      <c r="C1660">
        <v>5</v>
      </c>
      <c r="D1660" s="9">
        <v>1490</v>
      </c>
      <c r="E1660" s="9">
        <f>+Tablo3[[#This Row],[Birim Fiyat]]*Tablo3[[#This Row],[Satış Adet]]</f>
        <v>7450</v>
      </c>
      <c r="F1660" s="9">
        <v>3450</v>
      </c>
      <c r="G1660" t="s">
        <v>58</v>
      </c>
      <c r="H1660" t="s">
        <v>11</v>
      </c>
    </row>
    <row r="1661" spans="1:8" x14ac:dyDescent="0.25">
      <c r="A1661" t="s">
        <v>36</v>
      </c>
      <c r="B1661" t="s">
        <v>32</v>
      </c>
      <c r="C1661">
        <v>3</v>
      </c>
      <c r="D1661" s="9">
        <v>1090</v>
      </c>
      <c r="E1661" s="9">
        <f>+Tablo3[[#This Row],[Birim Fiyat]]*Tablo3[[#This Row],[Satış Adet]]</f>
        <v>3270</v>
      </c>
      <c r="F1661" s="9">
        <v>870</v>
      </c>
      <c r="G1661" t="s">
        <v>58</v>
      </c>
      <c r="H1661" t="s">
        <v>35</v>
      </c>
    </row>
    <row r="1662" spans="1:8" x14ac:dyDescent="0.25">
      <c r="A1662" t="s">
        <v>36</v>
      </c>
      <c r="B1662" t="s">
        <v>28</v>
      </c>
      <c r="C1662">
        <v>3</v>
      </c>
      <c r="D1662" s="9">
        <v>1200</v>
      </c>
      <c r="E1662" s="9">
        <f>+Tablo3[[#This Row],[Birim Fiyat]]*Tablo3[[#This Row],[Satış Adet]]</f>
        <v>3600</v>
      </c>
      <c r="F1662" s="9">
        <v>1200</v>
      </c>
      <c r="G1662" t="s">
        <v>58</v>
      </c>
      <c r="H1662" t="s">
        <v>35</v>
      </c>
    </row>
    <row r="1663" spans="1:8" x14ac:dyDescent="0.25">
      <c r="A1663" t="s">
        <v>48</v>
      </c>
      <c r="B1663" t="s">
        <v>32</v>
      </c>
      <c r="C1663">
        <v>4</v>
      </c>
      <c r="D1663" s="9">
        <v>1090</v>
      </c>
      <c r="E1663" s="9">
        <f>+Tablo3[[#This Row],[Birim Fiyat]]*Tablo3[[#This Row],[Satış Adet]]</f>
        <v>4360</v>
      </c>
      <c r="F1663" s="9">
        <v>1160</v>
      </c>
      <c r="G1663" t="s">
        <v>58</v>
      </c>
      <c r="H1663" t="s">
        <v>52</v>
      </c>
    </row>
    <row r="1664" spans="1:8" x14ac:dyDescent="0.25">
      <c r="A1664" t="s">
        <v>48</v>
      </c>
      <c r="B1664" t="s">
        <v>21</v>
      </c>
      <c r="C1664">
        <v>4</v>
      </c>
      <c r="D1664" s="9">
        <v>2180</v>
      </c>
      <c r="E1664" s="9">
        <f>+Tablo3[[#This Row],[Birim Fiyat]]*Tablo3[[#This Row],[Satış Adet]]</f>
        <v>8720</v>
      </c>
      <c r="F1664" s="9">
        <v>2720</v>
      </c>
      <c r="G1664" t="s">
        <v>58</v>
      </c>
      <c r="H1664" t="s">
        <v>14</v>
      </c>
    </row>
    <row r="1665" spans="1:8" x14ac:dyDescent="0.25">
      <c r="A1665" t="s">
        <v>15</v>
      </c>
      <c r="B1665" t="s">
        <v>54</v>
      </c>
      <c r="C1665">
        <v>4</v>
      </c>
      <c r="D1665" s="9">
        <v>5300</v>
      </c>
      <c r="E1665" s="9">
        <f>+Tablo3[[#This Row],[Birim Fiyat]]*Tablo3[[#This Row],[Satış Adet]]</f>
        <v>21200</v>
      </c>
      <c r="F1665" s="9">
        <v>5200</v>
      </c>
      <c r="G1665" t="s">
        <v>58</v>
      </c>
      <c r="H1665" t="s">
        <v>24</v>
      </c>
    </row>
    <row r="1666" spans="1:8" x14ac:dyDescent="0.25">
      <c r="A1666" t="s">
        <v>48</v>
      </c>
      <c r="B1666" t="s">
        <v>54</v>
      </c>
      <c r="C1666">
        <v>3</v>
      </c>
      <c r="D1666" s="9">
        <v>5300</v>
      </c>
      <c r="E1666" s="9">
        <f>+Tablo3[[#This Row],[Birim Fiyat]]*Tablo3[[#This Row],[Satış Adet]]</f>
        <v>15900</v>
      </c>
      <c r="F1666" s="9">
        <v>3900</v>
      </c>
      <c r="G1666" t="s">
        <v>58</v>
      </c>
      <c r="H1666" t="s">
        <v>11</v>
      </c>
    </row>
    <row r="1667" spans="1:8" x14ac:dyDescent="0.25">
      <c r="A1667" t="s">
        <v>67</v>
      </c>
      <c r="B1667" t="s">
        <v>25</v>
      </c>
      <c r="C1667">
        <v>3</v>
      </c>
      <c r="D1667" s="9">
        <v>7250</v>
      </c>
      <c r="E1667" s="9">
        <f>+Tablo3[[#This Row],[Birim Fiyat]]*Tablo3[[#This Row],[Satış Adet]]</f>
        <v>21750</v>
      </c>
      <c r="F1667" s="9">
        <v>6750</v>
      </c>
      <c r="G1667" t="s">
        <v>58</v>
      </c>
      <c r="H1667" t="s">
        <v>14</v>
      </c>
    </row>
    <row r="1668" spans="1:8" x14ac:dyDescent="0.25">
      <c r="A1668" t="s">
        <v>67</v>
      </c>
      <c r="B1668" t="s">
        <v>51</v>
      </c>
      <c r="C1668">
        <v>2</v>
      </c>
      <c r="D1668" s="9">
        <v>1200</v>
      </c>
      <c r="E1668" s="9">
        <f>+Tablo3[[#This Row],[Birim Fiyat]]*Tablo3[[#This Row],[Satış Adet]]</f>
        <v>2400</v>
      </c>
      <c r="F1668" s="9">
        <v>800</v>
      </c>
      <c r="G1668" t="s">
        <v>58</v>
      </c>
      <c r="H1668" t="s">
        <v>35</v>
      </c>
    </row>
    <row r="1669" spans="1:8" x14ac:dyDescent="0.25">
      <c r="A1669" t="s">
        <v>18</v>
      </c>
      <c r="B1669" t="s">
        <v>9</v>
      </c>
      <c r="C1669">
        <v>5</v>
      </c>
      <c r="D1669" s="9">
        <v>6000</v>
      </c>
      <c r="E1669" s="9">
        <f>+Tablo3[[#This Row],[Birim Fiyat]]*Tablo3[[#This Row],[Satış Adet]]</f>
        <v>30000</v>
      </c>
      <c r="F1669" s="9">
        <v>10000</v>
      </c>
      <c r="G1669" t="s">
        <v>58</v>
      </c>
      <c r="H1669" t="s">
        <v>27</v>
      </c>
    </row>
    <row r="1670" spans="1:8" x14ac:dyDescent="0.25">
      <c r="A1670" t="s">
        <v>15</v>
      </c>
      <c r="B1670" t="s">
        <v>16</v>
      </c>
      <c r="C1670">
        <v>3</v>
      </c>
      <c r="D1670" s="9">
        <v>8450</v>
      </c>
      <c r="E1670" s="9">
        <f>+Tablo3[[#This Row],[Birim Fiyat]]*Tablo3[[#This Row],[Satış Adet]]</f>
        <v>25350</v>
      </c>
      <c r="F1670" s="9">
        <v>7350</v>
      </c>
      <c r="G1670" t="s">
        <v>58</v>
      </c>
      <c r="H1670" t="s">
        <v>17</v>
      </c>
    </row>
    <row r="1671" spans="1:8" x14ac:dyDescent="0.25">
      <c r="A1671" t="s">
        <v>30</v>
      </c>
      <c r="B1671" t="s">
        <v>43</v>
      </c>
      <c r="C1671">
        <v>5</v>
      </c>
      <c r="D1671" s="9">
        <v>4200</v>
      </c>
      <c r="E1671" s="9">
        <f>+Tablo3[[#This Row],[Birim Fiyat]]*Tablo3[[#This Row],[Satış Adet]]</f>
        <v>21000</v>
      </c>
      <c r="F1671" s="9">
        <v>6000</v>
      </c>
      <c r="G1671" t="s">
        <v>59</v>
      </c>
      <c r="H1671" t="s">
        <v>39</v>
      </c>
    </row>
    <row r="1672" spans="1:8" x14ac:dyDescent="0.25">
      <c r="A1672" t="s">
        <v>30</v>
      </c>
      <c r="B1672" t="s">
        <v>37</v>
      </c>
      <c r="C1672">
        <v>5</v>
      </c>
      <c r="D1672" s="9">
        <v>10590</v>
      </c>
      <c r="E1672" s="9">
        <f>+Tablo3[[#This Row],[Birim Fiyat]]*Tablo3[[#This Row],[Satış Adet]]</f>
        <v>52950</v>
      </c>
      <c r="F1672" s="9">
        <v>22950</v>
      </c>
      <c r="G1672" t="s">
        <v>59</v>
      </c>
      <c r="H1672" t="s">
        <v>39</v>
      </c>
    </row>
    <row r="1673" spans="1:8" x14ac:dyDescent="0.25">
      <c r="A1673" t="s">
        <v>67</v>
      </c>
      <c r="B1673" t="s">
        <v>51</v>
      </c>
      <c r="C1673">
        <v>3</v>
      </c>
      <c r="D1673" s="9">
        <v>1200</v>
      </c>
      <c r="E1673" s="9">
        <f>+Tablo3[[#This Row],[Birim Fiyat]]*Tablo3[[#This Row],[Satış Adet]]</f>
        <v>3600</v>
      </c>
      <c r="F1673" s="9">
        <v>1200</v>
      </c>
      <c r="G1673" t="s">
        <v>59</v>
      </c>
      <c r="H1673" t="s">
        <v>40</v>
      </c>
    </row>
    <row r="1674" spans="1:8" x14ac:dyDescent="0.25">
      <c r="A1674" t="s">
        <v>46</v>
      </c>
      <c r="B1674" t="s">
        <v>26</v>
      </c>
      <c r="C1674">
        <v>4</v>
      </c>
      <c r="D1674" s="9">
        <v>1100</v>
      </c>
      <c r="E1674" s="9">
        <f>+Tablo3[[#This Row],[Birim Fiyat]]*Tablo3[[#This Row],[Satış Adet]]</f>
        <v>4400</v>
      </c>
      <c r="F1674" s="9">
        <v>1200</v>
      </c>
      <c r="G1674" t="s">
        <v>59</v>
      </c>
      <c r="H1674" t="s">
        <v>42</v>
      </c>
    </row>
    <row r="1675" spans="1:8" x14ac:dyDescent="0.25">
      <c r="A1675" t="s">
        <v>38</v>
      </c>
      <c r="B1675" t="s">
        <v>56</v>
      </c>
      <c r="C1675">
        <v>2</v>
      </c>
      <c r="D1675" s="9">
        <v>3700</v>
      </c>
      <c r="E1675" s="9">
        <f>+Tablo3[[#This Row],[Birim Fiyat]]*Tablo3[[#This Row],[Satış Adet]]</f>
        <v>7400</v>
      </c>
      <c r="F1675" s="9">
        <v>1400</v>
      </c>
      <c r="G1675" t="s">
        <v>59</v>
      </c>
      <c r="H1675" t="s">
        <v>29</v>
      </c>
    </row>
    <row r="1676" spans="1:8" x14ac:dyDescent="0.25">
      <c r="A1676" t="s">
        <v>12</v>
      </c>
      <c r="B1676" t="s">
        <v>56</v>
      </c>
      <c r="C1676">
        <v>2</v>
      </c>
      <c r="D1676" s="9">
        <v>3700</v>
      </c>
      <c r="E1676" s="9">
        <f>+Tablo3[[#This Row],[Birim Fiyat]]*Tablo3[[#This Row],[Satış Adet]]</f>
        <v>7400</v>
      </c>
      <c r="F1676" s="9">
        <v>1400</v>
      </c>
      <c r="G1676" t="s">
        <v>59</v>
      </c>
      <c r="H1676" t="s">
        <v>29</v>
      </c>
    </row>
    <row r="1677" spans="1:8" x14ac:dyDescent="0.25">
      <c r="A1677" t="s">
        <v>30</v>
      </c>
      <c r="B1677" t="s">
        <v>26</v>
      </c>
      <c r="C1677">
        <v>3</v>
      </c>
      <c r="D1677" s="9">
        <v>1100</v>
      </c>
      <c r="E1677" s="9">
        <f>+Tablo3[[#This Row],[Birim Fiyat]]*Tablo3[[#This Row],[Satış Adet]]</f>
        <v>3300</v>
      </c>
      <c r="F1677" s="9">
        <v>900</v>
      </c>
      <c r="G1677" t="s">
        <v>59</v>
      </c>
      <c r="H1677" t="s">
        <v>14</v>
      </c>
    </row>
    <row r="1678" spans="1:8" x14ac:dyDescent="0.25">
      <c r="A1678" t="s">
        <v>67</v>
      </c>
      <c r="B1678" t="s">
        <v>56</v>
      </c>
      <c r="C1678">
        <v>2</v>
      </c>
      <c r="D1678" s="9">
        <v>3700</v>
      </c>
      <c r="E1678" s="9">
        <f>+Tablo3[[#This Row],[Birim Fiyat]]*Tablo3[[#This Row],[Satış Adet]]</f>
        <v>7400</v>
      </c>
      <c r="F1678" s="9">
        <v>1400</v>
      </c>
      <c r="G1678" t="s">
        <v>59</v>
      </c>
      <c r="H1678" t="s">
        <v>29</v>
      </c>
    </row>
    <row r="1679" spans="1:8" x14ac:dyDescent="0.25">
      <c r="A1679" t="s">
        <v>46</v>
      </c>
      <c r="B1679" t="s">
        <v>41</v>
      </c>
      <c r="C1679">
        <v>2</v>
      </c>
      <c r="D1679" s="9">
        <v>1490</v>
      </c>
      <c r="E1679" s="9">
        <f>+Tablo3[[#This Row],[Birim Fiyat]]*Tablo3[[#This Row],[Satış Adet]]</f>
        <v>2980</v>
      </c>
      <c r="F1679" s="9">
        <v>1380</v>
      </c>
      <c r="G1679" t="s">
        <v>59</v>
      </c>
      <c r="H1679" t="s">
        <v>44</v>
      </c>
    </row>
    <row r="1680" spans="1:8" x14ac:dyDescent="0.25">
      <c r="A1680" t="s">
        <v>38</v>
      </c>
      <c r="B1680" t="s">
        <v>55</v>
      </c>
      <c r="C1680">
        <v>3</v>
      </c>
      <c r="D1680" s="9">
        <v>1500</v>
      </c>
      <c r="E1680" s="9">
        <f>+Tablo3[[#This Row],[Birim Fiyat]]*Tablo3[[#This Row],[Satış Adet]]</f>
        <v>4500</v>
      </c>
      <c r="F1680" s="9">
        <v>2100</v>
      </c>
      <c r="G1680" t="s">
        <v>59</v>
      </c>
      <c r="H1680" t="s">
        <v>14</v>
      </c>
    </row>
    <row r="1681" spans="1:8" x14ac:dyDescent="0.25">
      <c r="A1681" t="s">
        <v>36</v>
      </c>
      <c r="B1681" t="s">
        <v>32</v>
      </c>
      <c r="C1681">
        <v>3</v>
      </c>
      <c r="D1681" s="9">
        <v>1090</v>
      </c>
      <c r="E1681" s="9">
        <f>+Tablo3[[#This Row],[Birim Fiyat]]*Tablo3[[#This Row],[Satış Adet]]</f>
        <v>3270</v>
      </c>
      <c r="F1681" s="9">
        <v>870</v>
      </c>
      <c r="G1681" t="s">
        <v>59</v>
      </c>
      <c r="H1681" t="s">
        <v>35</v>
      </c>
    </row>
    <row r="1682" spans="1:8" x14ac:dyDescent="0.25">
      <c r="A1682" t="s">
        <v>46</v>
      </c>
      <c r="B1682" t="s">
        <v>31</v>
      </c>
      <c r="C1682">
        <v>5</v>
      </c>
      <c r="D1682" s="9">
        <v>1800</v>
      </c>
      <c r="E1682" s="9">
        <f>+Tablo3[[#This Row],[Birim Fiyat]]*Tablo3[[#This Row],[Satış Adet]]</f>
        <v>9000</v>
      </c>
      <c r="F1682" s="9">
        <v>5000</v>
      </c>
      <c r="G1682" t="s">
        <v>59</v>
      </c>
      <c r="H1682" t="s">
        <v>44</v>
      </c>
    </row>
    <row r="1683" spans="1:8" x14ac:dyDescent="0.25">
      <c r="A1683" t="s">
        <v>33</v>
      </c>
      <c r="B1683" t="s">
        <v>53</v>
      </c>
      <c r="C1683">
        <v>5</v>
      </c>
      <c r="D1683" s="9">
        <v>7530</v>
      </c>
      <c r="E1683" s="9">
        <f>+Tablo3[[#This Row],[Birim Fiyat]]*Tablo3[[#This Row],[Satış Adet]]</f>
        <v>37650</v>
      </c>
      <c r="F1683" s="9">
        <v>7650</v>
      </c>
      <c r="G1683" t="s">
        <v>59</v>
      </c>
      <c r="H1683" t="s">
        <v>24</v>
      </c>
    </row>
    <row r="1684" spans="1:8" x14ac:dyDescent="0.25">
      <c r="A1684" t="s">
        <v>30</v>
      </c>
      <c r="B1684" t="s">
        <v>26</v>
      </c>
      <c r="C1684">
        <v>5</v>
      </c>
      <c r="D1684" s="9">
        <v>1100</v>
      </c>
      <c r="E1684" s="9">
        <f>+Tablo3[[#This Row],[Birim Fiyat]]*Tablo3[[#This Row],[Satış Adet]]</f>
        <v>5500</v>
      </c>
      <c r="F1684" s="9">
        <v>1500</v>
      </c>
      <c r="G1684" t="s">
        <v>59</v>
      </c>
      <c r="H1684" t="s">
        <v>20</v>
      </c>
    </row>
    <row r="1685" spans="1:8" x14ac:dyDescent="0.25">
      <c r="A1685" t="s">
        <v>38</v>
      </c>
      <c r="B1685" t="s">
        <v>19</v>
      </c>
      <c r="C1685">
        <v>4</v>
      </c>
      <c r="D1685" s="9">
        <v>1350</v>
      </c>
      <c r="E1685" s="9">
        <f>+Tablo3[[#This Row],[Birim Fiyat]]*Tablo3[[#This Row],[Satış Adet]]</f>
        <v>5400</v>
      </c>
      <c r="F1685" s="9">
        <v>2200</v>
      </c>
      <c r="G1685" t="s">
        <v>59</v>
      </c>
      <c r="H1685" t="s">
        <v>14</v>
      </c>
    </row>
    <row r="1686" spans="1:8" x14ac:dyDescent="0.25">
      <c r="A1686" t="s">
        <v>36</v>
      </c>
      <c r="B1686" t="s">
        <v>19</v>
      </c>
      <c r="C1686">
        <v>4</v>
      </c>
      <c r="D1686" s="9">
        <v>1350</v>
      </c>
      <c r="E1686" s="9">
        <f>+Tablo3[[#This Row],[Birim Fiyat]]*Tablo3[[#This Row],[Satış Adet]]</f>
        <v>5400</v>
      </c>
      <c r="F1686" s="9">
        <v>2200</v>
      </c>
      <c r="G1686" t="s">
        <v>59</v>
      </c>
      <c r="H1686" t="s">
        <v>40</v>
      </c>
    </row>
    <row r="1687" spans="1:8" x14ac:dyDescent="0.25">
      <c r="A1687" t="s">
        <v>33</v>
      </c>
      <c r="B1687" t="s">
        <v>32</v>
      </c>
      <c r="C1687">
        <v>5</v>
      </c>
      <c r="D1687" s="9">
        <v>1090</v>
      </c>
      <c r="E1687" s="9">
        <f>+Tablo3[[#This Row],[Birim Fiyat]]*Tablo3[[#This Row],[Satış Adet]]</f>
        <v>5450</v>
      </c>
      <c r="F1687" s="9">
        <v>1450</v>
      </c>
      <c r="G1687" t="s">
        <v>59</v>
      </c>
      <c r="H1687" t="s">
        <v>11</v>
      </c>
    </row>
    <row r="1688" spans="1:8" x14ac:dyDescent="0.25">
      <c r="A1688" t="s">
        <v>33</v>
      </c>
      <c r="B1688" t="s">
        <v>43</v>
      </c>
      <c r="C1688">
        <v>5</v>
      </c>
      <c r="D1688" s="9">
        <v>4200</v>
      </c>
      <c r="E1688" s="9">
        <f>+Tablo3[[#This Row],[Birim Fiyat]]*Tablo3[[#This Row],[Satış Adet]]</f>
        <v>21000</v>
      </c>
      <c r="F1688" s="9">
        <v>6000</v>
      </c>
      <c r="G1688" t="s">
        <v>59</v>
      </c>
      <c r="H1688" t="s">
        <v>14</v>
      </c>
    </row>
    <row r="1689" spans="1:8" x14ac:dyDescent="0.25">
      <c r="A1689" t="s">
        <v>38</v>
      </c>
      <c r="B1689" t="s">
        <v>31</v>
      </c>
      <c r="C1689">
        <v>3</v>
      </c>
      <c r="D1689" s="9">
        <v>1800</v>
      </c>
      <c r="E1689" s="9">
        <f>+Tablo3[[#This Row],[Birim Fiyat]]*Tablo3[[#This Row],[Satış Adet]]</f>
        <v>5400</v>
      </c>
      <c r="F1689" s="9">
        <v>3000</v>
      </c>
      <c r="G1689" t="s">
        <v>59</v>
      </c>
      <c r="H1689" t="s">
        <v>20</v>
      </c>
    </row>
    <row r="1690" spans="1:8" x14ac:dyDescent="0.25">
      <c r="A1690" t="s">
        <v>48</v>
      </c>
      <c r="B1690" t="s">
        <v>32</v>
      </c>
      <c r="C1690">
        <v>4</v>
      </c>
      <c r="D1690" s="9">
        <v>1090</v>
      </c>
      <c r="E1690" s="9">
        <f>+Tablo3[[#This Row],[Birim Fiyat]]*Tablo3[[#This Row],[Satış Adet]]</f>
        <v>4360</v>
      </c>
      <c r="F1690" s="9">
        <v>1160</v>
      </c>
      <c r="G1690" t="s">
        <v>59</v>
      </c>
      <c r="H1690" t="s">
        <v>11</v>
      </c>
    </row>
    <row r="1691" spans="1:8" x14ac:dyDescent="0.25">
      <c r="A1691" t="s">
        <v>8</v>
      </c>
      <c r="B1691" t="s">
        <v>23</v>
      </c>
      <c r="C1691">
        <v>5</v>
      </c>
      <c r="D1691" s="9">
        <v>7600</v>
      </c>
      <c r="E1691" s="9">
        <f>+Tablo3[[#This Row],[Birim Fiyat]]*Tablo3[[#This Row],[Satış Adet]]</f>
        <v>38000</v>
      </c>
      <c r="F1691" s="9">
        <v>8000</v>
      </c>
      <c r="G1691" t="s">
        <v>59</v>
      </c>
      <c r="H1691" t="s">
        <v>20</v>
      </c>
    </row>
    <row r="1692" spans="1:8" x14ac:dyDescent="0.25">
      <c r="A1692" t="s">
        <v>36</v>
      </c>
      <c r="B1692" t="s">
        <v>23</v>
      </c>
      <c r="C1692">
        <v>4</v>
      </c>
      <c r="D1692" s="9">
        <v>7600</v>
      </c>
      <c r="E1692" s="9">
        <f>+Tablo3[[#This Row],[Birim Fiyat]]*Tablo3[[#This Row],[Satış Adet]]</f>
        <v>30400</v>
      </c>
      <c r="F1692" s="9">
        <v>6400</v>
      </c>
      <c r="G1692" t="s">
        <v>59</v>
      </c>
      <c r="H1692" t="s">
        <v>17</v>
      </c>
    </row>
    <row r="1693" spans="1:8" x14ac:dyDescent="0.25">
      <c r="A1693" t="s">
        <v>15</v>
      </c>
      <c r="B1693" t="s">
        <v>56</v>
      </c>
      <c r="C1693">
        <v>5</v>
      </c>
      <c r="D1693" s="9">
        <v>3700</v>
      </c>
      <c r="E1693" s="9">
        <f>+Tablo3[[#This Row],[Birim Fiyat]]*Tablo3[[#This Row],[Satış Adet]]</f>
        <v>18500</v>
      </c>
      <c r="F1693" s="9">
        <v>3500</v>
      </c>
      <c r="G1693" t="s">
        <v>59</v>
      </c>
      <c r="H1693" t="s">
        <v>24</v>
      </c>
    </row>
    <row r="1694" spans="1:8" x14ac:dyDescent="0.25">
      <c r="A1694" t="s">
        <v>22</v>
      </c>
      <c r="B1694" t="s">
        <v>25</v>
      </c>
      <c r="C1694">
        <v>2</v>
      </c>
      <c r="D1694" s="9">
        <v>7250</v>
      </c>
      <c r="E1694" s="9">
        <f>+Tablo3[[#This Row],[Birim Fiyat]]*Tablo3[[#This Row],[Satış Adet]]</f>
        <v>14500</v>
      </c>
      <c r="F1694" s="9">
        <v>4500</v>
      </c>
      <c r="G1694" t="s">
        <v>59</v>
      </c>
      <c r="H1694" t="s">
        <v>17</v>
      </c>
    </row>
    <row r="1695" spans="1:8" x14ac:dyDescent="0.25">
      <c r="A1695" t="s">
        <v>12</v>
      </c>
      <c r="B1695" t="s">
        <v>23</v>
      </c>
      <c r="C1695">
        <v>4</v>
      </c>
      <c r="D1695" s="9">
        <v>7600</v>
      </c>
      <c r="E1695" s="9">
        <f>+Tablo3[[#This Row],[Birim Fiyat]]*Tablo3[[#This Row],[Satış Adet]]</f>
        <v>30400</v>
      </c>
      <c r="F1695" s="9">
        <v>6400</v>
      </c>
      <c r="G1695" t="s">
        <v>59</v>
      </c>
      <c r="H1695" t="s">
        <v>39</v>
      </c>
    </row>
    <row r="1696" spans="1:8" x14ac:dyDescent="0.25">
      <c r="A1696" t="s">
        <v>46</v>
      </c>
      <c r="B1696" t="s">
        <v>43</v>
      </c>
      <c r="C1696">
        <v>2</v>
      </c>
      <c r="D1696" s="9">
        <v>4200</v>
      </c>
      <c r="E1696" s="9">
        <f>+Tablo3[[#This Row],[Birim Fiyat]]*Tablo3[[#This Row],[Satış Adet]]</f>
        <v>8400</v>
      </c>
      <c r="F1696" s="9">
        <v>2400</v>
      </c>
      <c r="G1696" t="s">
        <v>59</v>
      </c>
      <c r="H1696" t="s">
        <v>40</v>
      </c>
    </row>
    <row r="1697" spans="1:8" x14ac:dyDescent="0.25">
      <c r="A1697" t="s">
        <v>30</v>
      </c>
      <c r="B1697" t="s">
        <v>50</v>
      </c>
      <c r="C1697">
        <v>5</v>
      </c>
      <c r="D1697" s="9">
        <v>1250</v>
      </c>
      <c r="E1697" s="9">
        <f>+Tablo3[[#This Row],[Birim Fiyat]]*Tablo3[[#This Row],[Satış Adet]]</f>
        <v>6250</v>
      </c>
      <c r="F1697" s="9">
        <v>2250</v>
      </c>
      <c r="G1697" t="s">
        <v>59</v>
      </c>
      <c r="H1697" t="s">
        <v>39</v>
      </c>
    </row>
    <row r="1698" spans="1:8" x14ac:dyDescent="0.25">
      <c r="A1698" t="s">
        <v>36</v>
      </c>
      <c r="B1698" t="s">
        <v>32</v>
      </c>
      <c r="C1698">
        <v>5</v>
      </c>
      <c r="D1698" s="9">
        <v>1090</v>
      </c>
      <c r="E1698" s="9">
        <f>+Tablo3[[#This Row],[Birim Fiyat]]*Tablo3[[#This Row],[Satış Adet]]</f>
        <v>5450</v>
      </c>
      <c r="F1698" s="9">
        <v>1450</v>
      </c>
      <c r="G1698" t="s">
        <v>59</v>
      </c>
      <c r="H1698" t="s">
        <v>20</v>
      </c>
    </row>
    <row r="1699" spans="1:8" x14ac:dyDescent="0.25">
      <c r="A1699" t="s">
        <v>18</v>
      </c>
      <c r="B1699" t="s">
        <v>21</v>
      </c>
      <c r="C1699">
        <v>2</v>
      </c>
      <c r="D1699" s="9">
        <v>2180</v>
      </c>
      <c r="E1699" s="9">
        <f>+Tablo3[[#This Row],[Birim Fiyat]]*Tablo3[[#This Row],[Satış Adet]]</f>
        <v>4360</v>
      </c>
      <c r="F1699" s="9">
        <v>1360</v>
      </c>
      <c r="G1699" t="s">
        <v>59</v>
      </c>
      <c r="H1699" t="s">
        <v>27</v>
      </c>
    </row>
    <row r="1700" spans="1:8" x14ac:dyDescent="0.25">
      <c r="A1700" t="s">
        <v>48</v>
      </c>
      <c r="B1700" t="s">
        <v>56</v>
      </c>
      <c r="C1700">
        <v>2</v>
      </c>
      <c r="D1700" s="9">
        <v>3700</v>
      </c>
      <c r="E1700" s="9">
        <f>+Tablo3[[#This Row],[Birim Fiyat]]*Tablo3[[#This Row],[Satış Adet]]</f>
        <v>7400</v>
      </c>
      <c r="F1700" s="9">
        <v>1400</v>
      </c>
      <c r="G1700" t="s">
        <v>59</v>
      </c>
      <c r="H1700" t="s">
        <v>35</v>
      </c>
    </row>
    <row r="1701" spans="1:8" x14ac:dyDescent="0.25">
      <c r="A1701" t="s">
        <v>38</v>
      </c>
      <c r="B1701" t="s">
        <v>9</v>
      </c>
      <c r="C1701">
        <v>4</v>
      </c>
      <c r="D1701" s="9">
        <v>6000</v>
      </c>
      <c r="E1701" s="9">
        <f>+Tablo3[[#This Row],[Birim Fiyat]]*Tablo3[[#This Row],[Satış Adet]]</f>
        <v>24000</v>
      </c>
      <c r="F1701" s="9">
        <v>8000</v>
      </c>
      <c r="G1701" t="s">
        <v>59</v>
      </c>
      <c r="H1701" t="s">
        <v>27</v>
      </c>
    </row>
    <row r="1702" spans="1:8" x14ac:dyDescent="0.25">
      <c r="A1702" t="s">
        <v>46</v>
      </c>
      <c r="B1702" t="s">
        <v>50</v>
      </c>
      <c r="C1702">
        <v>2</v>
      </c>
      <c r="D1702" s="9">
        <v>1250</v>
      </c>
      <c r="E1702" s="9">
        <f>+Tablo3[[#This Row],[Birim Fiyat]]*Tablo3[[#This Row],[Satış Adet]]</f>
        <v>2500</v>
      </c>
      <c r="F1702" s="9">
        <v>900</v>
      </c>
      <c r="G1702" t="s">
        <v>59</v>
      </c>
      <c r="H1702" t="s">
        <v>35</v>
      </c>
    </row>
    <row r="1703" spans="1:8" x14ac:dyDescent="0.25">
      <c r="A1703" t="s">
        <v>48</v>
      </c>
      <c r="B1703" t="s">
        <v>23</v>
      </c>
      <c r="C1703">
        <v>2</v>
      </c>
      <c r="D1703" s="9">
        <v>7600</v>
      </c>
      <c r="E1703" s="9">
        <f>+Tablo3[[#This Row],[Birim Fiyat]]*Tablo3[[#This Row],[Satış Adet]]</f>
        <v>15200</v>
      </c>
      <c r="F1703" s="9">
        <v>3200</v>
      </c>
      <c r="G1703" t="s">
        <v>59</v>
      </c>
      <c r="H1703" t="s">
        <v>39</v>
      </c>
    </row>
    <row r="1704" spans="1:8" x14ac:dyDescent="0.25">
      <c r="A1704" t="s">
        <v>8</v>
      </c>
      <c r="B1704" t="s">
        <v>13</v>
      </c>
      <c r="C1704">
        <v>4</v>
      </c>
      <c r="D1704" s="9">
        <v>1400</v>
      </c>
      <c r="E1704" s="9">
        <f>+Tablo3[[#This Row],[Birim Fiyat]]*Tablo3[[#This Row],[Satış Adet]]</f>
        <v>5600</v>
      </c>
      <c r="F1704" s="9">
        <v>2400</v>
      </c>
      <c r="G1704" t="s">
        <v>59</v>
      </c>
      <c r="H1704" t="s">
        <v>24</v>
      </c>
    </row>
    <row r="1705" spans="1:8" x14ac:dyDescent="0.25">
      <c r="A1705" t="s">
        <v>22</v>
      </c>
      <c r="B1705" t="s">
        <v>21</v>
      </c>
      <c r="C1705">
        <v>4</v>
      </c>
      <c r="D1705" s="9">
        <v>2180</v>
      </c>
      <c r="E1705" s="9">
        <f>+Tablo3[[#This Row],[Birim Fiyat]]*Tablo3[[#This Row],[Satış Adet]]</f>
        <v>8720</v>
      </c>
      <c r="F1705" s="9">
        <v>2720</v>
      </c>
      <c r="G1705" t="s">
        <v>59</v>
      </c>
      <c r="H1705" t="s">
        <v>44</v>
      </c>
    </row>
    <row r="1706" spans="1:8" x14ac:dyDescent="0.25">
      <c r="A1706" t="s">
        <v>8</v>
      </c>
      <c r="B1706" t="s">
        <v>31</v>
      </c>
      <c r="C1706">
        <v>2</v>
      </c>
      <c r="D1706" s="9">
        <v>1800</v>
      </c>
      <c r="E1706" s="9">
        <f>+Tablo3[[#This Row],[Birim Fiyat]]*Tablo3[[#This Row],[Satış Adet]]</f>
        <v>3600</v>
      </c>
      <c r="F1706" s="9">
        <v>2000</v>
      </c>
      <c r="G1706" t="s">
        <v>59</v>
      </c>
      <c r="H1706" t="s">
        <v>20</v>
      </c>
    </row>
    <row r="1707" spans="1:8" x14ac:dyDescent="0.25">
      <c r="A1707" t="s">
        <v>15</v>
      </c>
      <c r="B1707" t="s">
        <v>55</v>
      </c>
      <c r="C1707">
        <v>2</v>
      </c>
      <c r="D1707" s="9">
        <v>1500</v>
      </c>
      <c r="E1707" s="9">
        <f>+Tablo3[[#This Row],[Birim Fiyat]]*Tablo3[[#This Row],[Satış Adet]]</f>
        <v>3000</v>
      </c>
      <c r="F1707" s="9">
        <v>1400</v>
      </c>
      <c r="G1707" t="s">
        <v>59</v>
      </c>
      <c r="H1707" t="s">
        <v>11</v>
      </c>
    </row>
    <row r="1708" spans="1:8" x14ac:dyDescent="0.25">
      <c r="A1708" t="s">
        <v>30</v>
      </c>
      <c r="B1708" t="s">
        <v>16</v>
      </c>
      <c r="C1708">
        <v>2</v>
      </c>
      <c r="D1708" s="9">
        <v>8450</v>
      </c>
      <c r="E1708" s="9">
        <f>+Tablo3[[#This Row],[Birim Fiyat]]*Tablo3[[#This Row],[Satış Adet]]</f>
        <v>16900</v>
      </c>
      <c r="F1708" s="9">
        <v>4900</v>
      </c>
      <c r="G1708" t="s">
        <v>59</v>
      </c>
      <c r="H1708" t="s">
        <v>27</v>
      </c>
    </row>
    <row r="1709" spans="1:8" x14ac:dyDescent="0.25">
      <c r="A1709" t="s">
        <v>38</v>
      </c>
      <c r="B1709" t="s">
        <v>55</v>
      </c>
      <c r="C1709">
        <v>4</v>
      </c>
      <c r="D1709" s="9">
        <v>1500</v>
      </c>
      <c r="E1709" s="9">
        <f>+Tablo3[[#This Row],[Birim Fiyat]]*Tablo3[[#This Row],[Satış Adet]]</f>
        <v>6000</v>
      </c>
      <c r="F1709" s="9">
        <v>2800</v>
      </c>
      <c r="G1709" t="s">
        <v>59</v>
      </c>
      <c r="H1709" t="s">
        <v>24</v>
      </c>
    </row>
    <row r="1710" spans="1:8" x14ac:dyDescent="0.25">
      <c r="A1710" t="s">
        <v>67</v>
      </c>
      <c r="B1710" t="s">
        <v>9</v>
      </c>
      <c r="C1710">
        <v>5</v>
      </c>
      <c r="D1710" s="9">
        <v>6000</v>
      </c>
      <c r="E1710" s="9">
        <f>+Tablo3[[#This Row],[Birim Fiyat]]*Tablo3[[#This Row],[Satış Adet]]</f>
        <v>30000</v>
      </c>
      <c r="F1710" s="9">
        <v>10000</v>
      </c>
      <c r="G1710" t="s">
        <v>59</v>
      </c>
      <c r="H1710" t="s">
        <v>42</v>
      </c>
    </row>
    <row r="1711" spans="1:8" x14ac:dyDescent="0.25">
      <c r="A1711" t="s">
        <v>48</v>
      </c>
      <c r="B1711" t="s">
        <v>51</v>
      </c>
      <c r="C1711">
        <v>5</v>
      </c>
      <c r="D1711" s="9">
        <v>1200</v>
      </c>
      <c r="E1711" s="9">
        <f>+Tablo3[[#This Row],[Birim Fiyat]]*Tablo3[[#This Row],[Satış Adet]]</f>
        <v>6000</v>
      </c>
      <c r="F1711" s="9">
        <v>2000</v>
      </c>
      <c r="G1711" t="s">
        <v>59</v>
      </c>
      <c r="H1711" t="s">
        <v>17</v>
      </c>
    </row>
    <row r="1712" spans="1:8" x14ac:dyDescent="0.25">
      <c r="A1712" t="s">
        <v>8</v>
      </c>
      <c r="B1712" t="s">
        <v>43</v>
      </c>
      <c r="C1712">
        <v>3</v>
      </c>
      <c r="D1712" s="9">
        <v>4200</v>
      </c>
      <c r="E1712" s="9">
        <f>+Tablo3[[#This Row],[Birim Fiyat]]*Tablo3[[#This Row],[Satış Adet]]</f>
        <v>12600</v>
      </c>
      <c r="F1712" s="9">
        <v>3600</v>
      </c>
      <c r="G1712" t="s">
        <v>59</v>
      </c>
      <c r="H1712" t="s">
        <v>11</v>
      </c>
    </row>
    <row r="1713" spans="1:8" x14ac:dyDescent="0.25">
      <c r="A1713" t="s">
        <v>46</v>
      </c>
      <c r="B1713" t="s">
        <v>23</v>
      </c>
      <c r="C1713">
        <v>4</v>
      </c>
      <c r="D1713" s="9">
        <v>7600</v>
      </c>
      <c r="E1713" s="9">
        <f>+Tablo3[[#This Row],[Birim Fiyat]]*Tablo3[[#This Row],[Satış Adet]]</f>
        <v>30400</v>
      </c>
      <c r="F1713" s="9">
        <v>6400</v>
      </c>
      <c r="G1713" t="s">
        <v>59</v>
      </c>
      <c r="H1713" t="s">
        <v>27</v>
      </c>
    </row>
    <row r="1714" spans="1:8" x14ac:dyDescent="0.25">
      <c r="A1714" t="s">
        <v>67</v>
      </c>
      <c r="B1714" t="s">
        <v>25</v>
      </c>
      <c r="C1714">
        <v>5</v>
      </c>
      <c r="D1714" s="9">
        <v>7250</v>
      </c>
      <c r="E1714" s="9">
        <f>+Tablo3[[#This Row],[Birim Fiyat]]*Tablo3[[#This Row],[Satış Adet]]</f>
        <v>36250</v>
      </c>
      <c r="F1714" s="9">
        <v>11250</v>
      </c>
      <c r="G1714" t="s">
        <v>59</v>
      </c>
      <c r="H1714" t="s">
        <v>35</v>
      </c>
    </row>
    <row r="1715" spans="1:8" x14ac:dyDescent="0.25">
      <c r="A1715" t="s">
        <v>12</v>
      </c>
      <c r="B1715" t="s">
        <v>53</v>
      </c>
      <c r="C1715">
        <v>5</v>
      </c>
      <c r="D1715" s="9">
        <v>7530</v>
      </c>
      <c r="E1715" s="9">
        <f>+Tablo3[[#This Row],[Birim Fiyat]]*Tablo3[[#This Row],[Satış Adet]]</f>
        <v>37650</v>
      </c>
      <c r="F1715" s="9">
        <v>7650</v>
      </c>
      <c r="G1715" t="s">
        <v>59</v>
      </c>
      <c r="H1715" t="s">
        <v>29</v>
      </c>
    </row>
    <row r="1716" spans="1:8" x14ac:dyDescent="0.25">
      <c r="A1716" t="s">
        <v>15</v>
      </c>
      <c r="B1716" t="s">
        <v>25</v>
      </c>
      <c r="C1716">
        <v>3</v>
      </c>
      <c r="D1716" s="9">
        <v>7250</v>
      </c>
      <c r="E1716" s="9">
        <f>+Tablo3[[#This Row],[Birim Fiyat]]*Tablo3[[#This Row],[Satış Adet]]</f>
        <v>21750</v>
      </c>
      <c r="F1716" s="9">
        <v>6750</v>
      </c>
      <c r="G1716" t="s">
        <v>59</v>
      </c>
      <c r="H1716" t="s">
        <v>52</v>
      </c>
    </row>
    <row r="1717" spans="1:8" x14ac:dyDescent="0.25">
      <c r="A1717" t="s">
        <v>12</v>
      </c>
      <c r="B1717" t="s">
        <v>9</v>
      </c>
      <c r="C1717">
        <v>4</v>
      </c>
      <c r="D1717" s="9">
        <v>6000</v>
      </c>
      <c r="E1717" s="9">
        <f>+Tablo3[[#This Row],[Birim Fiyat]]*Tablo3[[#This Row],[Satış Adet]]</f>
        <v>24000</v>
      </c>
      <c r="F1717" s="9">
        <v>8000</v>
      </c>
      <c r="G1717" t="s">
        <v>59</v>
      </c>
      <c r="H1717" t="s">
        <v>27</v>
      </c>
    </row>
    <row r="1718" spans="1:8" x14ac:dyDescent="0.25">
      <c r="A1718" t="s">
        <v>67</v>
      </c>
      <c r="B1718" t="s">
        <v>51</v>
      </c>
      <c r="C1718">
        <v>3</v>
      </c>
      <c r="D1718" s="9">
        <v>1200</v>
      </c>
      <c r="E1718" s="9">
        <f>+Tablo3[[#This Row],[Birim Fiyat]]*Tablo3[[#This Row],[Satış Adet]]</f>
        <v>3600</v>
      </c>
      <c r="F1718" s="9">
        <v>1200</v>
      </c>
      <c r="G1718" t="s">
        <v>59</v>
      </c>
      <c r="H1718" t="s">
        <v>24</v>
      </c>
    </row>
    <row r="1719" spans="1:8" x14ac:dyDescent="0.25">
      <c r="A1719" t="s">
        <v>48</v>
      </c>
      <c r="B1719" t="s">
        <v>54</v>
      </c>
      <c r="C1719">
        <v>2</v>
      </c>
      <c r="D1719" s="9">
        <v>5300</v>
      </c>
      <c r="E1719" s="9">
        <f>+Tablo3[[#This Row],[Birim Fiyat]]*Tablo3[[#This Row],[Satış Adet]]</f>
        <v>10600</v>
      </c>
      <c r="F1719" s="9">
        <v>2600</v>
      </c>
      <c r="G1719" t="s">
        <v>59</v>
      </c>
      <c r="H1719" t="s">
        <v>24</v>
      </c>
    </row>
    <row r="1720" spans="1:8" x14ac:dyDescent="0.25">
      <c r="A1720" t="s">
        <v>36</v>
      </c>
      <c r="B1720" t="s">
        <v>16</v>
      </c>
      <c r="C1720">
        <v>5</v>
      </c>
      <c r="D1720" s="9">
        <v>8450</v>
      </c>
      <c r="E1720" s="9">
        <f>+Tablo3[[#This Row],[Birim Fiyat]]*Tablo3[[#This Row],[Satış Adet]]</f>
        <v>42250</v>
      </c>
      <c r="F1720" s="9">
        <v>12250</v>
      </c>
      <c r="G1720" t="s">
        <v>59</v>
      </c>
      <c r="H1720" t="s">
        <v>20</v>
      </c>
    </row>
    <row r="1721" spans="1:8" x14ac:dyDescent="0.25">
      <c r="A1721" t="s">
        <v>22</v>
      </c>
      <c r="B1721" t="s">
        <v>19</v>
      </c>
      <c r="C1721">
        <v>4</v>
      </c>
      <c r="D1721" s="9">
        <v>1350</v>
      </c>
      <c r="E1721" s="9">
        <f>+Tablo3[[#This Row],[Birim Fiyat]]*Tablo3[[#This Row],[Satış Adet]]</f>
        <v>5400</v>
      </c>
      <c r="F1721" s="9">
        <v>2200</v>
      </c>
      <c r="G1721" t="s">
        <v>59</v>
      </c>
      <c r="H1721" t="s">
        <v>42</v>
      </c>
    </row>
    <row r="1722" spans="1:8" x14ac:dyDescent="0.25">
      <c r="A1722" t="s">
        <v>30</v>
      </c>
      <c r="B1722" t="s">
        <v>32</v>
      </c>
      <c r="C1722">
        <v>2</v>
      </c>
      <c r="D1722" s="9">
        <v>1090</v>
      </c>
      <c r="E1722" s="9">
        <f>+Tablo3[[#This Row],[Birim Fiyat]]*Tablo3[[#This Row],[Satış Adet]]</f>
        <v>2180</v>
      </c>
      <c r="F1722" s="9">
        <v>580</v>
      </c>
      <c r="G1722" t="s">
        <v>59</v>
      </c>
      <c r="H1722" t="s">
        <v>35</v>
      </c>
    </row>
    <row r="1723" spans="1:8" x14ac:dyDescent="0.25">
      <c r="A1723" t="s">
        <v>22</v>
      </c>
      <c r="B1723" t="s">
        <v>21</v>
      </c>
      <c r="C1723">
        <v>4</v>
      </c>
      <c r="D1723" s="9">
        <v>2180</v>
      </c>
      <c r="E1723" s="9">
        <f>+Tablo3[[#This Row],[Birim Fiyat]]*Tablo3[[#This Row],[Satış Adet]]</f>
        <v>8720</v>
      </c>
      <c r="F1723" s="9">
        <v>2720</v>
      </c>
      <c r="G1723" t="s">
        <v>59</v>
      </c>
      <c r="H1723" t="s">
        <v>17</v>
      </c>
    </row>
    <row r="1724" spans="1:8" x14ac:dyDescent="0.25">
      <c r="A1724" t="s">
        <v>12</v>
      </c>
      <c r="B1724" t="s">
        <v>56</v>
      </c>
      <c r="C1724">
        <v>4</v>
      </c>
      <c r="D1724" s="9">
        <v>3700</v>
      </c>
      <c r="E1724" s="9">
        <f>+Tablo3[[#This Row],[Birim Fiyat]]*Tablo3[[#This Row],[Satış Adet]]</f>
        <v>14800</v>
      </c>
      <c r="F1724" s="9">
        <v>2800</v>
      </c>
      <c r="G1724" t="s">
        <v>59</v>
      </c>
      <c r="H1724" t="s">
        <v>14</v>
      </c>
    </row>
    <row r="1725" spans="1:8" x14ac:dyDescent="0.25">
      <c r="A1725" t="s">
        <v>30</v>
      </c>
      <c r="B1725" t="s">
        <v>26</v>
      </c>
      <c r="C1725">
        <v>5</v>
      </c>
      <c r="D1725" s="9">
        <v>1100</v>
      </c>
      <c r="E1725" s="9">
        <f>+Tablo3[[#This Row],[Birim Fiyat]]*Tablo3[[#This Row],[Satış Adet]]</f>
        <v>5500</v>
      </c>
      <c r="F1725" s="9">
        <v>1500</v>
      </c>
      <c r="G1725" t="s">
        <v>59</v>
      </c>
      <c r="H1725" t="s">
        <v>42</v>
      </c>
    </row>
    <row r="1726" spans="1:8" x14ac:dyDescent="0.25">
      <c r="A1726" t="s">
        <v>67</v>
      </c>
      <c r="B1726" t="s">
        <v>56</v>
      </c>
      <c r="C1726">
        <v>5</v>
      </c>
      <c r="D1726" s="9">
        <v>3700</v>
      </c>
      <c r="E1726" s="9">
        <f>+Tablo3[[#This Row],[Birim Fiyat]]*Tablo3[[#This Row],[Satış Adet]]</f>
        <v>18500</v>
      </c>
      <c r="F1726" s="9">
        <v>3500</v>
      </c>
      <c r="G1726" t="s">
        <v>59</v>
      </c>
      <c r="H1726" t="s">
        <v>24</v>
      </c>
    </row>
    <row r="1727" spans="1:8" x14ac:dyDescent="0.25">
      <c r="A1727" t="s">
        <v>46</v>
      </c>
      <c r="B1727" t="s">
        <v>41</v>
      </c>
      <c r="C1727">
        <v>3</v>
      </c>
      <c r="D1727" s="9">
        <v>1490</v>
      </c>
      <c r="E1727" s="9">
        <f>+Tablo3[[#This Row],[Birim Fiyat]]*Tablo3[[#This Row],[Satış Adet]]</f>
        <v>4470</v>
      </c>
      <c r="F1727" s="9">
        <v>2070</v>
      </c>
      <c r="G1727" t="s">
        <v>59</v>
      </c>
      <c r="H1727" t="s">
        <v>39</v>
      </c>
    </row>
    <row r="1728" spans="1:8" x14ac:dyDescent="0.25">
      <c r="A1728" t="s">
        <v>38</v>
      </c>
      <c r="B1728" t="s">
        <v>55</v>
      </c>
      <c r="C1728">
        <v>5</v>
      </c>
      <c r="D1728" s="9">
        <v>1500</v>
      </c>
      <c r="E1728" s="9">
        <f>+Tablo3[[#This Row],[Birim Fiyat]]*Tablo3[[#This Row],[Satış Adet]]</f>
        <v>7500</v>
      </c>
      <c r="F1728" s="9">
        <v>3500</v>
      </c>
      <c r="G1728" t="s">
        <v>59</v>
      </c>
      <c r="H1728" t="s">
        <v>24</v>
      </c>
    </row>
    <row r="1729" spans="1:8" x14ac:dyDescent="0.25">
      <c r="A1729" t="s">
        <v>36</v>
      </c>
      <c r="B1729" t="s">
        <v>32</v>
      </c>
      <c r="C1729">
        <v>5</v>
      </c>
      <c r="D1729" s="9">
        <v>1090</v>
      </c>
      <c r="E1729" s="9">
        <f>+Tablo3[[#This Row],[Birim Fiyat]]*Tablo3[[#This Row],[Satış Adet]]</f>
        <v>5450</v>
      </c>
      <c r="F1729" s="9">
        <v>1450</v>
      </c>
      <c r="G1729" t="s">
        <v>59</v>
      </c>
      <c r="H1729" t="s">
        <v>52</v>
      </c>
    </row>
    <row r="1730" spans="1:8" x14ac:dyDescent="0.25">
      <c r="A1730" t="s">
        <v>46</v>
      </c>
      <c r="B1730" t="s">
        <v>31</v>
      </c>
      <c r="C1730">
        <v>2</v>
      </c>
      <c r="D1730" s="9">
        <v>1800</v>
      </c>
      <c r="E1730" s="9">
        <f>+Tablo3[[#This Row],[Birim Fiyat]]*Tablo3[[#This Row],[Satış Adet]]</f>
        <v>3600</v>
      </c>
      <c r="F1730" s="9">
        <v>2000</v>
      </c>
      <c r="G1730" t="s">
        <v>59</v>
      </c>
      <c r="H1730" t="s">
        <v>24</v>
      </c>
    </row>
    <row r="1731" spans="1:8" x14ac:dyDescent="0.25">
      <c r="A1731" t="s">
        <v>33</v>
      </c>
      <c r="B1731" t="s">
        <v>53</v>
      </c>
      <c r="C1731">
        <v>5</v>
      </c>
      <c r="D1731" s="9">
        <v>7530</v>
      </c>
      <c r="E1731" s="9">
        <f>+Tablo3[[#This Row],[Birim Fiyat]]*Tablo3[[#This Row],[Satış Adet]]</f>
        <v>37650</v>
      </c>
      <c r="F1731" s="9">
        <v>7650</v>
      </c>
      <c r="G1731" t="s">
        <v>59</v>
      </c>
      <c r="H1731" t="s">
        <v>42</v>
      </c>
    </row>
    <row r="1732" spans="1:8" x14ac:dyDescent="0.25">
      <c r="A1732" t="s">
        <v>30</v>
      </c>
      <c r="B1732" t="s">
        <v>26</v>
      </c>
      <c r="C1732">
        <v>4</v>
      </c>
      <c r="D1732" s="9">
        <v>1100</v>
      </c>
      <c r="E1732" s="9">
        <f>+Tablo3[[#This Row],[Birim Fiyat]]*Tablo3[[#This Row],[Satış Adet]]</f>
        <v>4400</v>
      </c>
      <c r="F1732" s="9">
        <v>1200</v>
      </c>
      <c r="G1732" t="s">
        <v>59</v>
      </c>
      <c r="H1732" t="s">
        <v>17</v>
      </c>
    </row>
    <row r="1733" spans="1:8" x14ac:dyDescent="0.25">
      <c r="A1733" t="s">
        <v>38</v>
      </c>
      <c r="B1733" t="s">
        <v>19</v>
      </c>
      <c r="C1733">
        <v>5</v>
      </c>
      <c r="D1733" s="9">
        <v>1350</v>
      </c>
      <c r="E1733" s="9">
        <f>+Tablo3[[#This Row],[Birim Fiyat]]*Tablo3[[#This Row],[Satış Adet]]</f>
        <v>6750</v>
      </c>
      <c r="F1733" s="9">
        <v>2750</v>
      </c>
      <c r="G1733" t="s">
        <v>59</v>
      </c>
      <c r="H1733" t="s">
        <v>42</v>
      </c>
    </row>
    <row r="1734" spans="1:8" x14ac:dyDescent="0.25">
      <c r="A1734" t="s">
        <v>36</v>
      </c>
      <c r="B1734" t="s">
        <v>19</v>
      </c>
      <c r="C1734">
        <v>4</v>
      </c>
      <c r="D1734" s="9">
        <v>1350</v>
      </c>
      <c r="E1734" s="9">
        <f>+Tablo3[[#This Row],[Birim Fiyat]]*Tablo3[[#This Row],[Satış Adet]]</f>
        <v>5400</v>
      </c>
      <c r="F1734" s="9">
        <v>2200</v>
      </c>
      <c r="G1734" t="s">
        <v>59</v>
      </c>
      <c r="H1734" t="s">
        <v>35</v>
      </c>
    </row>
    <row r="1735" spans="1:8" x14ac:dyDescent="0.25">
      <c r="A1735" t="s">
        <v>33</v>
      </c>
      <c r="B1735" t="s">
        <v>32</v>
      </c>
      <c r="C1735">
        <v>5</v>
      </c>
      <c r="D1735" s="9">
        <v>1090</v>
      </c>
      <c r="E1735" s="9">
        <f>+Tablo3[[#This Row],[Birim Fiyat]]*Tablo3[[#This Row],[Satış Adet]]</f>
        <v>5450</v>
      </c>
      <c r="F1735" s="9">
        <v>1450</v>
      </c>
      <c r="G1735" t="s">
        <v>59</v>
      </c>
      <c r="H1735" t="s">
        <v>27</v>
      </c>
    </row>
    <row r="1736" spans="1:8" x14ac:dyDescent="0.25">
      <c r="A1736" t="s">
        <v>33</v>
      </c>
      <c r="B1736" t="s">
        <v>43</v>
      </c>
      <c r="C1736">
        <v>5</v>
      </c>
      <c r="D1736" s="9">
        <v>4200</v>
      </c>
      <c r="E1736" s="9">
        <f>+Tablo3[[#This Row],[Birim Fiyat]]*Tablo3[[#This Row],[Satış Adet]]</f>
        <v>21000</v>
      </c>
      <c r="F1736" s="9">
        <v>6000</v>
      </c>
      <c r="G1736" t="s">
        <v>59</v>
      </c>
      <c r="H1736" t="s">
        <v>24</v>
      </c>
    </row>
    <row r="1737" spans="1:8" x14ac:dyDescent="0.25">
      <c r="A1737" t="s">
        <v>38</v>
      </c>
      <c r="B1737" t="s">
        <v>31</v>
      </c>
      <c r="C1737">
        <v>5</v>
      </c>
      <c r="D1737" s="9">
        <v>1800</v>
      </c>
      <c r="E1737" s="9">
        <f>+Tablo3[[#This Row],[Birim Fiyat]]*Tablo3[[#This Row],[Satış Adet]]</f>
        <v>9000</v>
      </c>
      <c r="F1737" s="9">
        <v>5000</v>
      </c>
      <c r="G1737" t="s">
        <v>59</v>
      </c>
      <c r="H1737" t="s">
        <v>24</v>
      </c>
    </row>
    <row r="1738" spans="1:8" x14ac:dyDescent="0.25">
      <c r="A1738" t="s">
        <v>48</v>
      </c>
      <c r="B1738" t="s">
        <v>32</v>
      </c>
      <c r="C1738">
        <v>2</v>
      </c>
      <c r="D1738" s="9">
        <v>1090</v>
      </c>
      <c r="E1738" s="9">
        <f>+Tablo3[[#This Row],[Birim Fiyat]]*Tablo3[[#This Row],[Satış Adet]]</f>
        <v>2180</v>
      </c>
      <c r="F1738" s="9">
        <v>580</v>
      </c>
      <c r="G1738" t="s">
        <v>59</v>
      </c>
      <c r="H1738" t="s">
        <v>20</v>
      </c>
    </row>
    <row r="1739" spans="1:8" x14ac:dyDescent="0.25">
      <c r="A1739" t="s">
        <v>8</v>
      </c>
      <c r="B1739" t="s">
        <v>23</v>
      </c>
      <c r="C1739">
        <v>5</v>
      </c>
      <c r="D1739" s="9">
        <v>7600</v>
      </c>
      <c r="E1739" s="9">
        <f>+Tablo3[[#This Row],[Birim Fiyat]]*Tablo3[[#This Row],[Satış Adet]]</f>
        <v>38000</v>
      </c>
      <c r="F1739" s="9">
        <v>8000</v>
      </c>
      <c r="G1739" t="s">
        <v>59</v>
      </c>
      <c r="H1739" t="s">
        <v>39</v>
      </c>
    </row>
    <row r="1740" spans="1:8" x14ac:dyDescent="0.25">
      <c r="A1740" t="s">
        <v>36</v>
      </c>
      <c r="B1740" t="s">
        <v>23</v>
      </c>
      <c r="C1740">
        <v>2</v>
      </c>
      <c r="D1740" s="9">
        <v>7600</v>
      </c>
      <c r="E1740" s="9">
        <f>+Tablo3[[#This Row],[Birim Fiyat]]*Tablo3[[#This Row],[Satış Adet]]</f>
        <v>15200</v>
      </c>
      <c r="F1740" s="9">
        <v>3200</v>
      </c>
      <c r="G1740" t="s">
        <v>59</v>
      </c>
      <c r="H1740" t="s">
        <v>40</v>
      </c>
    </row>
    <row r="1741" spans="1:8" x14ac:dyDescent="0.25">
      <c r="A1741" t="s">
        <v>15</v>
      </c>
      <c r="B1741" t="s">
        <v>56</v>
      </c>
      <c r="C1741">
        <v>5</v>
      </c>
      <c r="D1741" s="9">
        <v>3700</v>
      </c>
      <c r="E1741" s="9">
        <f>+Tablo3[[#This Row],[Birim Fiyat]]*Tablo3[[#This Row],[Satış Adet]]</f>
        <v>18500</v>
      </c>
      <c r="F1741" s="9">
        <v>3500</v>
      </c>
      <c r="G1741" t="s">
        <v>59</v>
      </c>
      <c r="H1741" t="s">
        <v>44</v>
      </c>
    </row>
    <row r="1742" spans="1:8" x14ac:dyDescent="0.25">
      <c r="A1742" t="s">
        <v>22</v>
      </c>
      <c r="B1742" t="s">
        <v>25</v>
      </c>
      <c r="C1742">
        <v>2</v>
      </c>
      <c r="D1742" s="9">
        <v>7250</v>
      </c>
      <c r="E1742" s="9">
        <f>+Tablo3[[#This Row],[Birim Fiyat]]*Tablo3[[#This Row],[Satış Adet]]</f>
        <v>14500</v>
      </c>
      <c r="F1742" s="9">
        <v>4500</v>
      </c>
      <c r="G1742" t="s">
        <v>59</v>
      </c>
      <c r="H1742" t="s">
        <v>44</v>
      </c>
    </row>
    <row r="1743" spans="1:8" x14ac:dyDescent="0.25">
      <c r="A1743" t="s">
        <v>12</v>
      </c>
      <c r="B1743" t="s">
        <v>23</v>
      </c>
      <c r="C1743">
        <v>4</v>
      </c>
      <c r="D1743" s="9">
        <v>7600</v>
      </c>
      <c r="E1743" s="9">
        <f>+Tablo3[[#This Row],[Birim Fiyat]]*Tablo3[[#This Row],[Satış Adet]]</f>
        <v>30400</v>
      </c>
      <c r="F1743" s="9">
        <v>6400</v>
      </c>
      <c r="G1743" t="s">
        <v>59</v>
      </c>
      <c r="H1743" t="s">
        <v>39</v>
      </c>
    </row>
    <row r="1744" spans="1:8" x14ac:dyDescent="0.25">
      <c r="A1744" t="s">
        <v>46</v>
      </c>
      <c r="B1744" t="s">
        <v>43</v>
      </c>
      <c r="C1744">
        <v>3</v>
      </c>
      <c r="D1744" s="9">
        <v>4200</v>
      </c>
      <c r="E1744" s="9">
        <f>+Tablo3[[#This Row],[Birim Fiyat]]*Tablo3[[#This Row],[Satış Adet]]</f>
        <v>12600</v>
      </c>
      <c r="F1744" s="9">
        <v>3600</v>
      </c>
      <c r="G1744" t="s">
        <v>59</v>
      </c>
      <c r="H1744" t="s">
        <v>27</v>
      </c>
    </row>
    <row r="1745" spans="1:8" x14ac:dyDescent="0.25">
      <c r="A1745" t="s">
        <v>30</v>
      </c>
      <c r="B1745" t="s">
        <v>50</v>
      </c>
      <c r="C1745">
        <v>5</v>
      </c>
      <c r="D1745" s="9">
        <v>1250</v>
      </c>
      <c r="E1745" s="9">
        <f>+Tablo3[[#This Row],[Birim Fiyat]]*Tablo3[[#This Row],[Satış Adet]]</f>
        <v>6250</v>
      </c>
      <c r="F1745" s="9">
        <v>2250</v>
      </c>
      <c r="G1745" t="s">
        <v>59</v>
      </c>
      <c r="H1745" t="s">
        <v>44</v>
      </c>
    </row>
    <row r="1746" spans="1:8" x14ac:dyDescent="0.25">
      <c r="A1746" t="s">
        <v>36</v>
      </c>
      <c r="B1746" t="s">
        <v>32</v>
      </c>
      <c r="C1746">
        <v>2</v>
      </c>
      <c r="D1746" s="9">
        <v>1090</v>
      </c>
      <c r="E1746" s="9">
        <f>+Tablo3[[#This Row],[Birim Fiyat]]*Tablo3[[#This Row],[Satış Adet]]</f>
        <v>2180</v>
      </c>
      <c r="F1746" s="9">
        <v>580</v>
      </c>
      <c r="G1746" t="s">
        <v>59</v>
      </c>
      <c r="H1746" t="s">
        <v>14</v>
      </c>
    </row>
    <row r="1747" spans="1:8" x14ac:dyDescent="0.25">
      <c r="A1747" t="s">
        <v>18</v>
      </c>
      <c r="B1747" t="s">
        <v>21</v>
      </c>
      <c r="C1747">
        <v>3</v>
      </c>
      <c r="D1747" s="9">
        <v>2180</v>
      </c>
      <c r="E1747" s="9">
        <f>+Tablo3[[#This Row],[Birim Fiyat]]*Tablo3[[#This Row],[Satış Adet]]</f>
        <v>6540</v>
      </c>
      <c r="F1747" s="9">
        <v>2040</v>
      </c>
      <c r="G1747" t="s">
        <v>59</v>
      </c>
      <c r="H1747" t="s">
        <v>44</v>
      </c>
    </row>
    <row r="1748" spans="1:8" x14ac:dyDescent="0.25">
      <c r="A1748" t="s">
        <v>48</v>
      </c>
      <c r="B1748" t="s">
        <v>56</v>
      </c>
      <c r="C1748">
        <v>2</v>
      </c>
      <c r="D1748" s="9">
        <v>3700</v>
      </c>
      <c r="E1748" s="9">
        <f>+Tablo3[[#This Row],[Birim Fiyat]]*Tablo3[[#This Row],[Satış Adet]]</f>
        <v>7400</v>
      </c>
      <c r="F1748" s="9">
        <v>1400</v>
      </c>
      <c r="G1748" t="s">
        <v>59</v>
      </c>
      <c r="H1748" t="s">
        <v>14</v>
      </c>
    </row>
    <row r="1749" spans="1:8" x14ac:dyDescent="0.25">
      <c r="A1749" t="s">
        <v>38</v>
      </c>
      <c r="B1749" t="s">
        <v>9</v>
      </c>
      <c r="C1749">
        <v>2</v>
      </c>
      <c r="D1749" s="9">
        <v>6000</v>
      </c>
      <c r="E1749" s="9">
        <f>+Tablo3[[#This Row],[Birim Fiyat]]*Tablo3[[#This Row],[Satış Adet]]</f>
        <v>12000</v>
      </c>
      <c r="F1749" s="9">
        <v>4000</v>
      </c>
      <c r="G1749" t="s">
        <v>59</v>
      </c>
      <c r="H1749" t="s">
        <v>17</v>
      </c>
    </row>
    <row r="1750" spans="1:8" x14ac:dyDescent="0.25">
      <c r="A1750" t="s">
        <v>46</v>
      </c>
      <c r="B1750" t="s">
        <v>50</v>
      </c>
      <c r="C1750">
        <v>3</v>
      </c>
      <c r="D1750" s="9">
        <v>1250</v>
      </c>
      <c r="E1750" s="9">
        <f>+Tablo3[[#This Row],[Birim Fiyat]]*Tablo3[[#This Row],[Satış Adet]]</f>
        <v>3750</v>
      </c>
      <c r="F1750" s="9">
        <v>1350</v>
      </c>
      <c r="G1750" t="s">
        <v>59</v>
      </c>
      <c r="H1750" t="s">
        <v>44</v>
      </c>
    </row>
    <row r="1751" spans="1:8" x14ac:dyDescent="0.25">
      <c r="A1751" t="s">
        <v>48</v>
      </c>
      <c r="B1751" t="s">
        <v>23</v>
      </c>
      <c r="C1751">
        <v>3</v>
      </c>
      <c r="D1751" s="9">
        <v>7600</v>
      </c>
      <c r="E1751" s="9">
        <f>+Tablo3[[#This Row],[Birim Fiyat]]*Tablo3[[#This Row],[Satış Adet]]</f>
        <v>22800</v>
      </c>
      <c r="F1751" s="9">
        <v>4800</v>
      </c>
      <c r="G1751" t="s">
        <v>59</v>
      </c>
      <c r="H1751" t="s">
        <v>52</v>
      </c>
    </row>
    <row r="1752" spans="1:8" x14ac:dyDescent="0.25">
      <c r="A1752" t="s">
        <v>8</v>
      </c>
      <c r="B1752" t="s">
        <v>13</v>
      </c>
      <c r="C1752">
        <v>5</v>
      </c>
      <c r="D1752" s="9">
        <v>1400</v>
      </c>
      <c r="E1752" s="9">
        <f>+Tablo3[[#This Row],[Birim Fiyat]]*Tablo3[[#This Row],[Satış Adet]]</f>
        <v>7000</v>
      </c>
      <c r="F1752" s="9">
        <v>3000</v>
      </c>
      <c r="G1752" t="s">
        <v>59</v>
      </c>
      <c r="H1752" t="s">
        <v>35</v>
      </c>
    </row>
    <row r="1753" spans="1:8" x14ac:dyDescent="0.25">
      <c r="A1753" t="s">
        <v>22</v>
      </c>
      <c r="B1753" t="s">
        <v>21</v>
      </c>
      <c r="C1753">
        <v>2</v>
      </c>
      <c r="D1753" s="9">
        <v>2180</v>
      </c>
      <c r="E1753" s="9">
        <f>+Tablo3[[#This Row],[Birim Fiyat]]*Tablo3[[#This Row],[Satış Adet]]</f>
        <v>4360</v>
      </c>
      <c r="F1753" s="9">
        <v>1360</v>
      </c>
      <c r="G1753" t="s">
        <v>59</v>
      </c>
      <c r="H1753" t="s">
        <v>39</v>
      </c>
    </row>
    <row r="1754" spans="1:8" x14ac:dyDescent="0.25">
      <c r="A1754" t="s">
        <v>8</v>
      </c>
      <c r="B1754" t="s">
        <v>31</v>
      </c>
      <c r="C1754">
        <v>3</v>
      </c>
      <c r="D1754" s="9">
        <v>1800</v>
      </c>
      <c r="E1754" s="9">
        <f>+Tablo3[[#This Row],[Birim Fiyat]]*Tablo3[[#This Row],[Satış Adet]]</f>
        <v>5400</v>
      </c>
      <c r="F1754" s="9">
        <v>3000</v>
      </c>
      <c r="G1754" t="s">
        <v>59</v>
      </c>
      <c r="H1754" t="s">
        <v>20</v>
      </c>
    </row>
    <row r="1755" spans="1:8" x14ac:dyDescent="0.25">
      <c r="A1755" t="s">
        <v>15</v>
      </c>
      <c r="B1755" t="s">
        <v>55</v>
      </c>
      <c r="C1755">
        <v>5</v>
      </c>
      <c r="D1755" s="9">
        <v>1500</v>
      </c>
      <c r="E1755" s="9">
        <f>+Tablo3[[#This Row],[Birim Fiyat]]*Tablo3[[#This Row],[Satış Adet]]</f>
        <v>7500</v>
      </c>
      <c r="F1755" s="9">
        <v>3500</v>
      </c>
      <c r="G1755" t="s">
        <v>59</v>
      </c>
      <c r="H1755" t="s">
        <v>52</v>
      </c>
    </row>
    <row r="1756" spans="1:8" x14ac:dyDescent="0.25">
      <c r="A1756" t="s">
        <v>30</v>
      </c>
      <c r="B1756" t="s">
        <v>16</v>
      </c>
      <c r="C1756">
        <v>3</v>
      </c>
      <c r="D1756" s="9">
        <v>8450</v>
      </c>
      <c r="E1756" s="9">
        <f>+Tablo3[[#This Row],[Birim Fiyat]]*Tablo3[[#This Row],[Satış Adet]]</f>
        <v>25350</v>
      </c>
      <c r="F1756" s="9">
        <v>7350</v>
      </c>
      <c r="G1756" t="s">
        <v>59</v>
      </c>
      <c r="H1756" t="s">
        <v>20</v>
      </c>
    </row>
    <row r="1757" spans="1:8" x14ac:dyDescent="0.25">
      <c r="A1757" t="s">
        <v>38</v>
      </c>
      <c r="B1757" t="s">
        <v>55</v>
      </c>
      <c r="C1757">
        <v>4</v>
      </c>
      <c r="D1757" s="9">
        <v>1500</v>
      </c>
      <c r="E1757" s="9">
        <f>+Tablo3[[#This Row],[Birim Fiyat]]*Tablo3[[#This Row],[Satış Adet]]</f>
        <v>6000</v>
      </c>
      <c r="F1757" s="9">
        <v>2800</v>
      </c>
      <c r="G1757" t="s">
        <v>59</v>
      </c>
      <c r="H1757" t="s">
        <v>20</v>
      </c>
    </row>
    <row r="1758" spans="1:8" x14ac:dyDescent="0.25">
      <c r="A1758" t="s">
        <v>67</v>
      </c>
      <c r="B1758" t="s">
        <v>9</v>
      </c>
      <c r="C1758">
        <v>4</v>
      </c>
      <c r="D1758" s="9">
        <v>6000</v>
      </c>
      <c r="E1758" s="9">
        <f>+Tablo3[[#This Row],[Birim Fiyat]]*Tablo3[[#This Row],[Satış Adet]]</f>
        <v>24000</v>
      </c>
      <c r="F1758" s="9">
        <v>8000</v>
      </c>
      <c r="G1758" t="s">
        <v>59</v>
      </c>
      <c r="H1758" t="s">
        <v>24</v>
      </c>
    </row>
    <row r="1759" spans="1:8" x14ac:dyDescent="0.25">
      <c r="A1759" t="s">
        <v>48</v>
      </c>
      <c r="B1759" t="s">
        <v>51</v>
      </c>
      <c r="C1759">
        <v>5</v>
      </c>
      <c r="D1759" s="9">
        <v>1200</v>
      </c>
      <c r="E1759" s="9">
        <f>+Tablo3[[#This Row],[Birim Fiyat]]*Tablo3[[#This Row],[Satış Adet]]</f>
        <v>6000</v>
      </c>
      <c r="F1759" s="9">
        <v>2000</v>
      </c>
      <c r="G1759" t="s">
        <v>59</v>
      </c>
      <c r="H1759" t="s">
        <v>44</v>
      </c>
    </row>
    <row r="1760" spans="1:8" x14ac:dyDescent="0.25">
      <c r="A1760" t="s">
        <v>8</v>
      </c>
      <c r="B1760" t="s">
        <v>43</v>
      </c>
      <c r="C1760">
        <v>2</v>
      </c>
      <c r="D1760" s="9">
        <v>4200</v>
      </c>
      <c r="E1760" s="9">
        <f>+Tablo3[[#This Row],[Birim Fiyat]]*Tablo3[[#This Row],[Satış Adet]]</f>
        <v>8400</v>
      </c>
      <c r="F1760" s="9">
        <v>2400</v>
      </c>
      <c r="G1760" t="s">
        <v>59</v>
      </c>
      <c r="H1760" t="s">
        <v>52</v>
      </c>
    </row>
    <row r="1761" spans="1:8" x14ac:dyDescent="0.25">
      <c r="A1761" t="s">
        <v>46</v>
      </c>
      <c r="B1761" t="s">
        <v>23</v>
      </c>
      <c r="C1761">
        <v>4</v>
      </c>
      <c r="D1761" s="9">
        <v>7600</v>
      </c>
      <c r="E1761" s="9">
        <f>+Tablo3[[#This Row],[Birim Fiyat]]*Tablo3[[#This Row],[Satış Adet]]</f>
        <v>30400</v>
      </c>
      <c r="F1761" s="9">
        <v>6400</v>
      </c>
      <c r="G1761" t="s">
        <v>59</v>
      </c>
      <c r="H1761" t="s">
        <v>14</v>
      </c>
    </row>
    <row r="1762" spans="1:8" x14ac:dyDescent="0.25">
      <c r="A1762" t="s">
        <v>67</v>
      </c>
      <c r="B1762" t="s">
        <v>25</v>
      </c>
      <c r="C1762">
        <v>4</v>
      </c>
      <c r="D1762" s="9">
        <v>7250</v>
      </c>
      <c r="E1762" s="9">
        <f>+Tablo3[[#This Row],[Birim Fiyat]]*Tablo3[[#This Row],[Satış Adet]]</f>
        <v>29000</v>
      </c>
      <c r="F1762" s="9">
        <v>9000</v>
      </c>
      <c r="G1762" t="s">
        <v>59</v>
      </c>
      <c r="H1762" t="s">
        <v>24</v>
      </c>
    </row>
    <row r="1763" spans="1:8" x14ac:dyDescent="0.25">
      <c r="A1763" t="s">
        <v>12</v>
      </c>
      <c r="B1763" t="s">
        <v>53</v>
      </c>
      <c r="C1763">
        <v>3</v>
      </c>
      <c r="D1763" s="9">
        <v>7530</v>
      </c>
      <c r="E1763" s="9">
        <f>+Tablo3[[#This Row],[Birim Fiyat]]*Tablo3[[#This Row],[Satış Adet]]</f>
        <v>22590</v>
      </c>
      <c r="F1763" s="9">
        <v>4590</v>
      </c>
      <c r="G1763" t="s">
        <v>59</v>
      </c>
      <c r="H1763" t="s">
        <v>27</v>
      </c>
    </row>
    <row r="1764" spans="1:8" x14ac:dyDescent="0.25">
      <c r="A1764" t="s">
        <v>15</v>
      </c>
      <c r="B1764" t="s">
        <v>25</v>
      </c>
      <c r="C1764">
        <v>4</v>
      </c>
      <c r="D1764" s="9">
        <v>7250</v>
      </c>
      <c r="E1764" s="9">
        <f>+Tablo3[[#This Row],[Birim Fiyat]]*Tablo3[[#This Row],[Satış Adet]]</f>
        <v>29000</v>
      </c>
      <c r="F1764" s="9">
        <v>9000</v>
      </c>
      <c r="G1764" t="s">
        <v>59</v>
      </c>
      <c r="H1764" t="s">
        <v>44</v>
      </c>
    </row>
    <row r="1765" spans="1:8" x14ac:dyDescent="0.25">
      <c r="A1765" t="s">
        <v>12</v>
      </c>
      <c r="B1765" t="s">
        <v>9</v>
      </c>
      <c r="C1765">
        <v>5</v>
      </c>
      <c r="D1765" s="9">
        <v>6000</v>
      </c>
      <c r="E1765" s="9">
        <f>+Tablo3[[#This Row],[Birim Fiyat]]*Tablo3[[#This Row],[Satış Adet]]</f>
        <v>30000</v>
      </c>
      <c r="F1765" s="9">
        <v>10000</v>
      </c>
      <c r="G1765" t="s">
        <v>59</v>
      </c>
      <c r="H1765" t="s">
        <v>29</v>
      </c>
    </row>
    <row r="1766" spans="1:8" x14ac:dyDescent="0.25">
      <c r="A1766" t="s">
        <v>67</v>
      </c>
      <c r="B1766" t="s">
        <v>51</v>
      </c>
      <c r="C1766">
        <v>3</v>
      </c>
      <c r="D1766" s="9">
        <v>1200</v>
      </c>
      <c r="E1766" s="9">
        <f>+Tablo3[[#This Row],[Birim Fiyat]]*Tablo3[[#This Row],[Satış Adet]]</f>
        <v>3600</v>
      </c>
      <c r="F1766" s="9">
        <v>1200</v>
      </c>
      <c r="G1766" t="s">
        <v>59</v>
      </c>
      <c r="H1766" t="s">
        <v>52</v>
      </c>
    </row>
    <row r="1767" spans="1:8" x14ac:dyDescent="0.25">
      <c r="A1767" t="s">
        <v>48</v>
      </c>
      <c r="B1767" t="s">
        <v>54</v>
      </c>
      <c r="C1767">
        <v>4</v>
      </c>
      <c r="D1767" s="9">
        <v>5300</v>
      </c>
      <c r="E1767" s="9">
        <f>+Tablo3[[#This Row],[Birim Fiyat]]*Tablo3[[#This Row],[Satış Adet]]</f>
        <v>21200</v>
      </c>
      <c r="F1767" s="9">
        <v>5200</v>
      </c>
      <c r="G1767" t="s">
        <v>59</v>
      </c>
      <c r="H1767" t="s">
        <v>17</v>
      </c>
    </row>
    <row r="1768" spans="1:8" x14ac:dyDescent="0.25">
      <c r="A1768" t="s">
        <v>36</v>
      </c>
      <c r="B1768" t="s">
        <v>16</v>
      </c>
      <c r="C1768">
        <v>5</v>
      </c>
      <c r="D1768" s="9">
        <v>8450</v>
      </c>
      <c r="E1768" s="9">
        <f>+Tablo3[[#This Row],[Birim Fiyat]]*Tablo3[[#This Row],[Satış Adet]]</f>
        <v>42250</v>
      </c>
      <c r="F1768" s="9">
        <v>12250</v>
      </c>
      <c r="G1768" t="s">
        <v>59</v>
      </c>
      <c r="H1768" t="s">
        <v>27</v>
      </c>
    </row>
    <row r="1769" spans="1:8" x14ac:dyDescent="0.25">
      <c r="A1769" t="s">
        <v>22</v>
      </c>
      <c r="B1769" t="s">
        <v>19</v>
      </c>
      <c r="C1769">
        <v>2</v>
      </c>
      <c r="D1769" s="9">
        <v>1350</v>
      </c>
      <c r="E1769" s="9">
        <f>+Tablo3[[#This Row],[Birim Fiyat]]*Tablo3[[#This Row],[Satış Adet]]</f>
        <v>2700</v>
      </c>
      <c r="F1769" s="9">
        <v>1100</v>
      </c>
      <c r="G1769" t="s">
        <v>59</v>
      </c>
      <c r="H1769" t="s">
        <v>39</v>
      </c>
    </row>
    <row r="1770" spans="1:8" x14ac:dyDescent="0.25">
      <c r="A1770" t="s">
        <v>30</v>
      </c>
      <c r="B1770" t="s">
        <v>32</v>
      </c>
      <c r="C1770">
        <v>4</v>
      </c>
      <c r="D1770" s="9">
        <v>1090</v>
      </c>
      <c r="E1770" s="9">
        <f>+Tablo3[[#This Row],[Birim Fiyat]]*Tablo3[[#This Row],[Satış Adet]]</f>
        <v>4360</v>
      </c>
      <c r="F1770" s="9">
        <v>1160</v>
      </c>
      <c r="G1770" t="s">
        <v>59</v>
      </c>
      <c r="H1770" t="s">
        <v>52</v>
      </c>
    </row>
    <row r="1771" spans="1:8" x14ac:dyDescent="0.25">
      <c r="A1771" t="s">
        <v>22</v>
      </c>
      <c r="B1771" t="s">
        <v>21</v>
      </c>
      <c r="C1771">
        <v>2</v>
      </c>
      <c r="D1771" s="9">
        <v>2180</v>
      </c>
      <c r="E1771" s="9">
        <f>+Tablo3[[#This Row],[Birim Fiyat]]*Tablo3[[#This Row],[Satış Adet]]</f>
        <v>4360</v>
      </c>
      <c r="F1771" s="9">
        <v>1360</v>
      </c>
      <c r="G1771" t="s">
        <v>59</v>
      </c>
      <c r="H1771" t="s">
        <v>24</v>
      </c>
    </row>
    <row r="1772" spans="1:8" x14ac:dyDescent="0.25">
      <c r="A1772" t="s">
        <v>8</v>
      </c>
      <c r="B1772" t="s">
        <v>9</v>
      </c>
      <c r="C1772">
        <v>5</v>
      </c>
      <c r="D1772" s="9">
        <v>6000</v>
      </c>
      <c r="E1772" s="9">
        <f>+Tablo3[[#This Row],[Birim Fiyat]]*Tablo3[[#This Row],[Satış Adet]]</f>
        <v>30000</v>
      </c>
      <c r="F1772" s="9">
        <v>10000</v>
      </c>
      <c r="G1772" t="s">
        <v>59</v>
      </c>
      <c r="H1772" t="s">
        <v>42</v>
      </c>
    </row>
    <row r="1773" spans="1:8" x14ac:dyDescent="0.25">
      <c r="A1773" t="s">
        <v>12</v>
      </c>
      <c r="B1773" t="s">
        <v>13</v>
      </c>
      <c r="C1773">
        <v>5</v>
      </c>
      <c r="D1773" s="9">
        <v>1400</v>
      </c>
      <c r="E1773" s="9">
        <f>+Tablo3[[#This Row],[Birim Fiyat]]*Tablo3[[#This Row],[Satış Adet]]</f>
        <v>7000</v>
      </c>
      <c r="F1773" s="9">
        <v>3000</v>
      </c>
      <c r="G1773" t="s">
        <v>59</v>
      </c>
      <c r="H1773" t="s">
        <v>20</v>
      </c>
    </row>
    <row r="1774" spans="1:8" x14ac:dyDescent="0.25">
      <c r="A1774" t="s">
        <v>15</v>
      </c>
      <c r="B1774" t="s">
        <v>16</v>
      </c>
      <c r="C1774">
        <v>2</v>
      </c>
      <c r="D1774" s="9">
        <v>8450</v>
      </c>
      <c r="E1774" s="9">
        <f>+Tablo3[[#This Row],[Birim Fiyat]]*Tablo3[[#This Row],[Satış Adet]]</f>
        <v>16900</v>
      </c>
      <c r="F1774" s="9">
        <v>4900</v>
      </c>
      <c r="G1774" t="s">
        <v>59</v>
      </c>
      <c r="H1774" t="s">
        <v>24</v>
      </c>
    </row>
    <row r="1775" spans="1:8" x14ac:dyDescent="0.25">
      <c r="A1775" t="s">
        <v>18</v>
      </c>
      <c r="B1775" t="s">
        <v>19</v>
      </c>
      <c r="C1775">
        <v>4</v>
      </c>
      <c r="D1775" s="9">
        <v>1350</v>
      </c>
      <c r="E1775" s="9">
        <f>+Tablo3[[#This Row],[Birim Fiyat]]*Tablo3[[#This Row],[Satış Adet]]</f>
        <v>5400</v>
      </c>
      <c r="F1775" s="9">
        <v>2200</v>
      </c>
      <c r="G1775" t="s">
        <v>59</v>
      </c>
      <c r="H1775" t="s">
        <v>42</v>
      </c>
    </row>
    <row r="1776" spans="1:8" x14ac:dyDescent="0.25">
      <c r="A1776" t="s">
        <v>8</v>
      </c>
      <c r="B1776" t="s">
        <v>21</v>
      </c>
      <c r="C1776">
        <v>2</v>
      </c>
      <c r="D1776" s="9">
        <v>2180</v>
      </c>
      <c r="E1776" s="9">
        <f>+Tablo3[[#This Row],[Birim Fiyat]]*Tablo3[[#This Row],[Satış Adet]]</f>
        <v>4360</v>
      </c>
      <c r="F1776" s="9">
        <v>1360</v>
      </c>
      <c r="G1776" t="s">
        <v>59</v>
      </c>
      <c r="H1776" t="s">
        <v>42</v>
      </c>
    </row>
    <row r="1777" spans="1:8" x14ac:dyDescent="0.25">
      <c r="A1777" t="s">
        <v>22</v>
      </c>
      <c r="B1777" t="s">
        <v>23</v>
      </c>
      <c r="C1777">
        <v>4</v>
      </c>
      <c r="D1777" s="9">
        <v>7600</v>
      </c>
      <c r="E1777" s="9">
        <f>+Tablo3[[#This Row],[Birim Fiyat]]*Tablo3[[#This Row],[Satış Adet]]</f>
        <v>30400</v>
      </c>
      <c r="F1777" s="9">
        <v>6400</v>
      </c>
      <c r="G1777" t="s">
        <v>59</v>
      </c>
      <c r="H1777" t="s">
        <v>17</v>
      </c>
    </row>
    <row r="1778" spans="1:8" x14ac:dyDescent="0.25">
      <c r="A1778" t="s">
        <v>12</v>
      </c>
      <c r="B1778" t="s">
        <v>25</v>
      </c>
      <c r="C1778">
        <v>2</v>
      </c>
      <c r="D1778" s="9">
        <v>7250</v>
      </c>
      <c r="E1778" s="9">
        <f>+Tablo3[[#This Row],[Birim Fiyat]]*Tablo3[[#This Row],[Satış Adet]]</f>
        <v>14500</v>
      </c>
      <c r="F1778" s="9">
        <v>4500</v>
      </c>
      <c r="G1778" t="s">
        <v>59</v>
      </c>
      <c r="H1778" t="s">
        <v>35</v>
      </c>
    </row>
    <row r="1779" spans="1:8" x14ac:dyDescent="0.25">
      <c r="A1779" t="s">
        <v>18</v>
      </c>
      <c r="B1779" t="s">
        <v>26</v>
      </c>
      <c r="C1779">
        <v>3</v>
      </c>
      <c r="D1779" s="9">
        <v>1100</v>
      </c>
      <c r="E1779" s="9">
        <f>+Tablo3[[#This Row],[Birim Fiyat]]*Tablo3[[#This Row],[Satış Adet]]</f>
        <v>3300</v>
      </c>
      <c r="F1779" s="9">
        <v>900</v>
      </c>
      <c r="G1779" t="s">
        <v>59</v>
      </c>
      <c r="H1779" t="s">
        <v>39</v>
      </c>
    </row>
    <row r="1780" spans="1:8" x14ac:dyDescent="0.25">
      <c r="A1780" t="s">
        <v>67</v>
      </c>
      <c r="B1780" t="s">
        <v>9</v>
      </c>
      <c r="C1780">
        <v>3</v>
      </c>
      <c r="D1780" s="9">
        <v>6000</v>
      </c>
      <c r="E1780" s="9">
        <f>+Tablo3[[#This Row],[Birim Fiyat]]*Tablo3[[#This Row],[Satış Adet]]</f>
        <v>18000</v>
      </c>
      <c r="F1780" s="9">
        <v>6000</v>
      </c>
      <c r="G1780" t="s">
        <v>59</v>
      </c>
      <c r="H1780" t="s">
        <v>11</v>
      </c>
    </row>
    <row r="1781" spans="1:8" x14ac:dyDescent="0.25">
      <c r="A1781" t="s">
        <v>8</v>
      </c>
      <c r="B1781" t="s">
        <v>28</v>
      </c>
      <c r="C1781">
        <v>3</v>
      </c>
      <c r="D1781" s="9">
        <v>1200</v>
      </c>
      <c r="E1781" s="9">
        <f>+Tablo3[[#This Row],[Birim Fiyat]]*Tablo3[[#This Row],[Satış Adet]]</f>
        <v>3600</v>
      </c>
      <c r="F1781" s="9">
        <v>1200</v>
      </c>
      <c r="G1781" t="s">
        <v>59</v>
      </c>
      <c r="H1781" t="s">
        <v>27</v>
      </c>
    </row>
    <row r="1782" spans="1:8" x14ac:dyDescent="0.25">
      <c r="A1782" t="s">
        <v>30</v>
      </c>
      <c r="B1782" t="s">
        <v>31</v>
      </c>
      <c r="C1782">
        <v>2</v>
      </c>
      <c r="D1782" s="9">
        <v>1800</v>
      </c>
      <c r="E1782" s="9">
        <f>+Tablo3[[#This Row],[Birim Fiyat]]*Tablo3[[#This Row],[Satış Adet]]</f>
        <v>3600</v>
      </c>
      <c r="F1782" s="9">
        <v>2000</v>
      </c>
      <c r="G1782" t="s">
        <v>59</v>
      </c>
      <c r="H1782" t="s">
        <v>52</v>
      </c>
    </row>
    <row r="1783" spans="1:8" x14ac:dyDescent="0.25">
      <c r="A1783" t="s">
        <v>30</v>
      </c>
      <c r="B1783" t="s">
        <v>32</v>
      </c>
      <c r="C1783">
        <v>3</v>
      </c>
      <c r="D1783" s="9">
        <v>1090</v>
      </c>
      <c r="E1783" s="9">
        <f>+Tablo3[[#This Row],[Birim Fiyat]]*Tablo3[[#This Row],[Satış Adet]]</f>
        <v>3270</v>
      </c>
      <c r="F1783" s="9">
        <v>870</v>
      </c>
      <c r="G1783" t="s">
        <v>59</v>
      </c>
      <c r="H1783" t="s">
        <v>14</v>
      </c>
    </row>
    <row r="1784" spans="1:8" x14ac:dyDescent="0.25">
      <c r="A1784" t="s">
        <v>67</v>
      </c>
      <c r="B1784" t="s">
        <v>21</v>
      </c>
      <c r="C1784">
        <v>2</v>
      </c>
      <c r="D1784" s="9">
        <v>2180</v>
      </c>
      <c r="E1784" s="9">
        <f>+Tablo3[[#This Row],[Birim Fiyat]]*Tablo3[[#This Row],[Satış Adet]]</f>
        <v>4360</v>
      </c>
      <c r="F1784" s="9">
        <v>1360</v>
      </c>
      <c r="G1784" t="s">
        <v>59</v>
      </c>
      <c r="H1784" t="s">
        <v>42</v>
      </c>
    </row>
    <row r="1785" spans="1:8" x14ac:dyDescent="0.25">
      <c r="A1785" t="s">
        <v>33</v>
      </c>
      <c r="B1785" t="s">
        <v>31</v>
      </c>
      <c r="C1785">
        <v>4</v>
      </c>
      <c r="D1785" s="9">
        <v>1800</v>
      </c>
      <c r="E1785" s="9">
        <f>+Tablo3[[#This Row],[Birim Fiyat]]*Tablo3[[#This Row],[Satış Adet]]</f>
        <v>7200</v>
      </c>
      <c r="F1785" s="9">
        <v>4000</v>
      </c>
      <c r="G1785" t="s">
        <v>59</v>
      </c>
      <c r="H1785" t="s">
        <v>40</v>
      </c>
    </row>
    <row r="1786" spans="1:8" x14ac:dyDescent="0.25">
      <c r="A1786" t="s">
        <v>22</v>
      </c>
      <c r="B1786" t="s">
        <v>34</v>
      </c>
      <c r="C1786">
        <v>5</v>
      </c>
      <c r="D1786" s="9">
        <v>8000</v>
      </c>
      <c r="E1786" s="9">
        <f>+Tablo3[[#This Row],[Birim Fiyat]]*Tablo3[[#This Row],[Satış Adet]]</f>
        <v>40000</v>
      </c>
      <c r="F1786" s="9">
        <v>10000</v>
      </c>
      <c r="G1786" t="s">
        <v>59</v>
      </c>
      <c r="H1786" t="s">
        <v>42</v>
      </c>
    </row>
    <row r="1787" spans="1:8" x14ac:dyDescent="0.25">
      <c r="A1787" t="s">
        <v>67</v>
      </c>
      <c r="B1787" t="s">
        <v>13</v>
      </c>
      <c r="C1787">
        <v>5</v>
      </c>
      <c r="D1787" s="9">
        <v>1400</v>
      </c>
      <c r="E1787" s="9">
        <f>+Tablo3[[#This Row],[Birim Fiyat]]*Tablo3[[#This Row],[Satış Adet]]</f>
        <v>7000</v>
      </c>
      <c r="F1787" s="9">
        <v>3000</v>
      </c>
      <c r="G1787" t="s">
        <v>59</v>
      </c>
      <c r="H1787" t="s">
        <v>14</v>
      </c>
    </row>
    <row r="1788" spans="1:8" x14ac:dyDescent="0.25">
      <c r="A1788" t="s">
        <v>36</v>
      </c>
      <c r="B1788" t="s">
        <v>37</v>
      </c>
      <c r="C1788">
        <v>2</v>
      </c>
      <c r="D1788" s="9">
        <v>10590</v>
      </c>
      <c r="E1788" s="9">
        <f>+Tablo3[[#This Row],[Birim Fiyat]]*Tablo3[[#This Row],[Satış Adet]]</f>
        <v>21180</v>
      </c>
      <c r="F1788" s="9">
        <v>9180</v>
      </c>
      <c r="G1788" t="s">
        <v>59</v>
      </c>
      <c r="H1788" t="s">
        <v>27</v>
      </c>
    </row>
    <row r="1789" spans="1:8" x14ac:dyDescent="0.25">
      <c r="A1789" t="s">
        <v>38</v>
      </c>
      <c r="B1789" t="s">
        <v>19</v>
      </c>
      <c r="C1789">
        <v>4</v>
      </c>
      <c r="D1789" s="9">
        <v>1350</v>
      </c>
      <c r="E1789" s="9">
        <f>+Tablo3[[#This Row],[Birim Fiyat]]*Tablo3[[#This Row],[Satış Adet]]</f>
        <v>5400</v>
      </c>
      <c r="F1789" s="9">
        <v>2200</v>
      </c>
      <c r="G1789" t="s">
        <v>59</v>
      </c>
      <c r="H1789" t="s">
        <v>14</v>
      </c>
    </row>
    <row r="1790" spans="1:8" x14ac:dyDescent="0.25">
      <c r="A1790" t="s">
        <v>30</v>
      </c>
      <c r="B1790" t="s">
        <v>13</v>
      </c>
      <c r="C1790">
        <v>3</v>
      </c>
      <c r="D1790" s="9">
        <v>1400</v>
      </c>
      <c r="E1790" s="9">
        <f>+Tablo3[[#This Row],[Birim Fiyat]]*Tablo3[[#This Row],[Satış Adet]]</f>
        <v>4200</v>
      </c>
      <c r="F1790" s="9">
        <v>1800</v>
      </c>
      <c r="G1790" t="s">
        <v>59</v>
      </c>
      <c r="H1790" t="s">
        <v>35</v>
      </c>
    </row>
    <row r="1791" spans="1:8" x14ac:dyDescent="0.25">
      <c r="A1791" t="s">
        <v>18</v>
      </c>
      <c r="B1791" t="s">
        <v>9</v>
      </c>
      <c r="C1791">
        <v>4</v>
      </c>
      <c r="D1791" s="9">
        <v>6000</v>
      </c>
      <c r="E1791" s="9">
        <f>+Tablo3[[#This Row],[Birim Fiyat]]*Tablo3[[#This Row],[Satış Adet]]</f>
        <v>24000</v>
      </c>
      <c r="F1791" s="9">
        <v>8000</v>
      </c>
      <c r="G1791" t="s">
        <v>59</v>
      </c>
      <c r="H1791" t="s">
        <v>11</v>
      </c>
    </row>
    <row r="1792" spans="1:8" x14ac:dyDescent="0.25">
      <c r="A1792" t="s">
        <v>36</v>
      </c>
      <c r="B1792" t="s">
        <v>26</v>
      </c>
      <c r="C1792">
        <v>2</v>
      </c>
      <c r="D1792" s="9">
        <v>1100</v>
      </c>
      <c r="E1792" s="9">
        <f>+Tablo3[[#This Row],[Birim Fiyat]]*Tablo3[[#This Row],[Satış Adet]]</f>
        <v>2200</v>
      </c>
      <c r="F1792" s="9">
        <v>600</v>
      </c>
      <c r="G1792" t="s">
        <v>59</v>
      </c>
      <c r="H1792" t="s">
        <v>52</v>
      </c>
    </row>
    <row r="1793" spans="1:8" x14ac:dyDescent="0.25">
      <c r="A1793" t="s">
        <v>15</v>
      </c>
      <c r="B1793" t="s">
        <v>9</v>
      </c>
      <c r="C1793">
        <v>2</v>
      </c>
      <c r="D1793" s="9">
        <v>6000</v>
      </c>
      <c r="E1793" s="9">
        <f>+Tablo3[[#This Row],[Birim Fiyat]]*Tablo3[[#This Row],[Satış Adet]]</f>
        <v>12000</v>
      </c>
      <c r="F1793" s="9">
        <v>4000</v>
      </c>
      <c r="G1793" t="s">
        <v>59</v>
      </c>
      <c r="H1793" t="s">
        <v>29</v>
      </c>
    </row>
    <row r="1794" spans="1:8" x14ac:dyDescent="0.25">
      <c r="A1794" t="s">
        <v>38</v>
      </c>
      <c r="B1794" t="s">
        <v>41</v>
      </c>
      <c r="C1794">
        <v>4</v>
      </c>
      <c r="D1794" s="9">
        <v>1490</v>
      </c>
      <c r="E1794" s="9">
        <f>+Tablo3[[#This Row],[Birim Fiyat]]*Tablo3[[#This Row],[Satış Adet]]</f>
        <v>5960</v>
      </c>
      <c r="F1794" s="9">
        <v>2760</v>
      </c>
      <c r="G1794" t="s">
        <v>59</v>
      </c>
      <c r="H1794" t="s">
        <v>29</v>
      </c>
    </row>
    <row r="1795" spans="1:8" x14ac:dyDescent="0.25">
      <c r="A1795" t="s">
        <v>36</v>
      </c>
      <c r="B1795" t="s">
        <v>37</v>
      </c>
      <c r="C1795">
        <v>4</v>
      </c>
      <c r="D1795" s="9">
        <v>10590</v>
      </c>
      <c r="E1795" s="9">
        <f>+Tablo3[[#This Row],[Birim Fiyat]]*Tablo3[[#This Row],[Satış Adet]]</f>
        <v>42360</v>
      </c>
      <c r="F1795" s="9">
        <v>18360</v>
      </c>
      <c r="G1795" t="s">
        <v>59</v>
      </c>
      <c r="H1795" t="s">
        <v>27</v>
      </c>
    </row>
    <row r="1796" spans="1:8" x14ac:dyDescent="0.25">
      <c r="A1796" t="s">
        <v>15</v>
      </c>
      <c r="B1796" t="s">
        <v>34</v>
      </c>
      <c r="C1796">
        <v>2</v>
      </c>
      <c r="D1796" s="9">
        <v>8000</v>
      </c>
      <c r="E1796" s="9">
        <f>+Tablo3[[#This Row],[Birim Fiyat]]*Tablo3[[#This Row],[Satış Adet]]</f>
        <v>16000</v>
      </c>
      <c r="F1796" s="9">
        <v>4000</v>
      </c>
      <c r="G1796" t="s">
        <v>59</v>
      </c>
      <c r="H1796" t="s">
        <v>39</v>
      </c>
    </row>
    <row r="1797" spans="1:8" x14ac:dyDescent="0.25">
      <c r="A1797" t="s">
        <v>30</v>
      </c>
      <c r="B1797" t="s">
        <v>26</v>
      </c>
      <c r="C1797">
        <v>3</v>
      </c>
      <c r="D1797" s="9">
        <v>1100</v>
      </c>
      <c r="E1797" s="9">
        <f>+Tablo3[[#This Row],[Birim Fiyat]]*Tablo3[[#This Row],[Satış Adet]]</f>
        <v>3300</v>
      </c>
      <c r="F1797" s="9">
        <v>900</v>
      </c>
      <c r="G1797" t="s">
        <v>59</v>
      </c>
      <c r="H1797" t="s">
        <v>14</v>
      </c>
    </row>
    <row r="1798" spans="1:8" x14ac:dyDescent="0.25">
      <c r="A1798" t="s">
        <v>38</v>
      </c>
      <c r="B1798" t="s">
        <v>28</v>
      </c>
      <c r="C1798">
        <v>3</v>
      </c>
      <c r="D1798" s="9">
        <v>1200</v>
      </c>
      <c r="E1798" s="9">
        <f>+Tablo3[[#This Row],[Birim Fiyat]]*Tablo3[[#This Row],[Satış Adet]]</f>
        <v>3600</v>
      </c>
      <c r="F1798" s="9">
        <v>1200</v>
      </c>
      <c r="G1798" t="s">
        <v>59</v>
      </c>
      <c r="H1798" t="s">
        <v>35</v>
      </c>
    </row>
    <row r="1799" spans="1:8" x14ac:dyDescent="0.25">
      <c r="A1799" t="s">
        <v>22</v>
      </c>
      <c r="B1799" t="s">
        <v>43</v>
      </c>
      <c r="C1799">
        <v>3</v>
      </c>
      <c r="D1799" s="9">
        <v>4200</v>
      </c>
      <c r="E1799" s="9">
        <f>+Tablo3[[#This Row],[Birim Fiyat]]*Tablo3[[#This Row],[Satış Adet]]</f>
        <v>12600</v>
      </c>
      <c r="F1799" s="9">
        <v>3600</v>
      </c>
      <c r="G1799" t="s">
        <v>59</v>
      </c>
      <c r="H1799" t="s">
        <v>42</v>
      </c>
    </row>
    <row r="1800" spans="1:8" x14ac:dyDescent="0.25">
      <c r="A1800" t="s">
        <v>12</v>
      </c>
      <c r="B1800" t="s">
        <v>45</v>
      </c>
      <c r="C1800">
        <v>5</v>
      </c>
      <c r="D1800" s="9">
        <v>5775</v>
      </c>
      <c r="E1800" s="9">
        <f>+Tablo3[[#This Row],[Birim Fiyat]]*Tablo3[[#This Row],[Satış Adet]]</f>
        <v>28875</v>
      </c>
      <c r="F1800" s="9">
        <v>8875</v>
      </c>
      <c r="G1800" t="s">
        <v>59</v>
      </c>
      <c r="H1800" t="s">
        <v>39</v>
      </c>
    </row>
    <row r="1801" spans="1:8" x14ac:dyDescent="0.25">
      <c r="A1801" t="s">
        <v>46</v>
      </c>
      <c r="B1801" t="s">
        <v>23</v>
      </c>
      <c r="C1801">
        <v>4</v>
      </c>
      <c r="D1801" s="9">
        <v>7600</v>
      </c>
      <c r="E1801" s="9">
        <f>+Tablo3[[#This Row],[Birim Fiyat]]*Tablo3[[#This Row],[Satış Adet]]</f>
        <v>30400</v>
      </c>
      <c r="F1801" s="9">
        <v>6400</v>
      </c>
      <c r="G1801" t="s">
        <v>59</v>
      </c>
      <c r="H1801" t="s">
        <v>24</v>
      </c>
    </row>
    <row r="1802" spans="1:8" x14ac:dyDescent="0.25">
      <c r="A1802" t="s">
        <v>12</v>
      </c>
      <c r="B1802" t="s">
        <v>25</v>
      </c>
      <c r="C1802">
        <v>2</v>
      </c>
      <c r="D1802" s="9">
        <v>7250</v>
      </c>
      <c r="E1802" s="9">
        <f>+Tablo3[[#This Row],[Birim Fiyat]]*Tablo3[[#This Row],[Satış Adet]]</f>
        <v>14500</v>
      </c>
      <c r="F1802" s="9">
        <v>4500</v>
      </c>
      <c r="G1802" t="s">
        <v>59</v>
      </c>
      <c r="H1802" t="s">
        <v>14</v>
      </c>
    </row>
    <row r="1803" spans="1:8" x14ac:dyDescent="0.25">
      <c r="A1803" t="s">
        <v>8</v>
      </c>
      <c r="B1803" t="s">
        <v>25</v>
      </c>
      <c r="C1803">
        <v>2</v>
      </c>
      <c r="D1803" s="9">
        <v>7250</v>
      </c>
      <c r="E1803" s="9">
        <f>+Tablo3[[#This Row],[Birim Fiyat]]*Tablo3[[#This Row],[Satış Adet]]</f>
        <v>14500</v>
      </c>
      <c r="F1803" s="9">
        <v>4500</v>
      </c>
      <c r="G1803" t="s">
        <v>59</v>
      </c>
      <c r="H1803" t="s">
        <v>17</v>
      </c>
    </row>
    <row r="1804" spans="1:8" x14ac:dyDescent="0.25">
      <c r="A1804" t="s">
        <v>36</v>
      </c>
      <c r="B1804" t="s">
        <v>25</v>
      </c>
      <c r="C1804">
        <v>2</v>
      </c>
      <c r="D1804" s="9">
        <v>7250</v>
      </c>
      <c r="E1804" s="9">
        <f>+Tablo3[[#This Row],[Birim Fiyat]]*Tablo3[[#This Row],[Satış Adet]]</f>
        <v>14500</v>
      </c>
      <c r="F1804" s="9">
        <v>4500</v>
      </c>
      <c r="G1804" t="s">
        <v>59</v>
      </c>
      <c r="H1804" t="s">
        <v>40</v>
      </c>
    </row>
    <row r="1805" spans="1:8" x14ac:dyDescent="0.25">
      <c r="A1805" t="s">
        <v>67</v>
      </c>
      <c r="B1805" t="s">
        <v>19</v>
      </c>
      <c r="C1805">
        <v>5</v>
      </c>
      <c r="D1805" s="9">
        <v>1350</v>
      </c>
      <c r="E1805" s="9">
        <f>+Tablo3[[#This Row],[Birim Fiyat]]*Tablo3[[#This Row],[Satış Adet]]</f>
        <v>6750</v>
      </c>
      <c r="F1805" s="9">
        <v>2750</v>
      </c>
      <c r="G1805" t="s">
        <v>59</v>
      </c>
      <c r="H1805" t="s">
        <v>20</v>
      </c>
    </row>
    <row r="1806" spans="1:8" x14ac:dyDescent="0.25">
      <c r="A1806" t="s">
        <v>12</v>
      </c>
      <c r="B1806" t="s">
        <v>25</v>
      </c>
      <c r="C1806">
        <v>4</v>
      </c>
      <c r="D1806" s="9">
        <v>7250</v>
      </c>
      <c r="E1806" s="9">
        <f>+Tablo3[[#This Row],[Birim Fiyat]]*Tablo3[[#This Row],[Satış Adet]]</f>
        <v>29000</v>
      </c>
      <c r="F1806" s="9">
        <v>9000</v>
      </c>
      <c r="G1806" t="s">
        <v>59</v>
      </c>
      <c r="H1806" t="s">
        <v>42</v>
      </c>
    </row>
    <row r="1807" spans="1:8" x14ac:dyDescent="0.25">
      <c r="A1807" t="s">
        <v>30</v>
      </c>
      <c r="B1807" t="s">
        <v>23</v>
      </c>
      <c r="C1807">
        <v>3</v>
      </c>
      <c r="D1807" s="9">
        <v>7600</v>
      </c>
      <c r="E1807" s="9">
        <f>+Tablo3[[#This Row],[Birim Fiyat]]*Tablo3[[#This Row],[Satış Adet]]</f>
        <v>22800</v>
      </c>
      <c r="F1807" s="9">
        <v>4800</v>
      </c>
      <c r="G1807" t="s">
        <v>59</v>
      </c>
      <c r="H1807" t="s">
        <v>42</v>
      </c>
    </row>
    <row r="1808" spans="1:8" x14ac:dyDescent="0.25">
      <c r="A1808" t="s">
        <v>48</v>
      </c>
      <c r="B1808" t="s">
        <v>23</v>
      </c>
      <c r="C1808">
        <v>2</v>
      </c>
      <c r="D1808" s="9">
        <v>7600</v>
      </c>
      <c r="E1808" s="9">
        <f>+Tablo3[[#This Row],[Birim Fiyat]]*Tablo3[[#This Row],[Satış Adet]]</f>
        <v>15200</v>
      </c>
      <c r="F1808" s="9">
        <v>3200</v>
      </c>
      <c r="G1808" t="s">
        <v>59</v>
      </c>
      <c r="H1808" t="s">
        <v>29</v>
      </c>
    </row>
    <row r="1809" spans="1:8" x14ac:dyDescent="0.25">
      <c r="A1809" t="s">
        <v>12</v>
      </c>
      <c r="B1809" t="s">
        <v>41</v>
      </c>
      <c r="C1809">
        <v>4</v>
      </c>
      <c r="D1809" s="9">
        <v>1490</v>
      </c>
      <c r="E1809" s="9">
        <f>+Tablo3[[#This Row],[Birim Fiyat]]*Tablo3[[#This Row],[Satış Adet]]</f>
        <v>5960</v>
      </c>
      <c r="F1809" s="9">
        <v>2760</v>
      </c>
      <c r="G1809" t="s">
        <v>59</v>
      </c>
      <c r="H1809" t="s">
        <v>27</v>
      </c>
    </row>
    <row r="1810" spans="1:8" x14ac:dyDescent="0.25">
      <c r="A1810" t="s">
        <v>67</v>
      </c>
      <c r="B1810" t="s">
        <v>49</v>
      </c>
      <c r="C1810">
        <v>3</v>
      </c>
      <c r="D1810" s="9">
        <v>2900</v>
      </c>
      <c r="E1810" s="9">
        <f>+Tablo3[[#This Row],[Birim Fiyat]]*Tablo3[[#This Row],[Satış Adet]]</f>
        <v>8700</v>
      </c>
      <c r="F1810" s="9">
        <v>2700</v>
      </c>
      <c r="G1810" t="s">
        <v>59</v>
      </c>
      <c r="H1810" t="s">
        <v>20</v>
      </c>
    </row>
    <row r="1811" spans="1:8" x14ac:dyDescent="0.25">
      <c r="A1811" t="s">
        <v>38</v>
      </c>
      <c r="B1811" t="s">
        <v>41</v>
      </c>
      <c r="C1811">
        <v>2</v>
      </c>
      <c r="D1811" s="9">
        <v>1490</v>
      </c>
      <c r="E1811" s="9">
        <f>+Tablo3[[#This Row],[Birim Fiyat]]*Tablo3[[#This Row],[Satış Adet]]</f>
        <v>2980</v>
      </c>
      <c r="F1811" s="9">
        <v>1380</v>
      </c>
      <c r="G1811" t="s">
        <v>59</v>
      </c>
      <c r="H1811" t="s">
        <v>29</v>
      </c>
    </row>
    <row r="1812" spans="1:8" x14ac:dyDescent="0.25">
      <c r="A1812" t="s">
        <v>38</v>
      </c>
      <c r="B1812" t="s">
        <v>32</v>
      </c>
      <c r="C1812">
        <v>2</v>
      </c>
      <c r="D1812" s="9">
        <v>1090</v>
      </c>
      <c r="E1812" s="9">
        <f>+Tablo3[[#This Row],[Birim Fiyat]]*Tablo3[[#This Row],[Satış Adet]]</f>
        <v>2180</v>
      </c>
      <c r="F1812" s="9">
        <v>580</v>
      </c>
      <c r="G1812" t="s">
        <v>59</v>
      </c>
      <c r="H1812" t="s">
        <v>52</v>
      </c>
    </row>
    <row r="1813" spans="1:8" x14ac:dyDescent="0.25">
      <c r="A1813" t="s">
        <v>67</v>
      </c>
      <c r="B1813" t="s">
        <v>28</v>
      </c>
      <c r="C1813">
        <v>4</v>
      </c>
      <c r="D1813" s="9">
        <v>1200</v>
      </c>
      <c r="E1813" s="9">
        <f>+Tablo3[[#This Row],[Birim Fiyat]]*Tablo3[[#This Row],[Satış Adet]]</f>
        <v>4800</v>
      </c>
      <c r="F1813" s="9">
        <v>1600</v>
      </c>
      <c r="G1813" t="s">
        <v>59</v>
      </c>
      <c r="H1813" t="s">
        <v>24</v>
      </c>
    </row>
    <row r="1814" spans="1:8" x14ac:dyDescent="0.25">
      <c r="A1814" t="s">
        <v>36</v>
      </c>
      <c r="B1814" t="s">
        <v>37</v>
      </c>
      <c r="C1814">
        <v>2</v>
      </c>
      <c r="D1814" s="9">
        <v>10590</v>
      </c>
      <c r="E1814" s="9">
        <f>+Tablo3[[#This Row],[Birim Fiyat]]*Tablo3[[#This Row],[Satış Adet]]</f>
        <v>21180</v>
      </c>
      <c r="F1814" s="9">
        <v>9180</v>
      </c>
      <c r="G1814" t="s">
        <v>59</v>
      </c>
      <c r="H1814" t="s">
        <v>44</v>
      </c>
    </row>
    <row r="1815" spans="1:8" x14ac:dyDescent="0.25">
      <c r="A1815" t="s">
        <v>30</v>
      </c>
      <c r="B1815" t="s">
        <v>43</v>
      </c>
      <c r="C1815">
        <v>5</v>
      </c>
      <c r="D1815" s="9">
        <v>4200</v>
      </c>
      <c r="E1815" s="9">
        <f>+Tablo3[[#This Row],[Birim Fiyat]]*Tablo3[[#This Row],[Satış Adet]]</f>
        <v>21000</v>
      </c>
      <c r="F1815" s="9">
        <v>6000</v>
      </c>
      <c r="G1815" t="s">
        <v>59</v>
      </c>
      <c r="H1815" t="s">
        <v>42</v>
      </c>
    </row>
    <row r="1816" spans="1:8" x14ac:dyDescent="0.25">
      <c r="A1816" t="s">
        <v>18</v>
      </c>
      <c r="B1816" t="s">
        <v>43</v>
      </c>
      <c r="C1816">
        <v>2</v>
      </c>
      <c r="D1816" s="9">
        <v>4200</v>
      </c>
      <c r="E1816" s="9">
        <f>+Tablo3[[#This Row],[Birim Fiyat]]*Tablo3[[#This Row],[Satış Adet]]</f>
        <v>8400</v>
      </c>
      <c r="F1816" s="9">
        <v>2400</v>
      </c>
      <c r="G1816" t="s">
        <v>59</v>
      </c>
      <c r="H1816" t="s">
        <v>39</v>
      </c>
    </row>
    <row r="1817" spans="1:8" x14ac:dyDescent="0.25">
      <c r="A1817" t="s">
        <v>33</v>
      </c>
      <c r="B1817" t="s">
        <v>37</v>
      </c>
      <c r="C1817">
        <v>3</v>
      </c>
      <c r="D1817" s="9">
        <v>10590</v>
      </c>
      <c r="E1817" s="9">
        <f>+Tablo3[[#This Row],[Birim Fiyat]]*Tablo3[[#This Row],[Satış Adet]]</f>
        <v>31770</v>
      </c>
      <c r="F1817" s="9">
        <v>13770</v>
      </c>
      <c r="G1817" t="s">
        <v>59</v>
      </c>
      <c r="H1817" t="s">
        <v>17</v>
      </c>
    </row>
    <row r="1818" spans="1:8" x14ac:dyDescent="0.25">
      <c r="A1818" t="s">
        <v>48</v>
      </c>
      <c r="B1818" t="s">
        <v>50</v>
      </c>
      <c r="C1818">
        <v>5</v>
      </c>
      <c r="D1818" s="9">
        <v>1250</v>
      </c>
      <c r="E1818" s="9">
        <f>+Tablo3[[#This Row],[Birim Fiyat]]*Tablo3[[#This Row],[Satış Adet]]</f>
        <v>6250</v>
      </c>
      <c r="F1818" s="9">
        <v>2250</v>
      </c>
      <c r="G1818" t="s">
        <v>59</v>
      </c>
      <c r="H1818" t="s">
        <v>27</v>
      </c>
    </row>
    <row r="1819" spans="1:8" x14ac:dyDescent="0.25">
      <c r="A1819" t="s">
        <v>8</v>
      </c>
      <c r="B1819" t="s">
        <v>41</v>
      </c>
      <c r="C1819">
        <v>3</v>
      </c>
      <c r="D1819" s="9">
        <v>1490</v>
      </c>
      <c r="E1819" s="9">
        <f>+Tablo3[[#This Row],[Birim Fiyat]]*Tablo3[[#This Row],[Satış Adet]]</f>
        <v>4470</v>
      </c>
      <c r="F1819" s="9">
        <v>2070</v>
      </c>
      <c r="G1819" t="s">
        <v>59</v>
      </c>
      <c r="H1819" t="s">
        <v>29</v>
      </c>
    </row>
    <row r="1820" spans="1:8" x14ac:dyDescent="0.25">
      <c r="A1820" t="s">
        <v>30</v>
      </c>
      <c r="B1820" t="s">
        <v>28</v>
      </c>
      <c r="C1820">
        <v>5</v>
      </c>
      <c r="D1820" s="9">
        <v>1200</v>
      </c>
      <c r="E1820" s="9">
        <f>+Tablo3[[#This Row],[Birim Fiyat]]*Tablo3[[#This Row],[Satış Adet]]</f>
        <v>6000</v>
      </c>
      <c r="F1820" s="9">
        <v>2000</v>
      </c>
      <c r="G1820" t="s">
        <v>59</v>
      </c>
      <c r="H1820" t="s">
        <v>27</v>
      </c>
    </row>
    <row r="1821" spans="1:8" x14ac:dyDescent="0.25">
      <c r="A1821" t="s">
        <v>15</v>
      </c>
      <c r="B1821" t="s">
        <v>21</v>
      </c>
      <c r="C1821">
        <v>4</v>
      </c>
      <c r="D1821" s="9">
        <v>2180</v>
      </c>
      <c r="E1821" s="9">
        <f>+Tablo3[[#This Row],[Birim Fiyat]]*Tablo3[[#This Row],[Satış Adet]]</f>
        <v>8720</v>
      </c>
      <c r="F1821" s="9">
        <v>2720</v>
      </c>
      <c r="G1821" t="s">
        <v>59</v>
      </c>
      <c r="H1821" t="s">
        <v>17</v>
      </c>
    </row>
    <row r="1822" spans="1:8" x14ac:dyDescent="0.25">
      <c r="A1822" t="s">
        <v>38</v>
      </c>
      <c r="B1822" t="s">
        <v>51</v>
      </c>
      <c r="C1822">
        <v>3</v>
      </c>
      <c r="D1822" s="9">
        <v>1200</v>
      </c>
      <c r="E1822" s="9">
        <f>+Tablo3[[#This Row],[Birim Fiyat]]*Tablo3[[#This Row],[Satış Adet]]</f>
        <v>3600</v>
      </c>
      <c r="F1822" s="9">
        <v>1200</v>
      </c>
      <c r="G1822" t="s">
        <v>59</v>
      </c>
      <c r="H1822" t="s">
        <v>52</v>
      </c>
    </row>
    <row r="1823" spans="1:8" x14ac:dyDescent="0.25">
      <c r="A1823" t="s">
        <v>8</v>
      </c>
      <c r="B1823" t="s">
        <v>31</v>
      </c>
      <c r="C1823">
        <v>2</v>
      </c>
      <c r="D1823" s="9">
        <v>1800</v>
      </c>
      <c r="E1823" s="9">
        <f>+Tablo3[[#This Row],[Birim Fiyat]]*Tablo3[[#This Row],[Satış Adet]]</f>
        <v>3600</v>
      </c>
      <c r="F1823" s="9">
        <v>2000</v>
      </c>
      <c r="G1823" t="s">
        <v>59</v>
      </c>
      <c r="H1823" t="s">
        <v>17</v>
      </c>
    </row>
    <row r="1824" spans="1:8" x14ac:dyDescent="0.25">
      <c r="A1824" t="s">
        <v>15</v>
      </c>
      <c r="B1824" t="s">
        <v>23</v>
      </c>
      <c r="C1824">
        <v>2</v>
      </c>
      <c r="D1824" s="9">
        <v>7600</v>
      </c>
      <c r="E1824" s="9">
        <f>+Tablo3[[#This Row],[Birim Fiyat]]*Tablo3[[#This Row],[Satış Adet]]</f>
        <v>15200</v>
      </c>
      <c r="F1824" s="9">
        <v>3200</v>
      </c>
      <c r="G1824" t="s">
        <v>59</v>
      </c>
      <c r="H1824" t="s">
        <v>20</v>
      </c>
    </row>
    <row r="1825" spans="1:8" x14ac:dyDescent="0.25">
      <c r="A1825" t="s">
        <v>33</v>
      </c>
      <c r="B1825" t="s">
        <v>53</v>
      </c>
      <c r="C1825">
        <v>5</v>
      </c>
      <c r="D1825" s="9">
        <v>7530</v>
      </c>
      <c r="E1825" s="9">
        <f>+Tablo3[[#This Row],[Birim Fiyat]]*Tablo3[[#This Row],[Satış Adet]]</f>
        <v>37650</v>
      </c>
      <c r="F1825" s="9">
        <v>7650</v>
      </c>
      <c r="G1825" t="s">
        <v>59</v>
      </c>
      <c r="H1825" t="s">
        <v>52</v>
      </c>
    </row>
    <row r="1826" spans="1:8" x14ac:dyDescent="0.25">
      <c r="A1826" t="s">
        <v>48</v>
      </c>
      <c r="B1826" t="s">
        <v>41</v>
      </c>
      <c r="C1826">
        <v>4</v>
      </c>
      <c r="D1826" s="9">
        <v>1490</v>
      </c>
      <c r="E1826" s="9">
        <f>+Tablo3[[#This Row],[Birim Fiyat]]*Tablo3[[#This Row],[Satış Adet]]</f>
        <v>5960</v>
      </c>
      <c r="F1826" s="9">
        <v>2760</v>
      </c>
      <c r="G1826" t="s">
        <v>59</v>
      </c>
      <c r="H1826" t="s">
        <v>35</v>
      </c>
    </row>
    <row r="1827" spans="1:8" x14ac:dyDescent="0.25">
      <c r="A1827" t="s">
        <v>8</v>
      </c>
      <c r="B1827" t="s">
        <v>54</v>
      </c>
      <c r="C1827">
        <v>4</v>
      </c>
      <c r="D1827" s="9">
        <v>5300</v>
      </c>
      <c r="E1827" s="9">
        <f>+Tablo3[[#This Row],[Birim Fiyat]]*Tablo3[[#This Row],[Satış Adet]]</f>
        <v>21200</v>
      </c>
      <c r="F1827" s="9">
        <v>5200</v>
      </c>
      <c r="G1827" t="s">
        <v>59</v>
      </c>
      <c r="H1827" t="s">
        <v>20</v>
      </c>
    </row>
    <row r="1828" spans="1:8" x14ac:dyDescent="0.25">
      <c r="A1828" t="s">
        <v>22</v>
      </c>
      <c r="B1828" t="s">
        <v>28</v>
      </c>
      <c r="C1828">
        <v>4</v>
      </c>
      <c r="D1828" s="9">
        <v>1200</v>
      </c>
      <c r="E1828" s="9">
        <f>+Tablo3[[#This Row],[Birim Fiyat]]*Tablo3[[#This Row],[Satış Adet]]</f>
        <v>4800</v>
      </c>
      <c r="F1828" s="9">
        <v>1600</v>
      </c>
      <c r="G1828" t="s">
        <v>59</v>
      </c>
      <c r="H1828" t="s">
        <v>44</v>
      </c>
    </row>
    <row r="1829" spans="1:8" x14ac:dyDescent="0.25">
      <c r="A1829" t="s">
        <v>38</v>
      </c>
      <c r="B1829" t="s">
        <v>32</v>
      </c>
      <c r="C1829">
        <v>4</v>
      </c>
      <c r="D1829" s="9">
        <v>1090</v>
      </c>
      <c r="E1829" s="9">
        <f>+Tablo3[[#This Row],[Birim Fiyat]]*Tablo3[[#This Row],[Satış Adet]]</f>
        <v>4360</v>
      </c>
      <c r="F1829" s="9">
        <v>1160</v>
      </c>
      <c r="G1829" t="s">
        <v>59</v>
      </c>
      <c r="H1829" t="s">
        <v>40</v>
      </c>
    </row>
    <row r="1830" spans="1:8" x14ac:dyDescent="0.25">
      <c r="A1830" t="s">
        <v>22</v>
      </c>
      <c r="B1830" t="s">
        <v>25</v>
      </c>
      <c r="C1830">
        <v>3</v>
      </c>
      <c r="D1830" s="9">
        <v>7250</v>
      </c>
      <c r="E1830" s="9">
        <f>+Tablo3[[#This Row],[Birim Fiyat]]*Tablo3[[#This Row],[Satış Adet]]</f>
        <v>21750</v>
      </c>
      <c r="F1830" s="9">
        <v>6750</v>
      </c>
      <c r="G1830" t="s">
        <v>59</v>
      </c>
      <c r="H1830" t="s">
        <v>27</v>
      </c>
    </row>
    <row r="1831" spans="1:8" x14ac:dyDescent="0.25">
      <c r="A1831" t="s">
        <v>46</v>
      </c>
      <c r="B1831" t="s">
        <v>13</v>
      </c>
      <c r="C1831">
        <v>4</v>
      </c>
      <c r="D1831" s="9">
        <v>1400</v>
      </c>
      <c r="E1831" s="9">
        <f>+Tablo3[[#This Row],[Birim Fiyat]]*Tablo3[[#This Row],[Satış Adet]]</f>
        <v>5600</v>
      </c>
      <c r="F1831" s="9">
        <v>2400</v>
      </c>
      <c r="G1831" t="s">
        <v>59</v>
      </c>
      <c r="H1831" t="s">
        <v>20</v>
      </c>
    </row>
    <row r="1832" spans="1:8" x14ac:dyDescent="0.25">
      <c r="A1832" t="s">
        <v>15</v>
      </c>
      <c r="B1832" t="s">
        <v>55</v>
      </c>
      <c r="C1832">
        <v>2</v>
      </c>
      <c r="D1832" s="9">
        <v>1500</v>
      </c>
      <c r="E1832" s="9">
        <f>+Tablo3[[#This Row],[Birim Fiyat]]*Tablo3[[#This Row],[Satış Adet]]</f>
        <v>3000</v>
      </c>
      <c r="F1832" s="9">
        <v>1400</v>
      </c>
      <c r="G1832" t="s">
        <v>59</v>
      </c>
      <c r="H1832" t="s">
        <v>35</v>
      </c>
    </row>
    <row r="1833" spans="1:8" x14ac:dyDescent="0.25">
      <c r="A1833" t="s">
        <v>33</v>
      </c>
      <c r="B1833" t="s">
        <v>19</v>
      </c>
      <c r="C1833">
        <v>3</v>
      </c>
      <c r="D1833" s="9">
        <v>1350</v>
      </c>
      <c r="E1833" s="9">
        <f>+Tablo3[[#This Row],[Birim Fiyat]]*Tablo3[[#This Row],[Satış Adet]]</f>
        <v>4050</v>
      </c>
      <c r="F1833" s="9">
        <v>1650</v>
      </c>
      <c r="G1833" t="s">
        <v>59</v>
      </c>
      <c r="H1833" t="s">
        <v>11</v>
      </c>
    </row>
    <row r="1834" spans="1:8" x14ac:dyDescent="0.25">
      <c r="A1834" t="s">
        <v>33</v>
      </c>
      <c r="B1834" t="s">
        <v>28</v>
      </c>
      <c r="C1834">
        <v>4</v>
      </c>
      <c r="D1834" s="9">
        <v>1200</v>
      </c>
      <c r="E1834" s="9">
        <f>+Tablo3[[#This Row],[Birim Fiyat]]*Tablo3[[#This Row],[Satış Adet]]</f>
        <v>4800</v>
      </c>
      <c r="F1834" s="9">
        <v>1600</v>
      </c>
      <c r="G1834" t="s">
        <v>59</v>
      </c>
      <c r="H1834" t="s">
        <v>11</v>
      </c>
    </row>
    <row r="1835" spans="1:8" x14ac:dyDescent="0.25">
      <c r="A1835" t="s">
        <v>12</v>
      </c>
      <c r="B1835" t="s">
        <v>53</v>
      </c>
      <c r="C1835">
        <v>4</v>
      </c>
      <c r="D1835" s="9">
        <v>7530</v>
      </c>
      <c r="E1835" s="9">
        <f>+Tablo3[[#This Row],[Birim Fiyat]]*Tablo3[[#This Row],[Satış Adet]]</f>
        <v>30120</v>
      </c>
      <c r="F1835" s="9">
        <v>6120</v>
      </c>
      <c r="G1835" t="s">
        <v>59</v>
      </c>
      <c r="H1835" t="s">
        <v>14</v>
      </c>
    </row>
    <row r="1836" spans="1:8" x14ac:dyDescent="0.25">
      <c r="A1836" t="s">
        <v>46</v>
      </c>
      <c r="B1836" t="s">
        <v>28</v>
      </c>
      <c r="C1836">
        <v>2</v>
      </c>
      <c r="D1836" s="9">
        <v>1200</v>
      </c>
      <c r="E1836" s="9">
        <f>+Tablo3[[#This Row],[Birim Fiyat]]*Tablo3[[#This Row],[Satış Adet]]</f>
        <v>2400</v>
      </c>
      <c r="F1836" s="9">
        <v>800</v>
      </c>
      <c r="G1836" t="s">
        <v>59</v>
      </c>
      <c r="H1836" t="s">
        <v>11</v>
      </c>
    </row>
    <row r="1837" spans="1:8" x14ac:dyDescent="0.25">
      <c r="A1837" t="s">
        <v>36</v>
      </c>
      <c r="B1837" t="s">
        <v>31</v>
      </c>
      <c r="C1837">
        <v>4</v>
      </c>
      <c r="D1837" s="9">
        <v>1800</v>
      </c>
      <c r="E1837" s="9">
        <f>+Tablo3[[#This Row],[Birim Fiyat]]*Tablo3[[#This Row],[Satış Adet]]</f>
        <v>7200</v>
      </c>
      <c r="F1837" s="9">
        <v>4000</v>
      </c>
      <c r="G1837" t="s">
        <v>59</v>
      </c>
      <c r="H1837" t="s">
        <v>14</v>
      </c>
    </row>
    <row r="1838" spans="1:8" x14ac:dyDescent="0.25">
      <c r="A1838" t="s">
        <v>8</v>
      </c>
      <c r="B1838" t="s">
        <v>25</v>
      </c>
      <c r="C1838">
        <v>4</v>
      </c>
      <c r="D1838" s="9">
        <v>7250</v>
      </c>
      <c r="E1838" s="9">
        <f>+Tablo3[[#This Row],[Birim Fiyat]]*Tablo3[[#This Row],[Satış Adet]]</f>
        <v>29000</v>
      </c>
      <c r="F1838" s="9">
        <v>9000</v>
      </c>
      <c r="G1838" t="s">
        <v>59</v>
      </c>
      <c r="H1838" t="s">
        <v>17</v>
      </c>
    </row>
    <row r="1839" spans="1:8" x14ac:dyDescent="0.25">
      <c r="A1839" t="s">
        <v>38</v>
      </c>
      <c r="B1839" t="s">
        <v>41</v>
      </c>
      <c r="C1839">
        <v>3</v>
      </c>
      <c r="D1839" s="9">
        <v>1490</v>
      </c>
      <c r="E1839" s="9">
        <f>+Tablo3[[#This Row],[Birim Fiyat]]*Tablo3[[#This Row],[Satış Adet]]</f>
        <v>4470</v>
      </c>
      <c r="F1839" s="9">
        <v>2070</v>
      </c>
      <c r="G1839" t="s">
        <v>59</v>
      </c>
      <c r="H1839" t="s">
        <v>29</v>
      </c>
    </row>
    <row r="1840" spans="1:8" x14ac:dyDescent="0.25">
      <c r="A1840" t="s">
        <v>38</v>
      </c>
      <c r="B1840" t="s">
        <v>51</v>
      </c>
      <c r="C1840">
        <v>4</v>
      </c>
      <c r="D1840" s="9">
        <v>1200</v>
      </c>
      <c r="E1840" s="9">
        <f>+Tablo3[[#This Row],[Birim Fiyat]]*Tablo3[[#This Row],[Satış Adet]]</f>
        <v>4800</v>
      </c>
      <c r="F1840" s="9">
        <v>1600</v>
      </c>
      <c r="G1840" t="s">
        <v>59</v>
      </c>
      <c r="H1840" t="s">
        <v>24</v>
      </c>
    </row>
    <row r="1841" spans="1:8" x14ac:dyDescent="0.25">
      <c r="A1841" t="s">
        <v>12</v>
      </c>
      <c r="B1841" t="s">
        <v>34</v>
      </c>
      <c r="C1841">
        <v>3</v>
      </c>
      <c r="D1841" s="9">
        <v>8000</v>
      </c>
      <c r="E1841" s="9">
        <f>+Tablo3[[#This Row],[Birim Fiyat]]*Tablo3[[#This Row],[Satış Adet]]</f>
        <v>24000</v>
      </c>
      <c r="F1841" s="9">
        <v>6000</v>
      </c>
      <c r="G1841" t="s">
        <v>59</v>
      </c>
      <c r="H1841" t="s">
        <v>44</v>
      </c>
    </row>
    <row r="1842" spans="1:8" x14ac:dyDescent="0.25">
      <c r="A1842" t="s">
        <v>30</v>
      </c>
      <c r="B1842" t="s">
        <v>13</v>
      </c>
      <c r="C1842">
        <v>4</v>
      </c>
      <c r="D1842" s="9">
        <v>1400</v>
      </c>
      <c r="E1842" s="9">
        <f>+Tablo3[[#This Row],[Birim Fiyat]]*Tablo3[[#This Row],[Satış Adet]]</f>
        <v>5600</v>
      </c>
      <c r="F1842" s="9">
        <v>2400</v>
      </c>
      <c r="G1842" t="s">
        <v>59</v>
      </c>
      <c r="H1842" t="s">
        <v>24</v>
      </c>
    </row>
    <row r="1843" spans="1:8" x14ac:dyDescent="0.25">
      <c r="A1843" t="s">
        <v>67</v>
      </c>
      <c r="B1843" t="s">
        <v>19</v>
      </c>
      <c r="C1843">
        <v>5</v>
      </c>
      <c r="D1843" s="9">
        <v>1350</v>
      </c>
      <c r="E1843" s="9">
        <f>+Tablo3[[#This Row],[Birim Fiyat]]*Tablo3[[#This Row],[Satış Adet]]</f>
        <v>6750</v>
      </c>
      <c r="F1843" s="9">
        <v>2750</v>
      </c>
      <c r="G1843" t="s">
        <v>59</v>
      </c>
      <c r="H1843" t="s">
        <v>52</v>
      </c>
    </row>
    <row r="1844" spans="1:8" x14ac:dyDescent="0.25">
      <c r="A1844" t="s">
        <v>36</v>
      </c>
      <c r="B1844" t="s">
        <v>51</v>
      </c>
      <c r="C1844">
        <v>5</v>
      </c>
      <c r="D1844" s="9">
        <v>1200</v>
      </c>
      <c r="E1844" s="9">
        <f>+Tablo3[[#This Row],[Birim Fiyat]]*Tablo3[[#This Row],[Satış Adet]]</f>
        <v>6000</v>
      </c>
      <c r="F1844" s="9">
        <v>2000</v>
      </c>
      <c r="G1844" t="s">
        <v>59</v>
      </c>
      <c r="H1844" t="s">
        <v>52</v>
      </c>
    </row>
    <row r="1845" spans="1:8" x14ac:dyDescent="0.25">
      <c r="A1845" t="s">
        <v>30</v>
      </c>
      <c r="B1845" t="s">
        <v>54</v>
      </c>
      <c r="C1845">
        <v>3</v>
      </c>
      <c r="D1845" s="9">
        <v>5300</v>
      </c>
      <c r="E1845" s="9">
        <f>+Tablo3[[#This Row],[Birim Fiyat]]*Tablo3[[#This Row],[Satış Adet]]</f>
        <v>15900</v>
      </c>
      <c r="F1845" s="9">
        <v>3900</v>
      </c>
      <c r="G1845" t="s">
        <v>59</v>
      </c>
      <c r="H1845" t="s">
        <v>42</v>
      </c>
    </row>
    <row r="1846" spans="1:8" x14ac:dyDescent="0.25">
      <c r="A1846" t="s">
        <v>38</v>
      </c>
      <c r="B1846" t="s">
        <v>37</v>
      </c>
      <c r="C1846">
        <v>4</v>
      </c>
      <c r="D1846" s="9">
        <v>10590</v>
      </c>
      <c r="E1846" s="9">
        <f>+Tablo3[[#This Row],[Birim Fiyat]]*Tablo3[[#This Row],[Satış Adet]]</f>
        <v>42360</v>
      </c>
      <c r="F1846" s="9">
        <v>18360</v>
      </c>
      <c r="G1846" t="s">
        <v>59</v>
      </c>
      <c r="H1846" t="s">
        <v>17</v>
      </c>
    </row>
    <row r="1847" spans="1:8" x14ac:dyDescent="0.25">
      <c r="A1847" t="s">
        <v>22</v>
      </c>
      <c r="B1847" t="s">
        <v>50</v>
      </c>
      <c r="C1847">
        <v>5</v>
      </c>
      <c r="D1847" s="9">
        <v>1250</v>
      </c>
      <c r="E1847" s="9">
        <f>+Tablo3[[#This Row],[Birim Fiyat]]*Tablo3[[#This Row],[Satış Adet]]</f>
        <v>6250</v>
      </c>
      <c r="F1847" s="9">
        <v>2250</v>
      </c>
      <c r="G1847" t="s">
        <v>59</v>
      </c>
      <c r="H1847" t="s">
        <v>17</v>
      </c>
    </row>
    <row r="1848" spans="1:8" x14ac:dyDescent="0.25">
      <c r="A1848" t="s">
        <v>48</v>
      </c>
      <c r="B1848" t="s">
        <v>51</v>
      </c>
      <c r="C1848">
        <v>3</v>
      </c>
      <c r="D1848" s="9">
        <v>1200</v>
      </c>
      <c r="E1848" s="9">
        <f>+Tablo3[[#This Row],[Birim Fiyat]]*Tablo3[[#This Row],[Satış Adet]]</f>
        <v>3600</v>
      </c>
      <c r="F1848" s="9">
        <v>1200</v>
      </c>
      <c r="G1848" t="s">
        <v>60</v>
      </c>
      <c r="H1848" t="s">
        <v>29</v>
      </c>
    </row>
    <row r="1849" spans="1:8" x14ac:dyDescent="0.25">
      <c r="A1849" t="s">
        <v>22</v>
      </c>
      <c r="B1849" t="s">
        <v>13</v>
      </c>
      <c r="C1849">
        <v>2</v>
      </c>
      <c r="D1849" s="9">
        <v>1400</v>
      </c>
      <c r="E1849" s="9">
        <f>+Tablo3[[#This Row],[Birim Fiyat]]*Tablo3[[#This Row],[Satış Adet]]</f>
        <v>2800</v>
      </c>
      <c r="F1849" s="9">
        <v>1200</v>
      </c>
      <c r="G1849" t="s">
        <v>60</v>
      </c>
      <c r="H1849" t="s">
        <v>24</v>
      </c>
    </row>
    <row r="1850" spans="1:8" x14ac:dyDescent="0.25">
      <c r="A1850" t="s">
        <v>48</v>
      </c>
      <c r="B1850" t="s">
        <v>53</v>
      </c>
      <c r="C1850">
        <v>4</v>
      </c>
      <c r="D1850" s="9">
        <v>7530</v>
      </c>
      <c r="E1850" s="9">
        <f>+Tablo3[[#This Row],[Birim Fiyat]]*Tablo3[[#This Row],[Satış Adet]]</f>
        <v>30120</v>
      </c>
      <c r="F1850" s="9">
        <v>6120</v>
      </c>
      <c r="G1850" t="s">
        <v>60</v>
      </c>
      <c r="H1850" t="s">
        <v>29</v>
      </c>
    </row>
    <row r="1851" spans="1:8" x14ac:dyDescent="0.25">
      <c r="A1851" t="s">
        <v>30</v>
      </c>
      <c r="B1851" t="s">
        <v>23</v>
      </c>
      <c r="C1851">
        <v>5</v>
      </c>
      <c r="D1851" s="9">
        <v>7600</v>
      </c>
      <c r="E1851" s="9">
        <f>+Tablo3[[#This Row],[Birim Fiyat]]*Tablo3[[#This Row],[Satış Adet]]</f>
        <v>38000</v>
      </c>
      <c r="F1851" s="9">
        <v>8000</v>
      </c>
      <c r="G1851" t="s">
        <v>60</v>
      </c>
      <c r="H1851" t="s">
        <v>29</v>
      </c>
    </row>
    <row r="1852" spans="1:8" x14ac:dyDescent="0.25">
      <c r="A1852" t="s">
        <v>48</v>
      </c>
      <c r="B1852" t="s">
        <v>55</v>
      </c>
      <c r="C1852">
        <v>2</v>
      </c>
      <c r="D1852" s="9">
        <v>1500</v>
      </c>
      <c r="E1852" s="9">
        <f>+Tablo3[[#This Row],[Birim Fiyat]]*Tablo3[[#This Row],[Satış Adet]]</f>
        <v>3000</v>
      </c>
      <c r="F1852" s="9">
        <v>1400</v>
      </c>
      <c r="G1852" t="s">
        <v>60</v>
      </c>
      <c r="H1852" t="s">
        <v>11</v>
      </c>
    </row>
    <row r="1853" spans="1:8" x14ac:dyDescent="0.25">
      <c r="A1853" t="s">
        <v>38</v>
      </c>
      <c r="B1853" t="s">
        <v>21</v>
      </c>
      <c r="C1853">
        <v>4</v>
      </c>
      <c r="D1853" s="9">
        <v>2180</v>
      </c>
      <c r="E1853" s="9">
        <f>+Tablo3[[#This Row],[Birim Fiyat]]*Tablo3[[#This Row],[Satış Adet]]</f>
        <v>8720</v>
      </c>
      <c r="F1853" s="9">
        <v>2720</v>
      </c>
      <c r="G1853" t="s">
        <v>60</v>
      </c>
      <c r="H1853" t="s">
        <v>40</v>
      </c>
    </row>
    <row r="1854" spans="1:8" x14ac:dyDescent="0.25">
      <c r="A1854" t="s">
        <v>18</v>
      </c>
      <c r="B1854" t="s">
        <v>21</v>
      </c>
      <c r="C1854">
        <v>3</v>
      </c>
      <c r="D1854" s="9">
        <v>2180</v>
      </c>
      <c r="E1854" s="9">
        <f>+Tablo3[[#This Row],[Birim Fiyat]]*Tablo3[[#This Row],[Satış Adet]]</f>
        <v>6540</v>
      </c>
      <c r="F1854" s="9">
        <v>2040</v>
      </c>
      <c r="G1854" t="s">
        <v>60</v>
      </c>
      <c r="H1854" t="s">
        <v>52</v>
      </c>
    </row>
    <row r="1855" spans="1:8" x14ac:dyDescent="0.25">
      <c r="A1855" t="s">
        <v>38</v>
      </c>
      <c r="B1855" t="s">
        <v>45</v>
      </c>
      <c r="C1855">
        <v>4</v>
      </c>
      <c r="D1855" s="9">
        <v>5775</v>
      </c>
      <c r="E1855" s="9">
        <f>+Tablo3[[#This Row],[Birim Fiyat]]*Tablo3[[#This Row],[Satış Adet]]</f>
        <v>23100</v>
      </c>
      <c r="F1855" s="9">
        <v>7100</v>
      </c>
      <c r="G1855" t="s">
        <v>60</v>
      </c>
      <c r="H1855" t="s">
        <v>27</v>
      </c>
    </row>
    <row r="1856" spans="1:8" x14ac:dyDescent="0.25">
      <c r="A1856" t="s">
        <v>38</v>
      </c>
      <c r="B1856" t="s">
        <v>26</v>
      </c>
      <c r="C1856">
        <v>4</v>
      </c>
      <c r="D1856" s="9">
        <v>1100</v>
      </c>
      <c r="E1856" s="9">
        <f>+Tablo3[[#This Row],[Birim Fiyat]]*Tablo3[[#This Row],[Satış Adet]]</f>
        <v>4400</v>
      </c>
      <c r="F1856" s="9">
        <v>1200</v>
      </c>
      <c r="G1856" t="s">
        <v>60</v>
      </c>
      <c r="H1856" t="s">
        <v>52</v>
      </c>
    </row>
    <row r="1857" spans="1:8" x14ac:dyDescent="0.25">
      <c r="A1857" t="s">
        <v>46</v>
      </c>
      <c r="B1857" t="s">
        <v>45</v>
      </c>
      <c r="C1857">
        <v>5</v>
      </c>
      <c r="D1857" s="9">
        <v>5775</v>
      </c>
      <c r="E1857" s="9">
        <f>+Tablo3[[#This Row],[Birim Fiyat]]*Tablo3[[#This Row],[Satış Adet]]</f>
        <v>28875</v>
      </c>
      <c r="F1857" s="9">
        <v>8875</v>
      </c>
      <c r="G1857" t="s">
        <v>60</v>
      </c>
      <c r="H1857" t="s">
        <v>42</v>
      </c>
    </row>
    <row r="1858" spans="1:8" x14ac:dyDescent="0.25">
      <c r="A1858" t="s">
        <v>33</v>
      </c>
      <c r="B1858" t="s">
        <v>19</v>
      </c>
      <c r="C1858">
        <v>3</v>
      </c>
      <c r="D1858" s="9">
        <v>1350</v>
      </c>
      <c r="E1858" s="9">
        <f>+Tablo3[[#This Row],[Birim Fiyat]]*Tablo3[[#This Row],[Satış Adet]]</f>
        <v>4050</v>
      </c>
      <c r="F1858" s="9">
        <v>1650</v>
      </c>
      <c r="G1858" t="s">
        <v>60</v>
      </c>
      <c r="H1858" t="s">
        <v>39</v>
      </c>
    </row>
    <row r="1859" spans="1:8" x14ac:dyDescent="0.25">
      <c r="A1859" t="s">
        <v>8</v>
      </c>
      <c r="B1859" t="s">
        <v>23</v>
      </c>
      <c r="C1859">
        <v>3</v>
      </c>
      <c r="D1859" s="9">
        <v>7600</v>
      </c>
      <c r="E1859" s="9">
        <f>+Tablo3[[#This Row],[Birim Fiyat]]*Tablo3[[#This Row],[Satış Adet]]</f>
        <v>22800</v>
      </c>
      <c r="F1859" s="9">
        <v>4800</v>
      </c>
      <c r="G1859" t="s">
        <v>60</v>
      </c>
      <c r="H1859" t="s">
        <v>35</v>
      </c>
    </row>
    <row r="1860" spans="1:8" x14ac:dyDescent="0.25">
      <c r="A1860" t="s">
        <v>15</v>
      </c>
      <c r="B1860" t="s">
        <v>25</v>
      </c>
      <c r="C1860">
        <v>5</v>
      </c>
      <c r="D1860" s="9">
        <v>7250</v>
      </c>
      <c r="E1860" s="9">
        <f>+Tablo3[[#This Row],[Birim Fiyat]]*Tablo3[[#This Row],[Satış Adet]]</f>
        <v>36250</v>
      </c>
      <c r="F1860" s="9">
        <v>11250</v>
      </c>
      <c r="G1860" t="s">
        <v>60</v>
      </c>
      <c r="H1860" t="s">
        <v>44</v>
      </c>
    </row>
    <row r="1861" spans="1:8" x14ac:dyDescent="0.25">
      <c r="A1861" t="s">
        <v>48</v>
      </c>
      <c r="B1861" t="s">
        <v>41</v>
      </c>
      <c r="C1861">
        <v>2</v>
      </c>
      <c r="D1861" s="9">
        <v>1490</v>
      </c>
      <c r="E1861" s="9">
        <f>+Tablo3[[#This Row],[Birim Fiyat]]*Tablo3[[#This Row],[Satış Adet]]</f>
        <v>2980</v>
      </c>
      <c r="F1861" s="9">
        <v>1380</v>
      </c>
      <c r="G1861" t="s">
        <v>60</v>
      </c>
      <c r="H1861" t="s">
        <v>40</v>
      </c>
    </row>
    <row r="1862" spans="1:8" x14ac:dyDescent="0.25">
      <c r="A1862" t="s">
        <v>18</v>
      </c>
      <c r="B1862" t="s">
        <v>41</v>
      </c>
      <c r="C1862">
        <v>2</v>
      </c>
      <c r="D1862" s="9">
        <v>1490</v>
      </c>
      <c r="E1862" s="9">
        <f>+Tablo3[[#This Row],[Birim Fiyat]]*Tablo3[[#This Row],[Satış Adet]]</f>
        <v>2980</v>
      </c>
      <c r="F1862" s="9">
        <v>1380</v>
      </c>
      <c r="G1862" t="s">
        <v>60</v>
      </c>
      <c r="H1862" t="s">
        <v>29</v>
      </c>
    </row>
    <row r="1863" spans="1:8" x14ac:dyDescent="0.25">
      <c r="A1863" t="s">
        <v>36</v>
      </c>
      <c r="B1863" t="s">
        <v>32</v>
      </c>
      <c r="C1863">
        <v>4</v>
      </c>
      <c r="D1863" s="9">
        <v>1090</v>
      </c>
      <c r="E1863" s="9">
        <f>+Tablo3[[#This Row],[Birim Fiyat]]*Tablo3[[#This Row],[Satış Adet]]</f>
        <v>4360</v>
      </c>
      <c r="F1863" s="9">
        <v>1160</v>
      </c>
      <c r="G1863" t="s">
        <v>60</v>
      </c>
      <c r="H1863" t="s">
        <v>29</v>
      </c>
    </row>
    <row r="1864" spans="1:8" x14ac:dyDescent="0.25">
      <c r="A1864" t="s">
        <v>36</v>
      </c>
      <c r="B1864" t="s">
        <v>28</v>
      </c>
      <c r="C1864">
        <v>3</v>
      </c>
      <c r="D1864" s="9">
        <v>1200</v>
      </c>
      <c r="E1864" s="9">
        <f>+Tablo3[[#This Row],[Birim Fiyat]]*Tablo3[[#This Row],[Satış Adet]]</f>
        <v>3600</v>
      </c>
      <c r="F1864" s="9">
        <v>1200</v>
      </c>
      <c r="G1864" t="s">
        <v>60</v>
      </c>
      <c r="H1864" t="s">
        <v>17</v>
      </c>
    </row>
    <row r="1865" spans="1:8" x14ac:dyDescent="0.25">
      <c r="A1865" t="s">
        <v>48</v>
      </c>
      <c r="B1865" t="s">
        <v>32</v>
      </c>
      <c r="C1865">
        <v>2</v>
      </c>
      <c r="D1865" s="9">
        <v>1090</v>
      </c>
      <c r="E1865" s="9">
        <f>+Tablo3[[#This Row],[Birim Fiyat]]*Tablo3[[#This Row],[Satış Adet]]</f>
        <v>2180</v>
      </c>
      <c r="F1865" s="9">
        <v>580</v>
      </c>
      <c r="G1865" t="s">
        <v>60</v>
      </c>
      <c r="H1865" t="s">
        <v>27</v>
      </c>
    </row>
    <row r="1866" spans="1:8" x14ac:dyDescent="0.25">
      <c r="A1866" t="s">
        <v>48</v>
      </c>
      <c r="B1866" t="s">
        <v>21</v>
      </c>
      <c r="C1866">
        <v>3</v>
      </c>
      <c r="D1866" s="9">
        <v>2180</v>
      </c>
      <c r="E1866" s="9">
        <f>+Tablo3[[#This Row],[Birim Fiyat]]*Tablo3[[#This Row],[Satış Adet]]</f>
        <v>6540</v>
      </c>
      <c r="F1866" s="9">
        <v>2040</v>
      </c>
      <c r="G1866" t="s">
        <v>60</v>
      </c>
      <c r="H1866" t="s">
        <v>27</v>
      </c>
    </row>
    <row r="1867" spans="1:8" x14ac:dyDescent="0.25">
      <c r="A1867" t="s">
        <v>15</v>
      </c>
      <c r="B1867" t="s">
        <v>54</v>
      </c>
      <c r="C1867">
        <v>2</v>
      </c>
      <c r="D1867" s="9">
        <v>5300</v>
      </c>
      <c r="E1867" s="9">
        <f>+Tablo3[[#This Row],[Birim Fiyat]]*Tablo3[[#This Row],[Satış Adet]]</f>
        <v>10600</v>
      </c>
      <c r="F1867" s="9">
        <v>2600</v>
      </c>
      <c r="G1867" t="s">
        <v>60</v>
      </c>
      <c r="H1867" t="s">
        <v>35</v>
      </c>
    </row>
    <row r="1868" spans="1:8" x14ac:dyDescent="0.25">
      <c r="A1868" t="s">
        <v>48</v>
      </c>
      <c r="B1868" t="s">
        <v>54</v>
      </c>
      <c r="C1868">
        <v>5</v>
      </c>
      <c r="D1868" s="9">
        <v>5300</v>
      </c>
      <c r="E1868" s="9">
        <f>+Tablo3[[#This Row],[Birim Fiyat]]*Tablo3[[#This Row],[Satış Adet]]</f>
        <v>26500</v>
      </c>
      <c r="F1868" s="9">
        <v>6500</v>
      </c>
      <c r="G1868" t="s">
        <v>60</v>
      </c>
      <c r="H1868" t="s">
        <v>39</v>
      </c>
    </row>
    <row r="1869" spans="1:8" x14ac:dyDescent="0.25">
      <c r="A1869" t="s">
        <v>67</v>
      </c>
      <c r="B1869" t="s">
        <v>25</v>
      </c>
      <c r="C1869">
        <v>3</v>
      </c>
      <c r="D1869" s="9">
        <v>7250</v>
      </c>
      <c r="E1869" s="9">
        <f>+Tablo3[[#This Row],[Birim Fiyat]]*Tablo3[[#This Row],[Satış Adet]]</f>
        <v>21750</v>
      </c>
      <c r="F1869" s="9">
        <v>6750</v>
      </c>
      <c r="G1869" t="s">
        <v>60</v>
      </c>
      <c r="H1869" t="s">
        <v>42</v>
      </c>
    </row>
    <row r="1870" spans="1:8" x14ac:dyDescent="0.25">
      <c r="A1870" t="s">
        <v>67</v>
      </c>
      <c r="B1870" t="s">
        <v>51</v>
      </c>
      <c r="C1870">
        <v>4</v>
      </c>
      <c r="D1870" s="9">
        <v>1200</v>
      </c>
      <c r="E1870" s="9">
        <f>+Tablo3[[#This Row],[Birim Fiyat]]*Tablo3[[#This Row],[Satış Adet]]</f>
        <v>4800</v>
      </c>
      <c r="F1870" s="9">
        <v>1600</v>
      </c>
      <c r="G1870" t="s">
        <v>60</v>
      </c>
      <c r="H1870" t="s">
        <v>39</v>
      </c>
    </row>
    <row r="1871" spans="1:8" x14ac:dyDescent="0.25">
      <c r="A1871" t="s">
        <v>18</v>
      </c>
      <c r="B1871" t="s">
        <v>9</v>
      </c>
      <c r="C1871">
        <v>5</v>
      </c>
      <c r="D1871" s="9">
        <v>6000</v>
      </c>
      <c r="E1871" s="9">
        <f>+Tablo3[[#This Row],[Birim Fiyat]]*Tablo3[[#This Row],[Satış Adet]]</f>
        <v>30000</v>
      </c>
      <c r="F1871" s="9">
        <v>10000</v>
      </c>
      <c r="G1871" t="s">
        <v>60</v>
      </c>
      <c r="H1871" t="s">
        <v>11</v>
      </c>
    </row>
    <row r="1872" spans="1:8" x14ac:dyDescent="0.25">
      <c r="A1872" t="s">
        <v>15</v>
      </c>
      <c r="B1872" t="s">
        <v>16</v>
      </c>
      <c r="C1872">
        <v>3</v>
      </c>
      <c r="D1872" s="9">
        <v>8450</v>
      </c>
      <c r="E1872" s="9">
        <f>+Tablo3[[#This Row],[Birim Fiyat]]*Tablo3[[#This Row],[Satış Adet]]</f>
        <v>25350</v>
      </c>
      <c r="F1872" s="9">
        <v>7350</v>
      </c>
      <c r="G1872" t="s">
        <v>60</v>
      </c>
      <c r="H1872" t="s">
        <v>24</v>
      </c>
    </row>
    <row r="1873" spans="1:8" x14ac:dyDescent="0.25">
      <c r="A1873" t="s">
        <v>30</v>
      </c>
      <c r="B1873" t="s">
        <v>43</v>
      </c>
      <c r="C1873">
        <v>4</v>
      </c>
      <c r="D1873" s="9">
        <v>4200</v>
      </c>
      <c r="E1873" s="9">
        <f>+Tablo3[[#This Row],[Birim Fiyat]]*Tablo3[[#This Row],[Satış Adet]]</f>
        <v>16800</v>
      </c>
      <c r="F1873" s="9">
        <v>4800</v>
      </c>
      <c r="G1873" t="s">
        <v>60</v>
      </c>
      <c r="H1873" t="s">
        <v>39</v>
      </c>
    </row>
    <row r="1874" spans="1:8" x14ac:dyDescent="0.25">
      <c r="A1874" t="s">
        <v>30</v>
      </c>
      <c r="B1874" t="s">
        <v>37</v>
      </c>
      <c r="C1874">
        <v>3</v>
      </c>
      <c r="D1874" s="9">
        <v>10590</v>
      </c>
      <c r="E1874" s="9">
        <f>+Tablo3[[#This Row],[Birim Fiyat]]*Tablo3[[#This Row],[Satış Adet]]</f>
        <v>31770</v>
      </c>
      <c r="F1874" s="9">
        <v>13770</v>
      </c>
      <c r="G1874" t="s">
        <v>60</v>
      </c>
      <c r="H1874" t="s">
        <v>35</v>
      </c>
    </row>
    <row r="1875" spans="1:8" x14ac:dyDescent="0.25">
      <c r="A1875" t="s">
        <v>67</v>
      </c>
      <c r="B1875" t="s">
        <v>51</v>
      </c>
      <c r="C1875">
        <v>4</v>
      </c>
      <c r="D1875" s="9">
        <v>1200</v>
      </c>
      <c r="E1875" s="9">
        <f>+Tablo3[[#This Row],[Birim Fiyat]]*Tablo3[[#This Row],[Satış Adet]]</f>
        <v>4800</v>
      </c>
      <c r="F1875" s="9">
        <v>1600</v>
      </c>
      <c r="G1875" t="s">
        <v>60</v>
      </c>
      <c r="H1875" t="s">
        <v>11</v>
      </c>
    </row>
    <row r="1876" spans="1:8" x14ac:dyDescent="0.25">
      <c r="A1876" t="s">
        <v>46</v>
      </c>
      <c r="B1876" t="s">
        <v>26</v>
      </c>
      <c r="C1876">
        <v>5</v>
      </c>
      <c r="D1876" s="9">
        <v>1100</v>
      </c>
      <c r="E1876" s="9">
        <f>+Tablo3[[#This Row],[Birim Fiyat]]*Tablo3[[#This Row],[Satış Adet]]</f>
        <v>5500</v>
      </c>
      <c r="F1876" s="9">
        <v>1500</v>
      </c>
      <c r="G1876" t="s">
        <v>60</v>
      </c>
      <c r="H1876" t="s">
        <v>39</v>
      </c>
    </row>
    <row r="1877" spans="1:8" x14ac:dyDescent="0.25">
      <c r="A1877" t="s">
        <v>38</v>
      </c>
      <c r="B1877" t="s">
        <v>56</v>
      </c>
      <c r="C1877">
        <v>3</v>
      </c>
      <c r="D1877" s="9">
        <v>3700</v>
      </c>
      <c r="E1877" s="9">
        <f>+Tablo3[[#This Row],[Birim Fiyat]]*Tablo3[[#This Row],[Satış Adet]]</f>
        <v>11100</v>
      </c>
      <c r="F1877" s="9">
        <v>2100</v>
      </c>
      <c r="G1877" t="s">
        <v>60</v>
      </c>
      <c r="H1877" t="s">
        <v>44</v>
      </c>
    </row>
    <row r="1878" spans="1:8" x14ac:dyDescent="0.25">
      <c r="A1878" t="s">
        <v>12</v>
      </c>
      <c r="B1878" t="s">
        <v>56</v>
      </c>
      <c r="C1878">
        <v>5</v>
      </c>
      <c r="D1878" s="9">
        <v>3700</v>
      </c>
      <c r="E1878" s="9">
        <f>+Tablo3[[#This Row],[Birim Fiyat]]*Tablo3[[#This Row],[Satış Adet]]</f>
        <v>18500</v>
      </c>
      <c r="F1878" s="9">
        <v>3500</v>
      </c>
      <c r="G1878" t="s">
        <v>60</v>
      </c>
      <c r="H1878" t="s">
        <v>39</v>
      </c>
    </row>
    <row r="1879" spans="1:8" x14ac:dyDescent="0.25">
      <c r="A1879" t="s">
        <v>30</v>
      </c>
      <c r="B1879" t="s">
        <v>26</v>
      </c>
      <c r="C1879">
        <v>3</v>
      </c>
      <c r="D1879" s="9">
        <v>1100</v>
      </c>
      <c r="E1879" s="9">
        <f>+Tablo3[[#This Row],[Birim Fiyat]]*Tablo3[[#This Row],[Satış Adet]]</f>
        <v>3300</v>
      </c>
      <c r="F1879" s="9">
        <v>900</v>
      </c>
      <c r="G1879" t="s">
        <v>60</v>
      </c>
      <c r="H1879" t="s">
        <v>44</v>
      </c>
    </row>
    <row r="1880" spans="1:8" x14ac:dyDescent="0.25">
      <c r="A1880" t="s">
        <v>67</v>
      </c>
      <c r="B1880" t="s">
        <v>56</v>
      </c>
      <c r="C1880">
        <v>4</v>
      </c>
      <c r="D1880" s="9">
        <v>3700</v>
      </c>
      <c r="E1880" s="9">
        <f>+Tablo3[[#This Row],[Birim Fiyat]]*Tablo3[[#This Row],[Satış Adet]]</f>
        <v>14800</v>
      </c>
      <c r="F1880" s="9">
        <v>2800</v>
      </c>
      <c r="G1880" t="s">
        <v>60</v>
      </c>
      <c r="H1880" t="s">
        <v>52</v>
      </c>
    </row>
    <row r="1881" spans="1:8" x14ac:dyDescent="0.25">
      <c r="A1881" t="s">
        <v>46</v>
      </c>
      <c r="B1881" t="s">
        <v>41</v>
      </c>
      <c r="C1881">
        <v>2</v>
      </c>
      <c r="D1881" s="9">
        <v>1490</v>
      </c>
      <c r="E1881" s="9">
        <f>+Tablo3[[#This Row],[Birim Fiyat]]*Tablo3[[#This Row],[Satış Adet]]</f>
        <v>2980</v>
      </c>
      <c r="F1881" s="9">
        <v>1380</v>
      </c>
      <c r="G1881" t="s">
        <v>60</v>
      </c>
      <c r="H1881" t="s">
        <v>39</v>
      </c>
    </row>
    <row r="1882" spans="1:8" x14ac:dyDescent="0.25">
      <c r="A1882" t="s">
        <v>38</v>
      </c>
      <c r="B1882" t="s">
        <v>55</v>
      </c>
      <c r="C1882">
        <v>5</v>
      </c>
      <c r="D1882" s="9">
        <v>1500</v>
      </c>
      <c r="E1882" s="9">
        <f>+Tablo3[[#This Row],[Birim Fiyat]]*Tablo3[[#This Row],[Satış Adet]]</f>
        <v>7500</v>
      </c>
      <c r="F1882" s="9">
        <v>3500</v>
      </c>
      <c r="G1882" t="s">
        <v>60</v>
      </c>
      <c r="H1882" t="s">
        <v>52</v>
      </c>
    </row>
    <row r="1883" spans="1:8" x14ac:dyDescent="0.25">
      <c r="A1883" t="s">
        <v>36</v>
      </c>
      <c r="B1883" t="s">
        <v>32</v>
      </c>
      <c r="C1883">
        <v>2</v>
      </c>
      <c r="D1883" s="9">
        <v>1090</v>
      </c>
      <c r="E1883" s="9">
        <f>+Tablo3[[#This Row],[Birim Fiyat]]*Tablo3[[#This Row],[Satış Adet]]</f>
        <v>2180</v>
      </c>
      <c r="F1883" s="9">
        <v>580</v>
      </c>
      <c r="G1883" t="s">
        <v>60</v>
      </c>
      <c r="H1883" t="s">
        <v>42</v>
      </c>
    </row>
    <row r="1884" spans="1:8" x14ac:dyDescent="0.25">
      <c r="A1884" t="s">
        <v>46</v>
      </c>
      <c r="B1884" t="s">
        <v>31</v>
      </c>
      <c r="C1884">
        <v>3</v>
      </c>
      <c r="D1884" s="9">
        <v>1800</v>
      </c>
      <c r="E1884" s="9">
        <f>+Tablo3[[#This Row],[Birim Fiyat]]*Tablo3[[#This Row],[Satış Adet]]</f>
        <v>5400</v>
      </c>
      <c r="F1884" s="9">
        <v>3000</v>
      </c>
      <c r="G1884" t="s">
        <v>60</v>
      </c>
      <c r="H1884" t="s">
        <v>27</v>
      </c>
    </row>
    <row r="1885" spans="1:8" x14ac:dyDescent="0.25">
      <c r="A1885" t="s">
        <v>33</v>
      </c>
      <c r="B1885" t="s">
        <v>53</v>
      </c>
      <c r="C1885">
        <v>5</v>
      </c>
      <c r="D1885" s="9">
        <v>7530</v>
      </c>
      <c r="E1885" s="9">
        <f>+Tablo3[[#This Row],[Birim Fiyat]]*Tablo3[[#This Row],[Satış Adet]]</f>
        <v>37650</v>
      </c>
      <c r="F1885" s="9">
        <v>7650</v>
      </c>
      <c r="G1885" t="s">
        <v>60</v>
      </c>
      <c r="H1885" t="s">
        <v>14</v>
      </c>
    </row>
    <row r="1886" spans="1:8" x14ac:dyDescent="0.25">
      <c r="A1886" t="s">
        <v>30</v>
      </c>
      <c r="B1886" t="s">
        <v>26</v>
      </c>
      <c r="C1886">
        <v>3</v>
      </c>
      <c r="D1886" s="9">
        <v>1100</v>
      </c>
      <c r="E1886" s="9">
        <f>+Tablo3[[#This Row],[Birim Fiyat]]*Tablo3[[#This Row],[Satış Adet]]</f>
        <v>3300</v>
      </c>
      <c r="F1886" s="9">
        <v>900</v>
      </c>
      <c r="G1886" t="s">
        <v>60</v>
      </c>
      <c r="H1886" t="s">
        <v>39</v>
      </c>
    </row>
    <row r="1887" spans="1:8" x14ac:dyDescent="0.25">
      <c r="A1887" t="s">
        <v>38</v>
      </c>
      <c r="B1887" t="s">
        <v>19</v>
      </c>
      <c r="C1887">
        <v>2</v>
      </c>
      <c r="D1887" s="9">
        <v>1350</v>
      </c>
      <c r="E1887" s="9">
        <f>+Tablo3[[#This Row],[Birim Fiyat]]*Tablo3[[#This Row],[Satış Adet]]</f>
        <v>2700</v>
      </c>
      <c r="F1887" s="9">
        <v>1100</v>
      </c>
      <c r="G1887" t="s">
        <v>60</v>
      </c>
      <c r="H1887" t="s">
        <v>40</v>
      </c>
    </row>
    <row r="1888" spans="1:8" x14ac:dyDescent="0.25">
      <c r="A1888" t="s">
        <v>36</v>
      </c>
      <c r="B1888" t="s">
        <v>19</v>
      </c>
      <c r="C1888">
        <v>5</v>
      </c>
      <c r="D1888" s="9">
        <v>1350</v>
      </c>
      <c r="E1888" s="9">
        <f>+Tablo3[[#This Row],[Birim Fiyat]]*Tablo3[[#This Row],[Satış Adet]]</f>
        <v>6750</v>
      </c>
      <c r="F1888" s="9">
        <v>2750</v>
      </c>
      <c r="G1888" t="s">
        <v>60</v>
      </c>
      <c r="H1888" t="s">
        <v>42</v>
      </c>
    </row>
    <row r="1889" spans="1:8" x14ac:dyDescent="0.25">
      <c r="A1889" t="s">
        <v>33</v>
      </c>
      <c r="B1889" t="s">
        <v>32</v>
      </c>
      <c r="C1889">
        <v>2</v>
      </c>
      <c r="D1889" s="9">
        <v>1090</v>
      </c>
      <c r="E1889" s="9">
        <f>+Tablo3[[#This Row],[Birim Fiyat]]*Tablo3[[#This Row],[Satış Adet]]</f>
        <v>2180</v>
      </c>
      <c r="F1889" s="9">
        <v>580</v>
      </c>
      <c r="G1889" t="s">
        <v>60</v>
      </c>
      <c r="H1889" t="s">
        <v>17</v>
      </c>
    </row>
    <row r="1890" spans="1:8" x14ac:dyDescent="0.25">
      <c r="A1890" t="s">
        <v>33</v>
      </c>
      <c r="B1890" t="s">
        <v>43</v>
      </c>
      <c r="C1890">
        <v>4</v>
      </c>
      <c r="D1890" s="9">
        <v>4200</v>
      </c>
      <c r="E1890" s="9">
        <f>+Tablo3[[#This Row],[Birim Fiyat]]*Tablo3[[#This Row],[Satış Adet]]</f>
        <v>16800</v>
      </c>
      <c r="F1890" s="9">
        <v>4800</v>
      </c>
      <c r="G1890" t="s">
        <v>60</v>
      </c>
      <c r="H1890" t="s">
        <v>14</v>
      </c>
    </row>
    <row r="1891" spans="1:8" x14ac:dyDescent="0.25">
      <c r="A1891" t="s">
        <v>38</v>
      </c>
      <c r="B1891" t="s">
        <v>31</v>
      </c>
      <c r="C1891">
        <v>2</v>
      </c>
      <c r="D1891" s="9">
        <v>1800</v>
      </c>
      <c r="E1891" s="9">
        <f>+Tablo3[[#This Row],[Birim Fiyat]]*Tablo3[[#This Row],[Satış Adet]]</f>
        <v>3600</v>
      </c>
      <c r="F1891" s="9">
        <v>2000</v>
      </c>
      <c r="G1891" t="s">
        <v>60</v>
      </c>
      <c r="H1891" t="s">
        <v>52</v>
      </c>
    </row>
    <row r="1892" spans="1:8" x14ac:dyDescent="0.25">
      <c r="A1892" t="s">
        <v>48</v>
      </c>
      <c r="B1892" t="s">
        <v>32</v>
      </c>
      <c r="C1892">
        <v>3</v>
      </c>
      <c r="D1892" s="9">
        <v>1090</v>
      </c>
      <c r="E1892" s="9">
        <f>+Tablo3[[#This Row],[Birim Fiyat]]*Tablo3[[#This Row],[Satış Adet]]</f>
        <v>3270</v>
      </c>
      <c r="F1892" s="9">
        <v>870</v>
      </c>
      <c r="G1892" t="s">
        <v>60</v>
      </c>
      <c r="H1892" t="s">
        <v>44</v>
      </c>
    </row>
    <row r="1893" spans="1:8" x14ac:dyDescent="0.25">
      <c r="A1893" t="s">
        <v>8</v>
      </c>
      <c r="B1893" t="s">
        <v>23</v>
      </c>
      <c r="C1893">
        <v>2</v>
      </c>
      <c r="D1893" s="9">
        <v>7600</v>
      </c>
      <c r="E1893" s="9">
        <f>+Tablo3[[#This Row],[Birim Fiyat]]*Tablo3[[#This Row],[Satış Adet]]</f>
        <v>15200</v>
      </c>
      <c r="F1893" s="9">
        <v>3200</v>
      </c>
      <c r="G1893" t="s">
        <v>60</v>
      </c>
      <c r="H1893" t="s">
        <v>11</v>
      </c>
    </row>
    <row r="1894" spans="1:8" x14ac:dyDescent="0.25">
      <c r="A1894" t="s">
        <v>36</v>
      </c>
      <c r="B1894" t="s">
        <v>23</v>
      </c>
      <c r="C1894">
        <v>2</v>
      </c>
      <c r="D1894" s="9">
        <v>7600</v>
      </c>
      <c r="E1894" s="9">
        <f>+Tablo3[[#This Row],[Birim Fiyat]]*Tablo3[[#This Row],[Satış Adet]]</f>
        <v>15200</v>
      </c>
      <c r="F1894" s="9">
        <v>3200</v>
      </c>
      <c r="G1894" t="s">
        <v>60</v>
      </c>
      <c r="H1894" t="s">
        <v>35</v>
      </c>
    </row>
    <row r="1895" spans="1:8" x14ac:dyDescent="0.25">
      <c r="A1895" t="s">
        <v>15</v>
      </c>
      <c r="B1895" t="s">
        <v>56</v>
      </c>
      <c r="C1895">
        <v>5</v>
      </c>
      <c r="D1895" s="9">
        <v>3700</v>
      </c>
      <c r="E1895" s="9">
        <f>+Tablo3[[#This Row],[Birim Fiyat]]*Tablo3[[#This Row],[Satış Adet]]</f>
        <v>18500</v>
      </c>
      <c r="F1895" s="9">
        <v>3500</v>
      </c>
      <c r="G1895" t="s">
        <v>60</v>
      </c>
      <c r="H1895" t="s">
        <v>20</v>
      </c>
    </row>
    <row r="1896" spans="1:8" x14ac:dyDescent="0.25">
      <c r="A1896" t="s">
        <v>22</v>
      </c>
      <c r="B1896" t="s">
        <v>25</v>
      </c>
      <c r="C1896">
        <v>3</v>
      </c>
      <c r="D1896" s="9">
        <v>7250</v>
      </c>
      <c r="E1896" s="9">
        <f>+Tablo3[[#This Row],[Birim Fiyat]]*Tablo3[[#This Row],[Satış Adet]]</f>
        <v>21750</v>
      </c>
      <c r="F1896" s="9">
        <v>6750</v>
      </c>
      <c r="G1896" t="s">
        <v>60</v>
      </c>
      <c r="H1896" t="s">
        <v>20</v>
      </c>
    </row>
    <row r="1897" spans="1:8" x14ac:dyDescent="0.25">
      <c r="A1897" t="s">
        <v>12</v>
      </c>
      <c r="B1897" t="s">
        <v>23</v>
      </c>
      <c r="C1897">
        <v>5</v>
      </c>
      <c r="D1897" s="9">
        <v>7600</v>
      </c>
      <c r="E1897" s="9">
        <f>+Tablo3[[#This Row],[Birim Fiyat]]*Tablo3[[#This Row],[Satış Adet]]</f>
        <v>38000</v>
      </c>
      <c r="F1897" s="9">
        <v>8000</v>
      </c>
      <c r="G1897" t="s">
        <v>60</v>
      </c>
      <c r="H1897" t="s">
        <v>24</v>
      </c>
    </row>
    <row r="1898" spans="1:8" x14ac:dyDescent="0.25">
      <c r="A1898" t="s">
        <v>46</v>
      </c>
      <c r="B1898" t="s">
        <v>43</v>
      </c>
      <c r="C1898">
        <v>4</v>
      </c>
      <c r="D1898" s="9">
        <v>4200</v>
      </c>
      <c r="E1898" s="9">
        <f>+Tablo3[[#This Row],[Birim Fiyat]]*Tablo3[[#This Row],[Satış Adet]]</f>
        <v>16800</v>
      </c>
      <c r="F1898" s="9">
        <v>4800</v>
      </c>
      <c r="G1898" t="s">
        <v>60</v>
      </c>
      <c r="H1898" t="s">
        <v>35</v>
      </c>
    </row>
    <row r="1899" spans="1:8" x14ac:dyDescent="0.25">
      <c r="A1899" t="s">
        <v>30</v>
      </c>
      <c r="B1899" t="s">
        <v>50</v>
      </c>
      <c r="C1899">
        <v>3</v>
      </c>
      <c r="D1899" s="9">
        <v>1250</v>
      </c>
      <c r="E1899" s="9">
        <f>+Tablo3[[#This Row],[Birim Fiyat]]*Tablo3[[#This Row],[Satış Adet]]</f>
        <v>3750</v>
      </c>
      <c r="F1899" s="9">
        <v>1350</v>
      </c>
      <c r="G1899" t="s">
        <v>60</v>
      </c>
      <c r="H1899" t="s">
        <v>27</v>
      </c>
    </row>
    <row r="1900" spans="1:8" x14ac:dyDescent="0.25">
      <c r="A1900" t="s">
        <v>36</v>
      </c>
      <c r="B1900" t="s">
        <v>32</v>
      </c>
      <c r="C1900">
        <v>5</v>
      </c>
      <c r="D1900" s="9">
        <v>1090</v>
      </c>
      <c r="E1900" s="9">
        <f>+Tablo3[[#This Row],[Birim Fiyat]]*Tablo3[[#This Row],[Satış Adet]]</f>
        <v>5450</v>
      </c>
      <c r="F1900" s="9">
        <v>1450</v>
      </c>
      <c r="G1900" t="s">
        <v>60</v>
      </c>
      <c r="H1900" t="s">
        <v>17</v>
      </c>
    </row>
    <row r="1901" spans="1:8" x14ac:dyDescent="0.25">
      <c r="A1901" t="s">
        <v>18</v>
      </c>
      <c r="B1901" t="s">
        <v>21</v>
      </c>
      <c r="C1901">
        <v>4</v>
      </c>
      <c r="D1901" s="9">
        <v>2180</v>
      </c>
      <c r="E1901" s="9">
        <f>+Tablo3[[#This Row],[Birim Fiyat]]*Tablo3[[#This Row],[Satış Adet]]</f>
        <v>8720</v>
      </c>
      <c r="F1901" s="9">
        <v>2720</v>
      </c>
      <c r="G1901" t="s">
        <v>60</v>
      </c>
      <c r="H1901" t="s">
        <v>27</v>
      </c>
    </row>
    <row r="1902" spans="1:8" x14ac:dyDescent="0.25">
      <c r="A1902" t="s">
        <v>48</v>
      </c>
      <c r="B1902" t="s">
        <v>56</v>
      </c>
      <c r="C1902">
        <v>3</v>
      </c>
      <c r="D1902" s="9">
        <v>3700</v>
      </c>
      <c r="E1902" s="9">
        <f>+Tablo3[[#This Row],[Birim Fiyat]]*Tablo3[[#This Row],[Satış Adet]]</f>
        <v>11100</v>
      </c>
      <c r="F1902" s="9">
        <v>2100</v>
      </c>
      <c r="G1902" t="s">
        <v>60</v>
      </c>
      <c r="H1902" t="s">
        <v>40</v>
      </c>
    </row>
    <row r="1903" spans="1:8" x14ac:dyDescent="0.25">
      <c r="A1903" t="s">
        <v>38</v>
      </c>
      <c r="B1903" t="s">
        <v>9</v>
      </c>
      <c r="C1903">
        <v>4</v>
      </c>
      <c r="D1903" s="9">
        <v>6000</v>
      </c>
      <c r="E1903" s="9">
        <f>+Tablo3[[#This Row],[Birim Fiyat]]*Tablo3[[#This Row],[Satış Adet]]</f>
        <v>24000</v>
      </c>
      <c r="F1903" s="9">
        <v>8000</v>
      </c>
      <c r="G1903" t="s">
        <v>60</v>
      </c>
      <c r="H1903" t="s">
        <v>35</v>
      </c>
    </row>
    <row r="1904" spans="1:8" x14ac:dyDescent="0.25">
      <c r="A1904" t="s">
        <v>46</v>
      </c>
      <c r="B1904" t="s">
        <v>50</v>
      </c>
      <c r="C1904">
        <v>5</v>
      </c>
      <c r="D1904" s="9">
        <v>1250</v>
      </c>
      <c r="E1904" s="9">
        <f>+Tablo3[[#This Row],[Birim Fiyat]]*Tablo3[[#This Row],[Satış Adet]]</f>
        <v>6250</v>
      </c>
      <c r="F1904" s="9">
        <v>2250</v>
      </c>
      <c r="G1904" t="s">
        <v>60</v>
      </c>
      <c r="H1904" t="s">
        <v>44</v>
      </c>
    </row>
    <row r="1905" spans="1:8" x14ac:dyDescent="0.25">
      <c r="A1905" t="s">
        <v>48</v>
      </c>
      <c r="B1905" t="s">
        <v>23</v>
      </c>
      <c r="C1905">
        <v>3</v>
      </c>
      <c r="D1905" s="9">
        <v>7600</v>
      </c>
      <c r="E1905" s="9">
        <f>+Tablo3[[#This Row],[Birim Fiyat]]*Tablo3[[#This Row],[Satış Adet]]</f>
        <v>22800</v>
      </c>
      <c r="F1905" s="9">
        <v>4800</v>
      </c>
      <c r="G1905" t="s">
        <v>60</v>
      </c>
      <c r="H1905" t="s">
        <v>20</v>
      </c>
    </row>
    <row r="1906" spans="1:8" x14ac:dyDescent="0.25">
      <c r="A1906" t="s">
        <v>8</v>
      </c>
      <c r="B1906" t="s">
        <v>13</v>
      </c>
      <c r="C1906">
        <v>5</v>
      </c>
      <c r="D1906" s="9">
        <v>1400</v>
      </c>
      <c r="E1906" s="9">
        <f>+Tablo3[[#This Row],[Birim Fiyat]]*Tablo3[[#This Row],[Satış Adet]]</f>
        <v>7000</v>
      </c>
      <c r="F1906" s="9">
        <v>3000</v>
      </c>
      <c r="G1906" t="s">
        <v>60</v>
      </c>
      <c r="H1906" t="s">
        <v>40</v>
      </c>
    </row>
    <row r="1907" spans="1:8" x14ac:dyDescent="0.25">
      <c r="A1907" t="s">
        <v>22</v>
      </c>
      <c r="B1907" t="s">
        <v>21</v>
      </c>
      <c r="C1907">
        <v>4</v>
      </c>
      <c r="D1907" s="9">
        <v>2180</v>
      </c>
      <c r="E1907" s="9">
        <f>+Tablo3[[#This Row],[Birim Fiyat]]*Tablo3[[#This Row],[Satış Adet]]</f>
        <v>8720</v>
      </c>
      <c r="F1907" s="9">
        <v>2720</v>
      </c>
      <c r="G1907" t="s">
        <v>60</v>
      </c>
      <c r="H1907" t="s">
        <v>14</v>
      </c>
    </row>
    <row r="1908" spans="1:8" x14ac:dyDescent="0.25">
      <c r="A1908" t="s">
        <v>8</v>
      </c>
      <c r="B1908" t="s">
        <v>31</v>
      </c>
      <c r="C1908">
        <v>5</v>
      </c>
      <c r="D1908" s="9">
        <v>1800</v>
      </c>
      <c r="E1908" s="9">
        <f>+Tablo3[[#This Row],[Birim Fiyat]]*Tablo3[[#This Row],[Satış Adet]]</f>
        <v>9000</v>
      </c>
      <c r="F1908" s="9">
        <v>5000</v>
      </c>
      <c r="G1908" t="s">
        <v>60</v>
      </c>
      <c r="H1908" t="s">
        <v>14</v>
      </c>
    </row>
    <row r="1909" spans="1:8" x14ac:dyDescent="0.25">
      <c r="A1909" t="s">
        <v>15</v>
      </c>
      <c r="B1909" t="s">
        <v>55</v>
      </c>
      <c r="C1909">
        <v>3</v>
      </c>
      <c r="D1909" s="9">
        <v>1500</v>
      </c>
      <c r="E1909" s="9">
        <f>+Tablo3[[#This Row],[Birim Fiyat]]*Tablo3[[#This Row],[Satış Adet]]</f>
        <v>4500</v>
      </c>
      <c r="F1909" s="9">
        <v>2100</v>
      </c>
      <c r="G1909" t="s">
        <v>60</v>
      </c>
      <c r="H1909" t="s">
        <v>39</v>
      </c>
    </row>
    <row r="1910" spans="1:8" x14ac:dyDescent="0.25">
      <c r="A1910" t="s">
        <v>30</v>
      </c>
      <c r="B1910" t="s">
        <v>16</v>
      </c>
      <c r="C1910">
        <v>4</v>
      </c>
      <c r="D1910" s="9">
        <v>8450</v>
      </c>
      <c r="E1910" s="9">
        <f>+Tablo3[[#This Row],[Birim Fiyat]]*Tablo3[[#This Row],[Satış Adet]]</f>
        <v>33800</v>
      </c>
      <c r="F1910" s="9">
        <v>9800</v>
      </c>
      <c r="G1910" t="s">
        <v>60</v>
      </c>
      <c r="H1910" t="s">
        <v>52</v>
      </c>
    </row>
    <row r="1911" spans="1:8" x14ac:dyDescent="0.25">
      <c r="A1911" t="s">
        <v>38</v>
      </c>
      <c r="B1911" t="s">
        <v>55</v>
      </c>
      <c r="C1911">
        <v>2</v>
      </c>
      <c r="D1911" s="9">
        <v>1500</v>
      </c>
      <c r="E1911" s="9">
        <f>+Tablo3[[#This Row],[Birim Fiyat]]*Tablo3[[#This Row],[Satış Adet]]</f>
        <v>3000</v>
      </c>
      <c r="F1911" s="9">
        <v>1400</v>
      </c>
      <c r="G1911" t="s">
        <v>60</v>
      </c>
      <c r="H1911" t="s">
        <v>17</v>
      </c>
    </row>
    <row r="1912" spans="1:8" x14ac:dyDescent="0.25">
      <c r="A1912" t="s">
        <v>67</v>
      </c>
      <c r="B1912" t="s">
        <v>9</v>
      </c>
      <c r="C1912">
        <v>2</v>
      </c>
      <c r="D1912" s="9">
        <v>6000</v>
      </c>
      <c r="E1912" s="9">
        <f>+Tablo3[[#This Row],[Birim Fiyat]]*Tablo3[[#This Row],[Satış Adet]]</f>
        <v>12000</v>
      </c>
      <c r="F1912" s="9">
        <v>4000</v>
      </c>
      <c r="G1912" t="s">
        <v>60</v>
      </c>
      <c r="H1912" t="s">
        <v>40</v>
      </c>
    </row>
    <row r="1913" spans="1:8" x14ac:dyDescent="0.25">
      <c r="A1913" t="s">
        <v>48</v>
      </c>
      <c r="B1913" t="s">
        <v>51</v>
      </c>
      <c r="C1913">
        <v>2</v>
      </c>
      <c r="D1913" s="9">
        <v>1200</v>
      </c>
      <c r="E1913" s="9">
        <f>+Tablo3[[#This Row],[Birim Fiyat]]*Tablo3[[#This Row],[Satış Adet]]</f>
        <v>2400</v>
      </c>
      <c r="F1913" s="9">
        <v>800</v>
      </c>
      <c r="G1913" t="s">
        <v>60</v>
      </c>
      <c r="H1913" t="s">
        <v>27</v>
      </c>
    </row>
    <row r="1914" spans="1:8" x14ac:dyDescent="0.25">
      <c r="A1914" t="s">
        <v>8</v>
      </c>
      <c r="B1914" t="s">
        <v>43</v>
      </c>
      <c r="C1914">
        <v>3</v>
      </c>
      <c r="D1914" s="9">
        <v>4200</v>
      </c>
      <c r="E1914" s="9">
        <f>+Tablo3[[#This Row],[Birim Fiyat]]*Tablo3[[#This Row],[Satış Adet]]</f>
        <v>12600</v>
      </c>
      <c r="F1914" s="9">
        <v>3600</v>
      </c>
      <c r="G1914" t="s">
        <v>60</v>
      </c>
      <c r="H1914" t="s">
        <v>27</v>
      </c>
    </row>
    <row r="1915" spans="1:8" x14ac:dyDescent="0.25">
      <c r="A1915" t="s">
        <v>46</v>
      </c>
      <c r="B1915" t="s">
        <v>23</v>
      </c>
      <c r="C1915">
        <v>4</v>
      </c>
      <c r="D1915" s="9">
        <v>7600</v>
      </c>
      <c r="E1915" s="9">
        <f>+Tablo3[[#This Row],[Birim Fiyat]]*Tablo3[[#This Row],[Satış Adet]]</f>
        <v>30400</v>
      </c>
      <c r="F1915" s="9">
        <v>6400</v>
      </c>
      <c r="G1915" t="s">
        <v>60</v>
      </c>
      <c r="H1915" t="s">
        <v>52</v>
      </c>
    </row>
    <row r="1916" spans="1:8" x14ac:dyDescent="0.25">
      <c r="A1916" t="s">
        <v>67</v>
      </c>
      <c r="B1916" t="s">
        <v>25</v>
      </c>
      <c r="C1916">
        <v>4</v>
      </c>
      <c r="D1916" s="9">
        <v>7250</v>
      </c>
      <c r="E1916" s="9">
        <f>+Tablo3[[#This Row],[Birim Fiyat]]*Tablo3[[#This Row],[Satış Adet]]</f>
        <v>29000</v>
      </c>
      <c r="F1916" s="9">
        <v>9000</v>
      </c>
      <c r="G1916" t="s">
        <v>60</v>
      </c>
      <c r="H1916" t="s">
        <v>40</v>
      </c>
    </row>
    <row r="1917" spans="1:8" x14ac:dyDescent="0.25">
      <c r="A1917" t="s">
        <v>12</v>
      </c>
      <c r="B1917" t="s">
        <v>53</v>
      </c>
      <c r="C1917">
        <v>5</v>
      </c>
      <c r="D1917" s="9">
        <v>7530</v>
      </c>
      <c r="E1917" s="9">
        <f>+Tablo3[[#This Row],[Birim Fiyat]]*Tablo3[[#This Row],[Satış Adet]]</f>
        <v>37650</v>
      </c>
      <c r="F1917" s="9">
        <v>7650</v>
      </c>
      <c r="G1917" t="s">
        <v>60</v>
      </c>
      <c r="H1917" t="s">
        <v>20</v>
      </c>
    </row>
    <row r="1918" spans="1:8" x14ac:dyDescent="0.25">
      <c r="A1918" t="s">
        <v>15</v>
      </c>
      <c r="B1918" t="s">
        <v>25</v>
      </c>
      <c r="C1918">
        <v>3</v>
      </c>
      <c r="D1918" s="9">
        <v>7250</v>
      </c>
      <c r="E1918" s="9">
        <f>+Tablo3[[#This Row],[Birim Fiyat]]*Tablo3[[#This Row],[Satış Adet]]</f>
        <v>21750</v>
      </c>
      <c r="F1918" s="9">
        <v>6750</v>
      </c>
      <c r="G1918" t="s">
        <v>60</v>
      </c>
      <c r="H1918" t="s">
        <v>20</v>
      </c>
    </row>
    <row r="1919" spans="1:8" x14ac:dyDescent="0.25">
      <c r="A1919" t="s">
        <v>12</v>
      </c>
      <c r="B1919" t="s">
        <v>9</v>
      </c>
      <c r="C1919">
        <v>5</v>
      </c>
      <c r="D1919" s="9">
        <v>6000</v>
      </c>
      <c r="E1919" s="9">
        <f>+Tablo3[[#This Row],[Birim Fiyat]]*Tablo3[[#This Row],[Satış Adet]]</f>
        <v>30000</v>
      </c>
      <c r="F1919" s="9">
        <v>10000</v>
      </c>
      <c r="G1919" t="s">
        <v>60</v>
      </c>
      <c r="H1919" t="s">
        <v>39</v>
      </c>
    </row>
    <row r="1920" spans="1:8" x14ac:dyDescent="0.25">
      <c r="A1920" t="s">
        <v>67</v>
      </c>
      <c r="B1920" t="s">
        <v>51</v>
      </c>
      <c r="C1920">
        <v>5</v>
      </c>
      <c r="D1920" s="9">
        <v>1200</v>
      </c>
      <c r="E1920" s="9">
        <f>+Tablo3[[#This Row],[Birim Fiyat]]*Tablo3[[#This Row],[Satış Adet]]</f>
        <v>6000</v>
      </c>
      <c r="F1920" s="9">
        <v>2000</v>
      </c>
      <c r="G1920" t="s">
        <v>60</v>
      </c>
      <c r="H1920" t="s">
        <v>52</v>
      </c>
    </row>
    <row r="1921" spans="1:8" x14ac:dyDescent="0.25">
      <c r="A1921" t="s">
        <v>48</v>
      </c>
      <c r="B1921" t="s">
        <v>54</v>
      </c>
      <c r="C1921">
        <v>5</v>
      </c>
      <c r="D1921" s="9">
        <v>5300</v>
      </c>
      <c r="E1921" s="9">
        <f>+Tablo3[[#This Row],[Birim Fiyat]]*Tablo3[[#This Row],[Satış Adet]]</f>
        <v>26500</v>
      </c>
      <c r="F1921" s="9">
        <v>6500</v>
      </c>
      <c r="G1921" t="s">
        <v>60</v>
      </c>
      <c r="H1921" t="s">
        <v>42</v>
      </c>
    </row>
    <row r="1922" spans="1:8" x14ac:dyDescent="0.25">
      <c r="A1922" t="s">
        <v>36</v>
      </c>
      <c r="B1922" t="s">
        <v>16</v>
      </c>
      <c r="C1922">
        <v>2</v>
      </c>
      <c r="D1922" s="9">
        <v>8450</v>
      </c>
      <c r="E1922" s="9">
        <f>+Tablo3[[#This Row],[Birim Fiyat]]*Tablo3[[#This Row],[Satış Adet]]</f>
        <v>16900</v>
      </c>
      <c r="F1922" s="9">
        <v>4900</v>
      </c>
      <c r="G1922" t="s">
        <v>60</v>
      </c>
      <c r="H1922" t="s">
        <v>24</v>
      </c>
    </row>
    <row r="1923" spans="1:8" x14ac:dyDescent="0.25">
      <c r="A1923" t="s">
        <v>22</v>
      </c>
      <c r="B1923" t="s">
        <v>19</v>
      </c>
      <c r="C1923">
        <v>3</v>
      </c>
      <c r="D1923" s="9">
        <v>1350</v>
      </c>
      <c r="E1923" s="9">
        <f>+Tablo3[[#This Row],[Birim Fiyat]]*Tablo3[[#This Row],[Satış Adet]]</f>
        <v>4050</v>
      </c>
      <c r="F1923" s="9">
        <v>1650</v>
      </c>
      <c r="G1923" t="s">
        <v>60</v>
      </c>
      <c r="H1923" t="s">
        <v>14</v>
      </c>
    </row>
    <row r="1924" spans="1:8" x14ac:dyDescent="0.25">
      <c r="A1924" t="s">
        <v>30</v>
      </c>
      <c r="B1924" t="s">
        <v>32</v>
      </c>
      <c r="C1924">
        <v>2</v>
      </c>
      <c r="D1924" s="9">
        <v>1090</v>
      </c>
      <c r="E1924" s="9">
        <f>+Tablo3[[#This Row],[Birim Fiyat]]*Tablo3[[#This Row],[Satış Adet]]</f>
        <v>2180</v>
      </c>
      <c r="F1924" s="9">
        <v>580</v>
      </c>
      <c r="G1924" t="s">
        <v>60</v>
      </c>
      <c r="H1924" t="s">
        <v>39</v>
      </c>
    </row>
    <row r="1925" spans="1:8" x14ac:dyDescent="0.25">
      <c r="A1925" t="s">
        <v>22</v>
      </c>
      <c r="B1925" t="s">
        <v>21</v>
      </c>
      <c r="C1925">
        <v>2</v>
      </c>
      <c r="D1925" s="9">
        <v>2180</v>
      </c>
      <c r="E1925" s="9">
        <f>+Tablo3[[#This Row],[Birim Fiyat]]*Tablo3[[#This Row],[Satış Adet]]</f>
        <v>4360</v>
      </c>
      <c r="F1925" s="9">
        <v>1360</v>
      </c>
      <c r="G1925" t="s">
        <v>60</v>
      </c>
      <c r="H1925" t="s">
        <v>40</v>
      </c>
    </row>
    <row r="1926" spans="1:8" x14ac:dyDescent="0.25">
      <c r="A1926" t="s">
        <v>12</v>
      </c>
      <c r="B1926" t="s">
        <v>56</v>
      </c>
      <c r="C1926">
        <v>5</v>
      </c>
      <c r="D1926" s="9">
        <v>3700</v>
      </c>
      <c r="E1926" s="9">
        <f>+Tablo3[[#This Row],[Birim Fiyat]]*Tablo3[[#This Row],[Satış Adet]]</f>
        <v>18500</v>
      </c>
      <c r="F1926" s="9">
        <v>3500</v>
      </c>
      <c r="G1926" t="s">
        <v>60</v>
      </c>
      <c r="H1926" t="s">
        <v>40</v>
      </c>
    </row>
    <row r="1927" spans="1:8" x14ac:dyDescent="0.25">
      <c r="A1927" t="s">
        <v>30</v>
      </c>
      <c r="B1927" t="s">
        <v>26</v>
      </c>
      <c r="C1927">
        <v>3</v>
      </c>
      <c r="D1927" s="9">
        <v>1100</v>
      </c>
      <c r="E1927" s="9">
        <f>+Tablo3[[#This Row],[Birim Fiyat]]*Tablo3[[#This Row],[Satış Adet]]</f>
        <v>3300</v>
      </c>
      <c r="F1927" s="9">
        <v>900</v>
      </c>
      <c r="G1927" t="s">
        <v>60</v>
      </c>
      <c r="H1927" t="s">
        <v>42</v>
      </c>
    </row>
    <row r="1928" spans="1:8" x14ac:dyDescent="0.25">
      <c r="A1928" t="s">
        <v>67</v>
      </c>
      <c r="B1928" t="s">
        <v>56</v>
      </c>
      <c r="C1928">
        <v>4</v>
      </c>
      <c r="D1928" s="9">
        <v>3700</v>
      </c>
      <c r="E1928" s="9">
        <f>+Tablo3[[#This Row],[Birim Fiyat]]*Tablo3[[#This Row],[Satış Adet]]</f>
        <v>14800</v>
      </c>
      <c r="F1928" s="9">
        <v>2800</v>
      </c>
      <c r="G1928" t="s">
        <v>60</v>
      </c>
      <c r="H1928" t="s">
        <v>42</v>
      </c>
    </row>
    <row r="1929" spans="1:8" x14ac:dyDescent="0.25">
      <c r="A1929" t="s">
        <v>46</v>
      </c>
      <c r="B1929" t="s">
        <v>41</v>
      </c>
      <c r="C1929">
        <v>5</v>
      </c>
      <c r="D1929" s="9">
        <v>1490</v>
      </c>
      <c r="E1929" s="9">
        <f>+Tablo3[[#This Row],[Birim Fiyat]]*Tablo3[[#This Row],[Satış Adet]]</f>
        <v>7450</v>
      </c>
      <c r="F1929" s="9">
        <v>3450</v>
      </c>
      <c r="G1929" t="s">
        <v>60</v>
      </c>
      <c r="H1929" t="s">
        <v>27</v>
      </c>
    </row>
    <row r="1930" spans="1:8" x14ac:dyDescent="0.25">
      <c r="A1930" t="s">
        <v>38</v>
      </c>
      <c r="B1930" t="s">
        <v>55</v>
      </c>
      <c r="C1930">
        <v>4</v>
      </c>
      <c r="D1930" s="9">
        <v>1500</v>
      </c>
      <c r="E1930" s="9">
        <f>+Tablo3[[#This Row],[Birim Fiyat]]*Tablo3[[#This Row],[Satış Adet]]</f>
        <v>6000</v>
      </c>
      <c r="F1930" s="9">
        <v>2800</v>
      </c>
      <c r="G1930" t="s">
        <v>60</v>
      </c>
      <c r="H1930" t="s">
        <v>20</v>
      </c>
    </row>
    <row r="1931" spans="1:8" x14ac:dyDescent="0.25">
      <c r="A1931" t="s">
        <v>36</v>
      </c>
      <c r="B1931" t="s">
        <v>32</v>
      </c>
      <c r="C1931">
        <v>3</v>
      </c>
      <c r="D1931" s="9">
        <v>1090</v>
      </c>
      <c r="E1931" s="9">
        <f>+Tablo3[[#This Row],[Birim Fiyat]]*Tablo3[[#This Row],[Satış Adet]]</f>
        <v>3270</v>
      </c>
      <c r="F1931" s="9">
        <v>870</v>
      </c>
      <c r="G1931" t="s">
        <v>60</v>
      </c>
      <c r="H1931" t="s">
        <v>24</v>
      </c>
    </row>
    <row r="1932" spans="1:8" x14ac:dyDescent="0.25">
      <c r="A1932" t="s">
        <v>46</v>
      </c>
      <c r="B1932" t="s">
        <v>31</v>
      </c>
      <c r="C1932">
        <v>4</v>
      </c>
      <c r="D1932" s="9">
        <v>1800</v>
      </c>
      <c r="E1932" s="9">
        <f>+Tablo3[[#This Row],[Birim Fiyat]]*Tablo3[[#This Row],[Satış Adet]]</f>
        <v>7200</v>
      </c>
      <c r="F1932" s="9">
        <v>4000</v>
      </c>
      <c r="G1932" t="s">
        <v>60</v>
      </c>
      <c r="H1932" t="s">
        <v>35</v>
      </c>
    </row>
    <row r="1933" spans="1:8" x14ac:dyDescent="0.25">
      <c r="A1933" t="s">
        <v>33</v>
      </c>
      <c r="B1933" t="s">
        <v>53</v>
      </c>
      <c r="C1933">
        <v>2</v>
      </c>
      <c r="D1933" s="9">
        <v>7530</v>
      </c>
      <c r="E1933" s="9">
        <f>+Tablo3[[#This Row],[Birim Fiyat]]*Tablo3[[#This Row],[Satış Adet]]</f>
        <v>15060</v>
      </c>
      <c r="F1933" s="9">
        <v>3060</v>
      </c>
      <c r="G1933" t="s">
        <v>60</v>
      </c>
      <c r="H1933" t="s">
        <v>27</v>
      </c>
    </row>
    <row r="1934" spans="1:8" x14ac:dyDescent="0.25">
      <c r="A1934" t="s">
        <v>30</v>
      </c>
      <c r="B1934" t="s">
        <v>26</v>
      </c>
      <c r="C1934">
        <v>2</v>
      </c>
      <c r="D1934" s="9">
        <v>1100</v>
      </c>
      <c r="E1934" s="9">
        <f>+Tablo3[[#This Row],[Birim Fiyat]]*Tablo3[[#This Row],[Satış Adet]]</f>
        <v>2200</v>
      </c>
      <c r="F1934" s="9">
        <v>600</v>
      </c>
      <c r="G1934" t="s">
        <v>60</v>
      </c>
      <c r="H1934" t="s">
        <v>44</v>
      </c>
    </row>
    <row r="1935" spans="1:8" x14ac:dyDescent="0.25">
      <c r="A1935" t="s">
        <v>38</v>
      </c>
      <c r="B1935" t="s">
        <v>19</v>
      </c>
      <c r="C1935">
        <v>4</v>
      </c>
      <c r="D1935" s="9">
        <v>1350</v>
      </c>
      <c r="E1935" s="9">
        <f>+Tablo3[[#This Row],[Birim Fiyat]]*Tablo3[[#This Row],[Satış Adet]]</f>
        <v>5400</v>
      </c>
      <c r="F1935" s="9">
        <v>2200</v>
      </c>
      <c r="G1935" t="s">
        <v>60</v>
      </c>
      <c r="H1935" t="s">
        <v>39</v>
      </c>
    </row>
    <row r="1936" spans="1:8" x14ac:dyDescent="0.25">
      <c r="A1936" t="s">
        <v>36</v>
      </c>
      <c r="B1936" t="s">
        <v>19</v>
      </c>
      <c r="C1936">
        <v>2</v>
      </c>
      <c r="D1936" s="9">
        <v>1350</v>
      </c>
      <c r="E1936" s="9">
        <f>+Tablo3[[#This Row],[Birim Fiyat]]*Tablo3[[#This Row],[Satış Adet]]</f>
        <v>2700</v>
      </c>
      <c r="F1936" s="9">
        <v>1100</v>
      </c>
      <c r="G1936" t="s">
        <v>60</v>
      </c>
      <c r="H1936" t="s">
        <v>35</v>
      </c>
    </row>
    <row r="1937" spans="1:8" x14ac:dyDescent="0.25">
      <c r="A1937" t="s">
        <v>33</v>
      </c>
      <c r="B1937" t="s">
        <v>32</v>
      </c>
      <c r="C1937">
        <v>3</v>
      </c>
      <c r="D1937" s="9">
        <v>1090</v>
      </c>
      <c r="E1937" s="9">
        <f>+Tablo3[[#This Row],[Birim Fiyat]]*Tablo3[[#This Row],[Satış Adet]]</f>
        <v>3270</v>
      </c>
      <c r="F1937" s="9">
        <v>870</v>
      </c>
      <c r="G1937" t="s">
        <v>60</v>
      </c>
      <c r="H1937" t="s">
        <v>27</v>
      </c>
    </row>
    <row r="1938" spans="1:8" x14ac:dyDescent="0.25">
      <c r="A1938" t="s">
        <v>33</v>
      </c>
      <c r="B1938" t="s">
        <v>43</v>
      </c>
      <c r="C1938">
        <v>5</v>
      </c>
      <c r="D1938" s="9">
        <v>4200</v>
      </c>
      <c r="E1938" s="9">
        <f>+Tablo3[[#This Row],[Birim Fiyat]]*Tablo3[[#This Row],[Satış Adet]]</f>
        <v>21000</v>
      </c>
      <c r="F1938" s="9">
        <v>6000</v>
      </c>
      <c r="G1938" t="s">
        <v>60</v>
      </c>
      <c r="H1938" t="s">
        <v>27</v>
      </c>
    </row>
    <row r="1939" spans="1:8" x14ac:dyDescent="0.25">
      <c r="A1939" t="s">
        <v>38</v>
      </c>
      <c r="B1939" t="s">
        <v>31</v>
      </c>
      <c r="C1939">
        <v>4</v>
      </c>
      <c r="D1939" s="9">
        <v>1800</v>
      </c>
      <c r="E1939" s="9">
        <f>+Tablo3[[#This Row],[Birim Fiyat]]*Tablo3[[#This Row],[Satış Adet]]</f>
        <v>7200</v>
      </c>
      <c r="F1939" s="9">
        <v>4000</v>
      </c>
      <c r="G1939" t="s">
        <v>60</v>
      </c>
      <c r="H1939" t="s">
        <v>27</v>
      </c>
    </row>
    <row r="1940" spans="1:8" x14ac:dyDescent="0.25">
      <c r="A1940" t="s">
        <v>48</v>
      </c>
      <c r="B1940" t="s">
        <v>32</v>
      </c>
      <c r="C1940">
        <v>4</v>
      </c>
      <c r="D1940" s="9">
        <v>1090</v>
      </c>
      <c r="E1940" s="9">
        <f>+Tablo3[[#This Row],[Birim Fiyat]]*Tablo3[[#This Row],[Satış Adet]]</f>
        <v>4360</v>
      </c>
      <c r="F1940" s="9">
        <v>1160</v>
      </c>
      <c r="G1940" t="s">
        <v>60</v>
      </c>
      <c r="H1940" t="s">
        <v>35</v>
      </c>
    </row>
    <row r="1941" spans="1:8" x14ac:dyDescent="0.25">
      <c r="A1941" t="s">
        <v>8</v>
      </c>
      <c r="B1941" t="s">
        <v>23</v>
      </c>
      <c r="C1941">
        <v>2</v>
      </c>
      <c r="D1941" s="9">
        <v>7600</v>
      </c>
      <c r="E1941" s="9">
        <f>+Tablo3[[#This Row],[Birim Fiyat]]*Tablo3[[#This Row],[Satış Adet]]</f>
        <v>15200</v>
      </c>
      <c r="F1941" s="9">
        <v>3200</v>
      </c>
      <c r="G1941" t="s">
        <v>60</v>
      </c>
      <c r="H1941" t="s">
        <v>24</v>
      </c>
    </row>
    <row r="1942" spans="1:8" x14ac:dyDescent="0.25">
      <c r="A1942" t="s">
        <v>36</v>
      </c>
      <c r="B1942" t="s">
        <v>23</v>
      </c>
      <c r="C1942">
        <v>2</v>
      </c>
      <c r="D1942" s="9">
        <v>7600</v>
      </c>
      <c r="E1942" s="9">
        <f>+Tablo3[[#This Row],[Birim Fiyat]]*Tablo3[[#This Row],[Satış Adet]]</f>
        <v>15200</v>
      </c>
      <c r="F1942" s="9">
        <v>3200</v>
      </c>
      <c r="G1942" t="s">
        <v>60</v>
      </c>
      <c r="H1942" t="s">
        <v>35</v>
      </c>
    </row>
    <row r="1943" spans="1:8" x14ac:dyDescent="0.25">
      <c r="A1943" t="s">
        <v>15</v>
      </c>
      <c r="B1943" t="s">
        <v>56</v>
      </c>
      <c r="C1943">
        <v>5</v>
      </c>
      <c r="D1943" s="9">
        <v>3700</v>
      </c>
      <c r="E1943" s="9">
        <f>+Tablo3[[#This Row],[Birim Fiyat]]*Tablo3[[#This Row],[Satış Adet]]</f>
        <v>18500</v>
      </c>
      <c r="F1943" s="9">
        <v>3500</v>
      </c>
      <c r="G1943" t="s">
        <v>60</v>
      </c>
      <c r="H1943" t="s">
        <v>29</v>
      </c>
    </row>
    <row r="1944" spans="1:8" x14ac:dyDescent="0.25">
      <c r="A1944" t="s">
        <v>22</v>
      </c>
      <c r="B1944" t="s">
        <v>25</v>
      </c>
      <c r="C1944">
        <v>3</v>
      </c>
      <c r="D1944" s="9">
        <v>7250</v>
      </c>
      <c r="E1944" s="9">
        <f>+Tablo3[[#This Row],[Birim Fiyat]]*Tablo3[[#This Row],[Satış Adet]]</f>
        <v>21750</v>
      </c>
      <c r="F1944" s="9">
        <v>6750</v>
      </c>
      <c r="G1944" t="s">
        <v>60</v>
      </c>
      <c r="H1944" t="s">
        <v>39</v>
      </c>
    </row>
    <row r="1945" spans="1:8" x14ac:dyDescent="0.25">
      <c r="A1945" t="s">
        <v>12</v>
      </c>
      <c r="B1945" t="s">
        <v>23</v>
      </c>
      <c r="C1945">
        <v>2</v>
      </c>
      <c r="D1945" s="9">
        <v>7600</v>
      </c>
      <c r="E1945" s="9">
        <f>+Tablo3[[#This Row],[Birim Fiyat]]*Tablo3[[#This Row],[Satış Adet]]</f>
        <v>15200</v>
      </c>
      <c r="F1945" s="9">
        <v>3200</v>
      </c>
      <c r="G1945" t="s">
        <v>60</v>
      </c>
      <c r="H1945" t="s">
        <v>17</v>
      </c>
    </row>
    <row r="1946" spans="1:8" x14ac:dyDescent="0.25">
      <c r="A1946" t="s">
        <v>46</v>
      </c>
      <c r="B1946" t="s">
        <v>43</v>
      </c>
      <c r="C1946">
        <v>3</v>
      </c>
      <c r="D1946" s="9">
        <v>4200</v>
      </c>
      <c r="E1946" s="9">
        <f>+Tablo3[[#This Row],[Birim Fiyat]]*Tablo3[[#This Row],[Satış Adet]]</f>
        <v>12600</v>
      </c>
      <c r="F1946" s="9">
        <v>3600</v>
      </c>
      <c r="G1946" t="s">
        <v>60</v>
      </c>
      <c r="H1946" t="s">
        <v>11</v>
      </c>
    </row>
    <row r="1947" spans="1:8" x14ac:dyDescent="0.25">
      <c r="A1947" t="s">
        <v>30</v>
      </c>
      <c r="B1947" t="s">
        <v>50</v>
      </c>
      <c r="C1947">
        <v>2</v>
      </c>
      <c r="D1947" s="9">
        <v>1250</v>
      </c>
      <c r="E1947" s="9">
        <f>+Tablo3[[#This Row],[Birim Fiyat]]*Tablo3[[#This Row],[Satış Adet]]</f>
        <v>2500</v>
      </c>
      <c r="F1947" s="9">
        <v>900</v>
      </c>
      <c r="G1947" t="s">
        <v>60</v>
      </c>
      <c r="H1947" t="s">
        <v>27</v>
      </c>
    </row>
    <row r="1948" spans="1:8" x14ac:dyDescent="0.25">
      <c r="A1948" t="s">
        <v>36</v>
      </c>
      <c r="B1948" t="s">
        <v>32</v>
      </c>
      <c r="C1948">
        <v>2</v>
      </c>
      <c r="D1948" s="9">
        <v>1090</v>
      </c>
      <c r="E1948" s="9">
        <f>+Tablo3[[#This Row],[Birim Fiyat]]*Tablo3[[#This Row],[Satış Adet]]</f>
        <v>2180</v>
      </c>
      <c r="F1948" s="9">
        <v>580</v>
      </c>
      <c r="G1948" t="s">
        <v>60</v>
      </c>
      <c r="H1948" t="s">
        <v>14</v>
      </c>
    </row>
    <row r="1949" spans="1:8" x14ac:dyDescent="0.25">
      <c r="A1949" t="s">
        <v>18</v>
      </c>
      <c r="B1949" t="s">
        <v>21</v>
      </c>
      <c r="C1949">
        <v>3</v>
      </c>
      <c r="D1949" s="9">
        <v>2180</v>
      </c>
      <c r="E1949" s="9">
        <f>+Tablo3[[#This Row],[Birim Fiyat]]*Tablo3[[#This Row],[Satış Adet]]</f>
        <v>6540</v>
      </c>
      <c r="F1949" s="9">
        <v>2040</v>
      </c>
      <c r="G1949" t="s">
        <v>60</v>
      </c>
      <c r="H1949" t="s">
        <v>39</v>
      </c>
    </row>
    <row r="1950" spans="1:8" x14ac:dyDescent="0.25">
      <c r="A1950" t="s">
        <v>48</v>
      </c>
      <c r="B1950" t="s">
        <v>56</v>
      </c>
      <c r="C1950">
        <v>3</v>
      </c>
      <c r="D1950" s="9">
        <v>3700</v>
      </c>
      <c r="E1950" s="9">
        <f>+Tablo3[[#This Row],[Birim Fiyat]]*Tablo3[[#This Row],[Satış Adet]]</f>
        <v>11100</v>
      </c>
      <c r="F1950" s="9">
        <v>2100</v>
      </c>
      <c r="G1950" t="s">
        <v>60</v>
      </c>
      <c r="H1950" t="s">
        <v>42</v>
      </c>
    </row>
    <row r="1951" spans="1:8" x14ac:dyDescent="0.25">
      <c r="A1951" t="s">
        <v>38</v>
      </c>
      <c r="B1951" t="s">
        <v>9</v>
      </c>
      <c r="C1951">
        <v>4</v>
      </c>
      <c r="D1951" s="9">
        <v>6000</v>
      </c>
      <c r="E1951" s="9">
        <f>+Tablo3[[#This Row],[Birim Fiyat]]*Tablo3[[#This Row],[Satış Adet]]</f>
        <v>24000</v>
      </c>
      <c r="F1951" s="9">
        <v>8000</v>
      </c>
      <c r="G1951" t="s">
        <v>60</v>
      </c>
      <c r="H1951" t="s">
        <v>17</v>
      </c>
    </row>
    <row r="1952" spans="1:8" x14ac:dyDescent="0.25">
      <c r="A1952" t="s">
        <v>46</v>
      </c>
      <c r="B1952" t="s">
        <v>50</v>
      </c>
      <c r="C1952">
        <v>3</v>
      </c>
      <c r="D1952" s="9">
        <v>1250</v>
      </c>
      <c r="E1952" s="9">
        <f>+Tablo3[[#This Row],[Birim Fiyat]]*Tablo3[[#This Row],[Satış Adet]]</f>
        <v>3750</v>
      </c>
      <c r="F1952" s="9">
        <v>1350</v>
      </c>
      <c r="G1952" t="s">
        <v>60</v>
      </c>
      <c r="H1952" t="s">
        <v>14</v>
      </c>
    </row>
    <row r="1953" spans="1:8" x14ac:dyDescent="0.25">
      <c r="A1953" t="s">
        <v>48</v>
      </c>
      <c r="B1953" t="s">
        <v>23</v>
      </c>
      <c r="C1953">
        <v>3</v>
      </c>
      <c r="D1953" s="9">
        <v>7600</v>
      </c>
      <c r="E1953" s="9">
        <f>+Tablo3[[#This Row],[Birim Fiyat]]*Tablo3[[#This Row],[Satış Adet]]</f>
        <v>22800</v>
      </c>
      <c r="F1953" s="9">
        <v>4800</v>
      </c>
      <c r="G1953" t="s">
        <v>60</v>
      </c>
      <c r="H1953" t="s">
        <v>42</v>
      </c>
    </row>
    <row r="1954" spans="1:8" x14ac:dyDescent="0.25">
      <c r="A1954" t="s">
        <v>8</v>
      </c>
      <c r="B1954" t="s">
        <v>13</v>
      </c>
      <c r="C1954">
        <v>2</v>
      </c>
      <c r="D1954" s="9">
        <v>1400</v>
      </c>
      <c r="E1954" s="9">
        <f>+Tablo3[[#This Row],[Birim Fiyat]]*Tablo3[[#This Row],[Satış Adet]]</f>
        <v>2800</v>
      </c>
      <c r="F1954" s="9">
        <v>1200</v>
      </c>
      <c r="G1954" t="s">
        <v>60</v>
      </c>
      <c r="H1954" t="s">
        <v>42</v>
      </c>
    </row>
    <row r="1955" spans="1:8" x14ac:dyDescent="0.25">
      <c r="A1955" t="s">
        <v>22</v>
      </c>
      <c r="B1955" t="s">
        <v>21</v>
      </c>
      <c r="C1955">
        <v>3</v>
      </c>
      <c r="D1955" s="9">
        <v>2180</v>
      </c>
      <c r="E1955" s="9">
        <f>+Tablo3[[#This Row],[Birim Fiyat]]*Tablo3[[#This Row],[Satış Adet]]</f>
        <v>6540</v>
      </c>
      <c r="F1955" s="9">
        <v>2040</v>
      </c>
      <c r="G1955" t="s">
        <v>60</v>
      </c>
      <c r="H1955" t="s">
        <v>39</v>
      </c>
    </row>
    <row r="1956" spans="1:8" x14ac:dyDescent="0.25">
      <c r="A1956" t="s">
        <v>8</v>
      </c>
      <c r="B1956" t="s">
        <v>31</v>
      </c>
      <c r="C1956">
        <v>5</v>
      </c>
      <c r="D1956" s="9">
        <v>1800</v>
      </c>
      <c r="E1956" s="9">
        <f>+Tablo3[[#This Row],[Birim Fiyat]]*Tablo3[[#This Row],[Satış Adet]]</f>
        <v>9000</v>
      </c>
      <c r="F1956" s="9">
        <v>5000</v>
      </c>
      <c r="G1956" t="s">
        <v>60</v>
      </c>
      <c r="H1956" t="s">
        <v>20</v>
      </c>
    </row>
    <row r="1957" spans="1:8" x14ac:dyDescent="0.25">
      <c r="A1957" t="s">
        <v>15</v>
      </c>
      <c r="B1957" t="s">
        <v>55</v>
      </c>
      <c r="C1957">
        <v>5</v>
      </c>
      <c r="D1957" s="9">
        <v>1500</v>
      </c>
      <c r="E1957" s="9">
        <f>+Tablo3[[#This Row],[Birim Fiyat]]*Tablo3[[#This Row],[Satış Adet]]</f>
        <v>7500</v>
      </c>
      <c r="F1957" s="9">
        <v>3500</v>
      </c>
      <c r="G1957" t="s">
        <v>60</v>
      </c>
      <c r="H1957" t="s">
        <v>39</v>
      </c>
    </row>
    <row r="1958" spans="1:8" x14ac:dyDescent="0.25">
      <c r="A1958" t="s">
        <v>30</v>
      </c>
      <c r="B1958" t="s">
        <v>16</v>
      </c>
      <c r="C1958">
        <v>3</v>
      </c>
      <c r="D1958" s="9">
        <v>8450</v>
      </c>
      <c r="E1958" s="9">
        <f>+Tablo3[[#This Row],[Birim Fiyat]]*Tablo3[[#This Row],[Satış Adet]]</f>
        <v>25350</v>
      </c>
      <c r="F1958" s="9">
        <v>7350</v>
      </c>
      <c r="G1958" t="s">
        <v>60</v>
      </c>
      <c r="H1958" t="s">
        <v>20</v>
      </c>
    </row>
    <row r="1959" spans="1:8" x14ac:dyDescent="0.25">
      <c r="A1959" t="s">
        <v>38</v>
      </c>
      <c r="B1959" t="s">
        <v>55</v>
      </c>
      <c r="C1959">
        <v>5</v>
      </c>
      <c r="D1959" s="9">
        <v>1500</v>
      </c>
      <c r="E1959" s="9">
        <f>+Tablo3[[#This Row],[Birim Fiyat]]*Tablo3[[#This Row],[Satış Adet]]</f>
        <v>7500</v>
      </c>
      <c r="F1959" s="9">
        <v>3500</v>
      </c>
      <c r="G1959" t="s">
        <v>60</v>
      </c>
      <c r="H1959" t="s">
        <v>17</v>
      </c>
    </row>
    <row r="1960" spans="1:8" x14ac:dyDescent="0.25">
      <c r="A1960" t="s">
        <v>67</v>
      </c>
      <c r="B1960" t="s">
        <v>9</v>
      </c>
      <c r="C1960">
        <v>4</v>
      </c>
      <c r="D1960" s="9">
        <v>6000</v>
      </c>
      <c r="E1960" s="9">
        <f>+Tablo3[[#This Row],[Birim Fiyat]]*Tablo3[[#This Row],[Satış Adet]]</f>
        <v>24000</v>
      </c>
      <c r="F1960" s="9">
        <v>8000</v>
      </c>
      <c r="G1960" t="s">
        <v>60</v>
      </c>
      <c r="H1960" t="s">
        <v>35</v>
      </c>
    </row>
    <row r="1961" spans="1:8" x14ac:dyDescent="0.25">
      <c r="A1961" t="s">
        <v>48</v>
      </c>
      <c r="B1961" t="s">
        <v>51</v>
      </c>
      <c r="C1961">
        <v>2</v>
      </c>
      <c r="D1961" s="9">
        <v>1200</v>
      </c>
      <c r="E1961" s="9">
        <f>+Tablo3[[#This Row],[Birim Fiyat]]*Tablo3[[#This Row],[Satış Adet]]</f>
        <v>2400</v>
      </c>
      <c r="F1961" s="9">
        <v>800</v>
      </c>
      <c r="G1961" t="s">
        <v>60</v>
      </c>
      <c r="H1961" t="s">
        <v>52</v>
      </c>
    </row>
    <row r="1962" spans="1:8" x14ac:dyDescent="0.25">
      <c r="A1962" t="s">
        <v>8</v>
      </c>
      <c r="B1962" t="s">
        <v>43</v>
      </c>
      <c r="C1962">
        <v>2</v>
      </c>
      <c r="D1962" s="9">
        <v>4200</v>
      </c>
      <c r="E1962" s="9">
        <f>+Tablo3[[#This Row],[Birim Fiyat]]*Tablo3[[#This Row],[Satış Adet]]</f>
        <v>8400</v>
      </c>
      <c r="F1962" s="9">
        <v>2400</v>
      </c>
      <c r="G1962" t="s">
        <v>60</v>
      </c>
      <c r="H1962" t="s">
        <v>42</v>
      </c>
    </row>
    <row r="1963" spans="1:8" x14ac:dyDescent="0.25">
      <c r="A1963" t="s">
        <v>46</v>
      </c>
      <c r="B1963" t="s">
        <v>23</v>
      </c>
      <c r="C1963">
        <v>3</v>
      </c>
      <c r="D1963" s="9">
        <v>7600</v>
      </c>
      <c r="E1963" s="9">
        <f>+Tablo3[[#This Row],[Birim Fiyat]]*Tablo3[[#This Row],[Satış Adet]]</f>
        <v>22800</v>
      </c>
      <c r="F1963" s="9">
        <v>4800</v>
      </c>
      <c r="G1963" t="s">
        <v>60</v>
      </c>
      <c r="H1963" t="s">
        <v>29</v>
      </c>
    </row>
    <row r="1964" spans="1:8" x14ac:dyDescent="0.25">
      <c r="A1964" t="s">
        <v>67</v>
      </c>
      <c r="B1964" t="s">
        <v>25</v>
      </c>
      <c r="C1964">
        <v>5</v>
      </c>
      <c r="D1964" s="9">
        <v>7250</v>
      </c>
      <c r="E1964" s="9">
        <f>+Tablo3[[#This Row],[Birim Fiyat]]*Tablo3[[#This Row],[Satış Adet]]</f>
        <v>36250</v>
      </c>
      <c r="F1964" s="9">
        <v>11250</v>
      </c>
      <c r="G1964" t="s">
        <v>60</v>
      </c>
      <c r="H1964" t="s">
        <v>39</v>
      </c>
    </row>
    <row r="1965" spans="1:8" x14ac:dyDescent="0.25">
      <c r="A1965" t="s">
        <v>12</v>
      </c>
      <c r="B1965" t="s">
        <v>53</v>
      </c>
      <c r="C1965">
        <v>3</v>
      </c>
      <c r="D1965" s="9">
        <v>7530</v>
      </c>
      <c r="E1965" s="9">
        <f>+Tablo3[[#This Row],[Birim Fiyat]]*Tablo3[[#This Row],[Satış Adet]]</f>
        <v>22590</v>
      </c>
      <c r="F1965" s="9">
        <v>4590</v>
      </c>
      <c r="G1965" t="s">
        <v>60</v>
      </c>
      <c r="H1965" t="s">
        <v>14</v>
      </c>
    </row>
    <row r="1966" spans="1:8" x14ac:dyDescent="0.25">
      <c r="A1966" t="s">
        <v>15</v>
      </c>
      <c r="B1966" t="s">
        <v>25</v>
      </c>
      <c r="C1966">
        <v>4</v>
      </c>
      <c r="D1966" s="9">
        <v>7250</v>
      </c>
      <c r="E1966" s="9">
        <f>+Tablo3[[#This Row],[Birim Fiyat]]*Tablo3[[#This Row],[Satış Adet]]</f>
        <v>29000</v>
      </c>
      <c r="F1966" s="9">
        <v>9000</v>
      </c>
      <c r="G1966" t="s">
        <v>60</v>
      </c>
      <c r="H1966" t="s">
        <v>42</v>
      </c>
    </row>
    <row r="1967" spans="1:8" x14ac:dyDescent="0.25">
      <c r="A1967" t="s">
        <v>12</v>
      </c>
      <c r="B1967" t="s">
        <v>9</v>
      </c>
      <c r="C1967">
        <v>5</v>
      </c>
      <c r="D1967" s="9">
        <v>6000</v>
      </c>
      <c r="E1967" s="9">
        <f>+Tablo3[[#This Row],[Birim Fiyat]]*Tablo3[[#This Row],[Satış Adet]]</f>
        <v>30000</v>
      </c>
      <c r="F1967" s="9">
        <v>10000</v>
      </c>
      <c r="G1967" t="s">
        <v>60</v>
      </c>
      <c r="H1967" t="s">
        <v>40</v>
      </c>
    </row>
    <row r="1968" spans="1:8" x14ac:dyDescent="0.25">
      <c r="A1968" t="s">
        <v>67</v>
      </c>
      <c r="B1968" t="s">
        <v>51</v>
      </c>
      <c r="C1968">
        <v>2</v>
      </c>
      <c r="D1968" s="9">
        <v>1200</v>
      </c>
      <c r="E1968" s="9">
        <f>+Tablo3[[#This Row],[Birim Fiyat]]*Tablo3[[#This Row],[Satış Adet]]</f>
        <v>2400</v>
      </c>
      <c r="F1968" s="9">
        <v>800</v>
      </c>
      <c r="G1968" t="s">
        <v>60</v>
      </c>
      <c r="H1968" t="s">
        <v>40</v>
      </c>
    </row>
    <row r="1969" spans="1:8" x14ac:dyDescent="0.25">
      <c r="A1969" t="s">
        <v>48</v>
      </c>
      <c r="B1969" t="s">
        <v>54</v>
      </c>
      <c r="C1969">
        <v>3</v>
      </c>
      <c r="D1969" s="9">
        <v>5300</v>
      </c>
      <c r="E1969" s="9">
        <f>+Tablo3[[#This Row],[Birim Fiyat]]*Tablo3[[#This Row],[Satış Adet]]</f>
        <v>15900</v>
      </c>
      <c r="F1969" s="9">
        <v>3900</v>
      </c>
      <c r="G1969" t="s">
        <v>60</v>
      </c>
      <c r="H1969" t="s">
        <v>17</v>
      </c>
    </row>
    <row r="1970" spans="1:8" x14ac:dyDescent="0.25">
      <c r="A1970" t="s">
        <v>36</v>
      </c>
      <c r="B1970" t="s">
        <v>16</v>
      </c>
      <c r="C1970">
        <v>5</v>
      </c>
      <c r="D1970" s="9">
        <v>8450</v>
      </c>
      <c r="E1970" s="9">
        <f>+Tablo3[[#This Row],[Birim Fiyat]]*Tablo3[[#This Row],[Satış Adet]]</f>
        <v>42250</v>
      </c>
      <c r="F1970" s="9">
        <v>12250</v>
      </c>
      <c r="G1970" t="s">
        <v>60</v>
      </c>
      <c r="H1970" t="s">
        <v>52</v>
      </c>
    </row>
    <row r="1971" spans="1:8" x14ac:dyDescent="0.25">
      <c r="A1971" t="s">
        <v>22</v>
      </c>
      <c r="B1971" t="s">
        <v>19</v>
      </c>
      <c r="C1971">
        <v>4</v>
      </c>
      <c r="D1971" s="9">
        <v>1350</v>
      </c>
      <c r="E1971" s="9">
        <f>+Tablo3[[#This Row],[Birim Fiyat]]*Tablo3[[#This Row],[Satış Adet]]</f>
        <v>5400</v>
      </c>
      <c r="F1971" s="9">
        <v>2200</v>
      </c>
      <c r="G1971" t="s">
        <v>60</v>
      </c>
      <c r="H1971" t="s">
        <v>29</v>
      </c>
    </row>
    <row r="1972" spans="1:8" x14ac:dyDescent="0.25">
      <c r="A1972" t="s">
        <v>30</v>
      </c>
      <c r="B1972" t="s">
        <v>32</v>
      </c>
      <c r="C1972">
        <v>3</v>
      </c>
      <c r="D1972" s="9">
        <v>1090</v>
      </c>
      <c r="E1972" s="9">
        <f>+Tablo3[[#This Row],[Birim Fiyat]]*Tablo3[[#This Row],[Satış Adet]]</f>
        <v>3270</v>
      </c>
      <c r="F1972" s="9">
        <v>870</v>
      </c>
      <c r="G1972" t="s">
        <v>60</v>
      </c>
      <c r="H1972" t="s">
        <v>35</v>
      </c>
    </row>
    <row r="1973" spans="1:8" x14ac:dyDescent="0.25">
      <c r="A1973" t="s">
        <v>22</v>
      </c>
      <c r="B1973" t="s">
        <v>21</v>
      </c>
      <c r="C1973">
        <v>5</v>
      </c>
      <c r="D1973" s="9">
        <v>2180</v>
      </c>
      <c r="E1973" s="9">
        <f>+Tablo3[[#This Row],[Birim Fiyat]]*Tablo3[[#This Row],[Satış Adet]]</f>
        <v>10900</v>
      </c>
      <c r="F1973" s="9">
        <v>3400</v>
      </c>
      <c r="G1973" t="s">
        <v>60</v>
      </c>
      <c r="H1973" t="s">
        <v>52</v>
      </c>
    </row>
    <row r="1974" spans="1:8" x14ac:dyDescent="0.25">
      <c r="A1974" t="s">
        <v>8</v>
      </c>
      <c r="B1974" t="s">
        <v>9</v>
      </c>
      <c r="C1974">
        <v>3</v>
      </c>
      <c r="D1974" s="9">
        <v>6000</v>
      </c>
      <c r="E1974" s="9">
        <f>+Tablo3[[#This Row],[Birim Fiyat]]*Tablo3[[#This Row],[Satış Adet]]</f>
        <v>18000</v>
      </c>
      <c r="F1974" s="9">
        <v>6000</v>
      </c>
      <c r="G1974" t="s">
        <v>60</v>
      </c>
      <c r="H1974" t="s">
        <v>44</v>
      </c>
    </row>
    <row r="1975" spans="1:8" x14ac:dyDescent="0.25">
      <c r="A1975" t="s">
        <v>12</v>
      </c>
      <c r="B1975" t="s">
        <v>13</v>
      </c>
      <c r="C1975">
        <v>2</v>
      </c>
      <c r="D1975" s="9">
        <v>1400</v>
      </c>
      <c r="E1975" s="9">
        <f>+Tablo3[[#This Row],[Birim Fiyat]]*Tablo3[[#This Row],[Satış Adet]]</f>
        <v>2800</v>
      </c>
      <c r="F1975" s="9">
        <v>1200</v>
      </c>
      <c r="G1975" t="s">
        <v>60</v>
      </c>
      <c r="H1975" t="s">
        <v>52</v>
      </c>
    </row>
    <row r="1976" spans="1:8" x14ac:dyDescent="0.25">
      <c r="A1976" t="s">
        <v>15</v>
      </c>
      <c r="B1976" t="s">
        <v>16</v>
      </c>
      <c r="C1976">
        <v>4</v>
      </c>
      <c r="D1976" s="9">
        <v>8450</v>
      </c>
      <c r="E1976" s="9">
        <f>+Tablo3[[#This Row],[Birim Fiyat]]*Tablo3[[#This Row],[Satış Adet]]</f>
        <v>33800</v>
      </c>
      <c r="F1976" s="9">
        <v>9800</v>
      </c>
      <c r="G1976" t="s">
        <v>60</v>
      </c>
      <c r="H1976" t="s">
        <v>11</v>
      </c>
    </row>
    <row r="1977" spans="1:8" x14ac:dyDescent="0.25">
      <c r="A1977" t="s">
        <v>18</v>
      </c>
      <c r="B1977" t="s">
        <v>19</v>
      </c>
      <c r="C1977">
        <v>4</v>
      </c>
      <c r="D1977" s="9">
        <v>1350</v>
      </c>
      <c r="E1977" s="9">
        <f>+Tablo3[[#This Row],[Birim Fiyat]]*Tablo3[[#This Row],[Satış Adet]]</f>
        <v>5400</v>
      </c>
      <c r="F1977" s="9">
        <v>2200</v>
      </c>
      <c r="G1977" t="s">
        <v>60</v>
      </c>
      <c r="H1977" t="s">
        <v>14</v>
      </c>
    </row>
    <row r="1978" spans="1:8" x14ac:dyDescent="0.25">
      <c r="A1978" t="s">
        <v>8</v>
      </c>
      <c r="B1978" t="s">
        <v>21</v>
      </c>
      <c r="C1978">
        <v>4</v>
      </c>
      <c r="D1978" s="9">
        <v>2180</v>
      </c>
      <c r="E1978" s="9">
        <f>+Tablo3[[#This Row],[Birim Fiyat]]*Tablo3[[#This Row],[Satış Adet]]</f>
        <v>8720</v>
      </c>
      <c r="F1978" s="9">
        <v>2720</v>
      </c>
      <c r="G1978" t="s">
        <v>60</v>
      </c>
      <c r="H1978" t="s">
        <v>14</v>
      </c>
    </row>
    <row r="1979" spans="1:8" x14ac:dyDescent="0.25">
      <c r="A1979" t="s">
        <v>22</v>
      </c>
      <c r="B1979" t="s">
        <v>23</v>
      </c>
      <c r="C1979">
        <v>5</v>
      </c>
      <c r="D1979" s="9">
        <v>7600</v>
      </c>
      <c r="E1979" s="9">
        <f>+Tablo3[[#This Row],[Birim Fiyat]]*Tablo3[[#This Row],[Satış Adet]]</f>
        <v>38000</v>
      </c>
      <c r="F1979" s="9">
        <v>8000</v>
      </c>
      <c r="G1979" t="s">
        <v>60</v>
      </c>
      <c r="H1979" t="s">
        <v>29</v>
      </c>
    </row>
    <row r="1980" spans="1:8" x14ac:dyDescent="0.25">
      <c r="A1980" t="s">
        <v>12</v>
      </c>
      <c r="B1980" t="s">
        <v>25</v>
      </c>
      <c r="C1980">
        <v>2</v>
      </c>
      <c r="D1980" s="9">
        <v>7250</v>
      </c>
      <c r="E1980" s="9">
        <f>+Tablo3[[#This Row],[Birim Fiyat]]*Tablo3[[#This Row],[Satış Adet]]</f>
        <v>14500</v>
      </c>
      <c r="F1980" s="9">
        <v>4500</v>
      </c>
      <c r="G1980" t="s">
        <v>60</v>
      </c>
      <c r="H1980" t="s">
        <v>17</v>
      </c>
    </row>
    <row r="1981" spans="1:8" x14ac:dyDescent="0.25">
      <c r="A1981" t="s">
        <v>18</v>
      </c>
      <c r="B1981" t="s">
        <v>26</v>
      </c>
      <c r="C1981">
        <v>3</v>
      </c>
      <c r="D1981" s="9">
        <v>1100</v>
      </c>
      <c r="E1981" s="9">
        <f>+Tablo3[[#This Row],[Birim Fiyat]]*Tablo3[[#This Row],[Satış Adet]]</f>
        <v>3300</v>
      </c>
      <c r="F1981" s="9">
        <v>900</v>
      </c>
      <c r="G1981" t="s">
        <v>60</v>
      </c>
      <c r="H1981" t="s">
        <v>29</v>
      </c>
    </row>
    <row r="1982" spans="1:8" x14ac:dyDescent="0.25">
      <c r="A1982" t="s">
        <v>67</v>
      </c>
      <c r="B1982" t="s">
        <v>9</v>
      </c>
      <c r="C1982">
        <v>3</v>
      </c>
      <c r="D1982" s="9">
        <v>6000</v>
      </c>
      <c r="E1982" s="9">
        <f>+Tablo3[[#This Row],[Birim Fiyat]]*Tablo3[[#This Row],[Satış Adet]]</f>
        <v>18000</v>
      </c>
      <c r="F1982" s="9">
        <v>6000</v>
      </c>
      <c r="G1982" t="s">
        <v>60</v>
      </c>
      <c r="H1982" t="s">
        <v>40</v>
      </c>
    </row>
    <row r="1983" spans="1:8" x14ac:dyDescent="0.25">
      <c r="A1983" t="s">
        <v>8</v>
      </c>
      <c r="B1983" t="s">
        <v>28</v>
      </c>
      <c r="C1983">
        <v>4</v>
      </c>
      <c r="D1983" s="9">
        <v>1200</v>
      </c>
      <c r="E1983" s="9">
        <f>+Tablo3[[#This Row],[Birim Fiyat]]*Tablo3[[#This Row],[Satış Adet]]</f>
        <v>4800</v>
      </c>
      <c r="F1983" s="9">
        <v>1600</v>
      </c>
      <c r="G1983" t="s">
        <v>60</v>
      </c>
      <c r="H1983" t="s">
        <v>35</v>
      </c>
    </row>
    <row r="1984" spans="1:8" x14ac:dyDescent="0.25">
      <c r="A1984" t="s">
        <v>30</v>
      </c>
      <c r="B1984" t="s">
        <v>31</v>
      </c>
      <c r="C1984">
        <v>5</v>
      </c>
      <c r="D1984" s="9">
        <v>1800</v>
      </c>
      <c r="E1984" s="9">
        <f>+Tablo3[[#This Row],[Birim Fiyat]]*Tablo3[[#This Row],[Satış Adet]]</f>
        <v>9000</v>
      </c>
      <c r="F1984" s="9">
        <v>5000</v>
      </c>
      <c r="G1984" t="s">
        <v>60</v>
      </c>
      <c r="H1984" t="s">
        <v>20</v>
      </c>
    </row>
    <row r="1985" spans="1:8" x14ac:dyDescent="0.25">
      <c r="A1985" t="s">
        <v>30</v>
      </c>
      <c r="B1985" t="s">
        <v>32</v>
      </c>
      <c r="C1985">
        <v>2</v>
      </c>
      <c r="D1985" s="9">
        <v>1090</v>
      </c>
      <c r="E1985" s="9">
        <f>+Tablo3[[#This Row],[Birim Fiyat]]*Tablo3[[#This Row],[Satış Adet]]</f>
        <v>2180</v>
      </c>
      <c r="F1985" s="9">
        <v>580</v>
      </c>
      <c r="G1985" t="s">
        <v>60</v>
      </c>
      <c r="H1985" t="s">
        <v>35</v>
      </c>
    </row>
    <row r="1986" spans="1:8" x14ac:dyDescent="0.25">
      <c r="A1986" t="s">
        <v>67</v>
      </c>
      <c r="B1986" t="s">
        <v>21</v>
      </c>
      <c r="C1986">
        <v>5</v>
      </c>
      <c r="D1986" s="9">
        <v>2180</v>
      </c>
      <c r="E1986" s="9">
        <f>+Tablo3[[#This Row],[Birim Fiyat]]*Tablo3[[#This Row],[Satış Adet]]</f>
        <v>10900</v>
      </c>
      <c r="F1986" s="9">
        <v>3400</v>
      </c>
      <c r="G1986" t="s">
        <v>60</v>
      </c>
      <c r="H1986" t="s">
        <v>44</v>
      </c>
    </row>
    <row r="1987" spans="1:8" x14ac:dyDescent="0.25">
      <c r="A1987" t="s">
        <v>33</v>
      </c>
      <c r="B1987" t="s">
        <v>31</v>
      </c>
      <c r="C1987">
        <v>3</v>
      </c>
      <c r="D1987" s="9">
        <v>1800</v>
      </c>
      <c r="E1987" s="9">
        <f>+Tablo3[[#This Row],[Birim Fiyat]]*Tablo3[[#This Row],[Satış Adet]]</f>
        <v>5400</v>
      </c>
      <c r="F1987" s="9">
        <v>3000</v>
      </c>
      <c r="G1987" t="s">
        <v>60</v>
      </c>
      <c r="H1987" t="s">
        <v>17</v>
      </c>
    </row>
    <row r="1988" spans="1:8" x14ac:dyDescent="0.25">
      <c r="A1988" t="s">
        <v>22</v>
      </c>
      <c r="B1988" t="s">
        <v>34</v>
      </c>
      <c r="C1988">
        <v>3</v>
      </c>
      <c r="D1988" s="9">
        <v>8000</v>
      </c>
      <c r="E1988" s="9">
        <f>+Tablo3[[#This Row],[Birim Fiyat]]*Tablo3[[#This Row],[Satış Adet]]</f>
        <v>24000</v>
      </c>
      <c r="F1988" s="9">
        <v>6000</v>
      </c>
      <c r="G1988" t="s">
        <v>60</v>
      </c>
      <c r="H1988" t="s">
        <v>29</v>
      </c>
    </row>
    <row r="1989" spans="1:8" x14ac:dyDescent="0.25">
      <c r="A1989" t="s">
        <v>67</v>
      </c>
      <c r="B1989" t="s">
        <v>13</v>
      </c>
      <c r="C1989">
        <v>3</v>
      </c>
      <c r="D1989" s="9">
        <v>1400</v>
      </c>
      <c r="E1989" s="9">
        <f>+Tablo3[[#This Row],[Birim Fiyat]]*Tablo3[[#This Row],[Satış Adet]]</f>
        <v>4200</v>
      </c>
      <c r="F1989" s="9">
        <v>1800</v>
      </c>
      <c r="G1989" t="s">
        <v>60</v>
      </c>
      <c r="H1989" t="s">
        <v>14</v>
      </c>
    </row>
    <row r="1990" spans="1:8" x14ac:dyDescent="0.25">
      <c r="A1990" t="s">
        <v>36</v>
      </c>
      <c r="B1990" t="s">
        <v>37</v>
      </c>
      <c r="C1990">
        <v>4</v>
      </c>
      <c r="D1990" s="9">
        <v>10590</v>
      </c>
      <c r="E1990" s="9">
        <f>+Tablo3[[#This Row],[Birim Fiyat]]*Tablo3[[#This Row],[Satış Adet]]</f>
        <v>42360</v>
      </c>
      <c r="F1990" s="9">
        <v>18360</v>
      </c>
      <c r="G1990" t="s">
        <v>60</v>
      </c>
      <c r="H1990" t="s">
        <v>40</v>
      </c>
    </row>
    <row r="1991" spans="1:8" x14ac:dyDescent="0.25">
      <c r="A1991" t="s">
        <v>38</v>
      </c>
      <c r="B1991" t="s">
        <v>19</v>
      </c>
      <c r="C1991">
        <v>3</v>
      </c>
      <c r="D1991" s="9">
        <v>1350</v>
      </c>
      <c r="E1991" s="9">
        <f>+Tablo3[[#This Row],[Birim Fiyat]]*Tablo3[[#This Row],[Satış Adet]]</f>
        <v>4050</v>
      </c>
      <c r="F1991" s="9">
        <v>1650</v>
      </c>
      <c r="G1991" t="s">
        <v>60</v>
      </c>
      <c r="H1991" t="s">
        <v>39</v>
      </c>
    </row>
    <row r="1992" spans="1:8" x14ac:dyDescent="0.25">
      <c r="A1992" t="s">
        <v>30</v>
      </c>
      <c r="B1992" t="s">
        <v>13</v>
      </c>
      <c r="C1992">
        <v>2</v>
      </c>
      <c r="D1992" s="9">
        <v>1400</v>
      </c>
      <c r="E1992" s="9">
        <f>+Tablo3[[#This Row],[Birim Fiyat]]*Tablo3[[#This Row],[Satış Adet]]</f>
        <v>2800</v>
      </c>
      <c r="F1992" s="9">
        <v>1200</v>
      </c>
      <c r="G1992" t="s">
        <v>60</v>
      </c>
      <c r="H1992" t="s">
        <v>44</v>
      </c>
    </row>
    <row r="1993" spans="1:8" x14ac:dyDescent="0.25">
      <c r="A1993" t="s">
        <v>18</v>
      </c>
      <c r="B1993" t="s">
        <v>9</v>
      </c>
      <c r="C1993">
        <v>2</v>
      </c>
      <c r="D1993" s="9">
        <v>6000</v>
      </c>
      <c r="E1993" s="9">
        <f>+Tablo3[[#This Row],[Birim Fiyat]]*Tablo3[[#This Row],[Satış Adet]]</f>
        <v>12000</v>
      </c>
      <c r="F1993" s="9">
        <v>4000</v>
      </c>
      <c r="G1993" t="s">
        <v>60</v>
      </c>
      <c r="H1993" t="s">
        <v>20</v>
      </c>
    </row>
    <row r="1994" spans="1:8" x14ac:dyDescent="0.25">
      <c r="A1994" t="s">
        <v>36</v>
      </c>
      <c r="B1994" t="s">
        <v>26</v>
      </c>
      <c r="C1994">
        <v>4</v>
      </c>
      <c r="D1994" s="9">
        <v>1100</v>
      </c>
      <c r="E1994" s="9">
        <f>+Tablo3[[#This Row],[Birim Fiyat]]*Tablo3[[#This Row],[Satış Adet]]</f>
        <v>4400</v>
      </c>
      <c r="F1994" s="9">
        <v>1200</v>
      </c>
      <c r="G1994" t="s">
        <v>60</v>
      </c>
      <c r="H1994" t="s">
        <v>44</v>
      </c>
    </row>
    <row r="1995" spans="1:8" x14ac:dyDescent="0.25">
      <c r="A1995" t="s">
        <v>15</v>
      </c>
      <c r="B1995" t="s">
        <v>9</v>
      </c>
      <c r="C1995">
        <v>5</v>
      </c>
      <c r="D1995" s="9">
        <v>6000</v>
      </c>
      <c r="E1995" s="9">
        <f>+Tablo3[[#This Row],[Birim Fiyat]]*Tablo3[[#This Row],[Satış Adet]]</f>
        <v>30000</v>
      </c>
      <c r="F1995" s="9">
        <v>10000</v>
      </c>
      <c r="G1995" t="s">
        <v>60</v>
      </c>
      <c r="H1995" t="s">
        <v>24</v>
      </c>
    </row>
    <row r="1996" spans="1:8" x14ac:dyDescent="0.25">
      <c r="A1996" t="s">
        <v>38</v>
      </c>
      <c r="B1996" t="s">
        <v>41</v>
      </c>
      <c r="C1996">
        <v>4</v>
      </c>
      <c r="D1996" s="9">
        <v>1490</v>
      </c>
      <c r="E1996" s="9">
        <f>+Tablo3[[#This Row],[Birim Fiyat]]*Tablo3[[#This Row],[Satış Adet]]</f>
        <v>5960</v>
      </c>
      <c r="F1996" s="9">
        <v>2760</v>
      </c>
      <c r="G1996" t="s">
        <v>60</v>
      </c>
      <c r="H1996" t="s">
        <v>27</v>
      </c>
    </row>
    <row r="1997" spans="1:8" x14ac:dyDescent="0.25">
      <c r="A1997" t="s">
        <v>36</v>
      </c>
      <c r="B1997" t="s">
        <v>37</v>
      </c>
      <c r="C1997">
        <v>2</v>
      </c>
      <c r="D1997" s="9">
        <v>10590</v>
      </c>
      <c r="E1997" s="9">
        <f>+Tablo3[[#This Row],[Birim Fiyat]]*Tablo3[[#This Row],[Satış Adet]]</f>
        <v>21180</v>
      </c>
      <c r="F1997" s="9">
        <v>9180</v>
      </c>
      <c r="G1997" t="s">
        <v>60</v>
      </c>
      <c r="H1997" t="s">
        <v>24</v>
      </c>
    </row>
    <row r="1998" spans="1:8" x14ac:dyDescent="0.25">
      <c r="A1998" t="s">
        <v>15</v>
      </c>
      <c r="B1998" t="s">
        <v>34</v>
      </c>
      <c r="C1998">
        <v>4</v>
      </c>
      <c r="D1998" s="9">
        <v>8000</v>
      </c>
      <c r="E1998" s="9">
        <f>+Tablo3[[#This Row],[Birim Fiyat]]*Tablo3[[#This Row],[Satış Adet]]</f>
        <v>32000</v>
      </c>
      <c r="F1998" s="9">
        <v>8000</v>
      </c>
      <c r="G1998" t="s">
        <v>60</v>
      </c>
      <c r="H1998" t="s">
        <v>20</v>
      </c>
    </row>
    <row r="1999" spans="1:8" x14ac:dyDescent="0.25">
      <c r="A1999" t="s">
        <v>30</v>
      </c>
      <c r="B1999" t="s">
        <v>26</v>
      </c>
      <c r="C1999">
        <v>3</v>
      </c>
      <c r="D1999" s="9">
        <v>1100</v>
      </c>
      <c r="E1999" s="9">
        <f>+Tablo3[[#This Row],[Birim Fiyat]]*Tablo3[[#This Row],[Satış Adet]]</f>
        <v>3300</v>
      </c>
      <c r="F1999" s="9">
        <v>900</v>
      </c>
      <c r="G1999" t="s">
        <v>60</v>
      </c>
      <c r="H1999" t="s">
        <v>27</v>
      </c>
    </row>
    <row r="2000" spans="1:8" x14ac:dyDescent="0.25">
      <c r="A2000" t="s">
        <v>38</v>
      </c>
      <c r="B2000" t="s">
        <v>28</v>
      </c>
      <c r="C2000">
        <v>3</v>
      </c>
      <c r="D2000" s="9">
        <v>1200</v>
      </c>
      <c r="E2000" s="9">
        <f>+Tablo3[[#This Row],[Birim Fiyat]]*Tablo3[[#This Row],[Satış Adet]]</f>
        <v>3600</v>
      </c>
      <c r="F2000" s="9">
        <v>1200</v>
      </c>
      <c r="G2000" t="s">
        <v>60</v>
      </c>
      <c r="H2000" t="s">
        <v>24</v>
      </c>
    </row>
    <row r="2001" spans="1:8" x14ac:dyDescent="0.25">
      <c r="A2001" t="s">
        <v>22</v>
      </c>
      <c r="B2001" t="s">
        <v>43</v>
      </c>
      <c r="C2001">
        <v>2</v>
      </c>
      <c r="D2001" s="9">
        <v>4200</v>
      </c>
      <c r="E2001" s="9">
        <f>+Tablo3[[#This Row],[Birim Fiyat]]*Tablo3[[#This Row],[Satış Adet]]</f>
        <v>8400</v>
      </c>
      <c r="F2001" s="9">
        <v>2400</v>
      </c>
      <c r="G2001" t="s">
        <v>60</v>
      </c>
      <c r="H2001" t="s">
        <v>29</v>
      </c>
    </row>
    <row r="2002" spans="1:8" x14ac:dyDescent="0.25">
      <c r="A2002" t="s">
        <v>12</v>
      </c>
      <c r="B2002" t="s">
        <v>45</v>
      </c>
      <c r="C2002">
        <v>4</v>
      </c>
      <c r="D2002" s="9">
        <v>5775</v>
      </c>
      <c r="E2002" s="9">
        <f>+Tablo3[[#This Row],[Birim Fiyat]]*Tablo3[[#This Row],[Satış Adet]]</f>
        <v>23100</v>
      </c>
      <c r="F2002" s="9">
        <v>7100</v>
      </c>
      <c r="G2002" t="s">
        <v>60</v>
      </c>
      <c r="H2002" t="s">
        <v>44</v>
      </c>
    </row>
    <row r="2003" spans="1:8" x14ac:dyDescent="0.25">
      <c r="A2003" t="s">
        <v>46</v>
      </c>
      <c r="B2003" t="s">
        <v>23</v>
      </c>
      <c r="C2003">
        <v>3</v>
      </c>
      <c r="D2003" s="9">
        <v>7600</v>
      </c>
      <c r="E2003" s="9">
        <f>+Tablo3[[#This Row],[Birim Fiyat]]*Tablo3[[#This Row],[Satış Adet]]</f>
        <v>22800</v>
      </c>
      <c r="F2003" s="9">
        <v>4800</v>
      </c>
      <c r="G2003" t="s">
        <v>60</v>
      </c>
      <c r="H2003" t="s">
        <v>44</v>
      </c>
    </row>
    <row r="2004" spans="1:8" x14ac:dyDescent="0.25">
      <c r="A2004" t="s">
        <v>12</v>
      </c>
      <c r="B2004" t="s">
        <v>25</v>
      </c>
      <c r="C2004">
        <v>3</v>
      </c>
      <c r="D2004" s="9">
        <v>7250</v>
      </c>
      <c r="E2004" s="9">
        <f>+Tablo3[[#This Row],[Birim Fiyat]]*Tablo3[[#This Row],[Satış Adet]]</f>
        <v>21750</v>
      </c>
      <c r="F2004" s="9">
        <v>6750</v>
      </c>
      <c r="G2004" t="s">
        <v>60</v>
      </c>
      <c r="H2004" t="s">
        <v>44</v>
      </c>
    </row>
    <row r="2005" spans="1:8" x14ac:dyDescent="0.25">
      <c r="A2005" t="s">
        <v>8</v>
      </c>
      <c r="B2005" t="s">
        <v>25</v>
      </c>
      <c r="C2005">
        <v>5</v>
      </c>
      <c r="D2005" s="9">
        <v>7250</v>
      </c>
      <c r="E2005" s="9">
        <f>+Tablo3[[#This Row],[Birim Fiyat]]*Tablo3[[#This Row],[Satış Adet]]</f>
        <v>36250</v>
      </c>
      <c r="F2005" s="9">
        <v>11250</v>
      </c>
      <c r="G2005" t="s">
        <v>60</v>
      </c>
      <c r="H2005" t="s">
        <v>14</v>
      </c>
    </row>
    <row r="2006" spans="1:8" x14ac:dyDescent="0.25">
      <c r="A2006" t="s">
        <v>36</v>
      </c>
      <c r="B2006" t="s">
        <v>25</v>
      </c>
      <c r="C2006">
        <v>2</v>
      </c>
      <c r="D2006" s="9">
        <v>7250</v>
      </c>
      <c r="E2006" s="9">
        <f>+Tablo3[[#This Row],[Birim Fiyat]]*Tablo3[[#This Row],[Satış Adet]]</f>
        <v>14500</v>
      </c>
      <c r="F2006" s="9">
        <v>4500</v>
      </c>
      <c r="G2006" t="s">
        <v>60</v>
      </c>
      <c r="H2006" t="s">
        <v>14</v>
      </c>
    </row>
    <row r="2007" spans="1:8" x14ac:dyDescent="0.25">
      <c r="A2007" t="s">
        <v>67</v>
      </c>
      <c r="B2007" t="s">
        <v>19</v>
      </c>
      <c r="C2007">
        <v>2</v>
      </c>
      <c r="D2007" s="9">
        <v>1350</v>
      </c>
      <c r="E2007" s="9">
        <f>+Tablo3[[#This Row],[Birim Fiyat]]*Tablo3[[#This Row],[Satış Adet]]</f>
        <v>2700</v>
      </c>
      <c r="F2007" s="9">
        <v>1100</v>
      </c>
      <c r="G2007" t="s">
        <v>60</v>
      </c>
      <c r="H2007" t="s">
        <v>11</v>
      </c>
    </row>
    <row r="2008" spans="1:8" x14ac:dyDescent="0.25">
      <c r="A2008" t="s">
        <v>12</v>
      </c>
      <c r="B2008" t="s">
        <v>25</v>
      </c>
      <c r="C2008">
        <v>5</v>
      </c>
      <c r="D2008" s="9">
        <v>7250</v>
      </c>
      <c r="E2008" s="9">
        <f>+Tablo3[[#This Row],[Birim Fiyat]]*Tablo3[[#This Row],[Satış Adet]]</f>
        <v>36250</v>
      </c>
      <c r="F2008" s="9">
        <v>11250</v>
      </c>
      <c r="G2008" t="s">
        <v>60</v>
      </c>
      <c r="H2008" t="s">
        <v>39</v>
      </c>
    </row>
    <row r="2009" spans="1:8" x14ac:dyDescent="0.25">
      <c r="A2009" t="s">
        <v>30</v>
      </c>
      <c r="B2009" t="s">
        <v>23</v>
      </c>
      <c r="C2009">
        <v>3</v>
      </c>
      <c r="D2009" s="9">
        <v>7600</v>
      </c>
      <c r="E2009" s="9">
        <f>+Tablo3[[#This Row],[Birim Fiyat]]*Tablo3[[#This Row],[Satış Adet]]</f>
        <v>22800</v>
      </c>
      <c r="F2009" s="9">
        <v>4800</v>
      </c>
      <c r="G2009" t="s">
        <v>60</v>
      </c>
      <c r="H2009" t="s">
        <v>29</v>
      </c>
    </row>
    <row r="2010" spans="1:8" x14ac:dyDescent="0.25">
      <c r="A2010" t="s">
        <v>48</v>
      </c>
      <c r="B2010" t="s">
        <v>23</v>
      </c>
      <c r="C2010">
        <v>5</v>
      </c>
      <c r="D2010" s="9">
        <v>7600</v>
      </c>
      <c r="E2010" s="9">
        <f>+Tablo3[[#This Row],[Birim Fiyat]]*Tablo3[[#This Row],[Satış Adet]]</f>
        <v>38000</v>
      </c>
      <c r="F2010" s="9">
        <v>8000</v>
      </c>
      <c r="G2010" t="s">
        <v>60</v>
      </c>
      <c r="H2010" t="s">
        <v>24</v>
      </c>
    </row>
    <row r="2011" spans="1:8" x14ac:dyDescent="0.25">
      <c r="A2011" t="s">
        <v>12</v>
      </c>
      <c r="B2011" t="s">
        <v>41</v>
      </c>
      <c r="C2011">
        <v>3</v>
      </c>
      <c r="D2011" s="9">
        <v>1490</v>
      </c>
      <c r="E2011" s="9">
        <f>+Tablo3[[#This Row],[Birim Fiyat]]*Tablo3[[#This Row],[Satış Adet]]</f>
        <v>4470</v>
      </c>
      <c r="F2011" s="9">
        <v>2070</v>
      </c>
      <c r="G2011" t="s">
        <v>60</v>
      </c>
      <c r="H2011" t="s">
        <v>52</v>
      </c>
    </row>
    <row r="2012" spans="1:8" x14ac:dyDescent="0.25">
      <c r="A2012" t="s">
        <v>67</v>
      </c>
      <c r="B2012" t="s">
        <v>49</v>
      </c>
      <c r="C2012">
        <v>5</v>
      </c>
      <c r="D2012" s="9">
        <v>2900</v>
      </c>
      <c r="E2012" s="9">
        <f>+Tablo3[[#This Row],[Birim Fiyat]]*Tablo3[[#This Row],[Satış Adet]]</f>
        <v>14500</v>
      </c>
      <c r="F2012" s="9">
        <v>4500</v>
      </c>
      <c r="G2012" t="s">
        <v>60</v>
      </c>
      <c r="H2012" t="s">
        <v>11</v>
      </c>
    </row>
    <row r="2013" spans="1:8" x14ac:dyDescent="0.25">
      <c r="A2013" t="s">
        <v>38</v>
      </c>
      <c r="B2013" t="s">
        <v>41</v>
      </c>
      <c r="C2013">
        <v>4</v>
      </c>
      <c r="D2013" s="9">
        <v>1490</v>
      </c>
      <c r="E2013" s="9">
        <f>+Tablo3[[#This Row],[Birim Fiyat]]*Tablo3[[#This Row],[Satış Adet]]</f>
        <v>5960</v>
      </c>
      <c r="F2013" s="9">
        <v>2760</v>
      </c>
      <c r="G2013" t="s">
        <v>60</v>
      </c>
      <c r="H2013" t="s">
        <v>27</v>
      </c>
    </row>
    <row r="2014" spans="1:8" x14ac:dyDescent="0.25">
      <c r="A2014" t="s">
        <v>38</v>
      </c>
      <c r="B2014" t="s">
        <v>32</v>
      </c>
      <c r="C2014">
        <v>2</v>
      </c>
      <c r="D2014" s="9">
        <v>1090</v>
      </c>
      <c r="E2014" s="9">
        <f>+Tablo3[[#This Row],[Birim Fiyat]]*Tablo3[[#This Row],[Satış Adet]]</f>
        <v>2180</v>
      </c>
      <c r="F2014" s="9">
        <v>580</v>
      </c>
      <c r="G2014" t="s">
        <v>60</v>
      </c>
      <c r="H2014" t="s">
        <v>40</v>
      </c>
    </row>
    <row r="2015" spans="1:8" x14ac:dyDescent="0.25">
      <c r="A2015" t="s">
        <v>67</v>
      </c>
      <c r="B2015" t="s">
        <v>28</v>
      </c>
      <c r="C2015">
        <v>2</v>
      </c>
      <c r="D2015" s="9">
        <v>1200</v>
      </c>
      <c r="E2015" s="9">
        <f>+Tablo3[[#This Row],[Birim Fiyat]]*Tablo3[[#This Row],[Satış Adet]]</f>
        <v>2400</v>
      </c>
      <c r="F2015" s="9">
        <v>800</v>
      </c>
      <c r="G2015" t="s">
        <v>60</v>
      </c>
      <c r="H2015" t="s">
        <v>42</v>
      </c>
    </row>
    <row r="2016" spans="1:8" x14ac:dyDescent="0.25">
      <c r="A2016" t="s">
        <v>36</v>
      </c>
      <c r="B2016" t="s">
        <v>37</v>
      </c>
      <c r="C2016">
        <v>4</v>
      </c>
      <c r="D2016" s="9">
        <v>10590</v>
      </c>
      <c r="E2016" s="9">
        <f>+Tablo3[[#This Row],[Birim Fiyat]]*Tablo3[[#This Row],[Satış Adet]]</f>
        <v>42360</v>
      </c>
      <c r="F2016" s="9">
        <v>18360</v>
      </c>
      <c r="G2016" t="s">
        <v>60</v>
      </c>
      <c r="H2016" t="s">
        <v>40</v>
      </c>
    </row>
    <row r="2017" spans="1:8" x14ac:dyDescent="0.25">
      <c r="A2017" t="s">
        <v>30</v>
      </c>
      <c r="B2017" t="s">
        <v>43</v>
      </c>
      <c r="C2017">
        <v>2</v>
      </c>
      <c r="D2017" s="9">
        <v>4200</v>
      </c>
      <c r="E2017" s="9">
        <f>+Tablo3[[#This Row],[Birim Fiyat]]*Tablo3[[#This Row],[Satış Adet]]</f>
        <v>8400</v>
      </c>
      <c r="F2017" s="9">
        <v>2400</v>
      </c>
      <c r="G2017" t="s">
        <v>60</v>
      </c>
      <c r="H2017" t="s">
        <v>42</v>
      </c>
    </row>
    <row r="2018" spans="1:8" x14ac:dyDescent="0.25">
      <c r="A2018" t="s">
        <v>18</v>
      </c>
      <c r="B2018" t="s">
        <v>43</v>
      </c>
      <c r="C2018">
        <v>3</v>
      </c>
      <c r="D2018" s="9">
        <v>4200</v>
      </c>
      <c r="E2018" s="9">
        <f>+Tablo3[[#This Row],[Birim Fiyat]]*Tablo3[[#This Row],[Satış Adet]]</f>
        <v>12600</v>
      </c>
      <c r="F2018" s="9">
        <v>3600</v>
      </c>
      <c r="G2018" t="s">
        <v>60</v>
      </c>
      <c r="H2018" t="s">
        <v>27</v>
      </c>
    </row>
    <row r="2019" spans="1:8" x14ac:dyDescent="0.25">
      <c r="A2019" t="s">
        <v>33</v>
      </c>
      <c r="B2019" t="s">
        <v>37</v>
      </c>
      <c r="C2019">
        <v>3</v>
      </c>
      <c r="D2019" s="9">
        <v>10590</v>
      </c>
      <c r="E2019" s="9">
        <f>+Tablo3[[#This Row],[Birim Fiyat]]*Tablo3[[#This Row],[Satış Adet]]</f>
        <v>31770</v>
      </c>
      <c r="F2019" s="9">
        <v>13770</v>
      </c>
      <c r="G2019" t="s">
        <v>60</v>
      </c>
      <c r="H2019" t="s">
        <v>35</v>
      </c>
    </row>
    <row r="2020" spans="1:8" x14ac:dyDescent="0.25">
      <c r="A2020" t="s">
        <v>48</v>
      </c>
      <c r="B2020" t="s">
        <v>50</v>
      </c>
      <c r="C2020">
        <v>5</v>
      </c>
      <c r="D2020" s="9">
        <v>1250</v>
      </c>
      <c r="E2020" s="9">
        <f>+Tablo3[[#This Row],[Birim Fiyat]]*Tablo3[[#This Row],[Satış Adet]]</f>
        <v>6250</v>
      </c>
      <c r="F2020" s="9">
        <v>2250</v>
      </c>
      <c r="G2020" t="s">
        <v>60</v>
      </c>
      <c r="H2020" t="s">
        <v>39</v>
      </c>
    </row>
    <row r="2021" spans="1:8" x14ac:dyDescent="0.25">
      <c r="A2021" t="s">
        <v>8</v>
      </c>
      <c r="B2021" t="s">
        <v>41</v>
      </c>
      <c r="C2021">
        <v>2</v>
      </c>
      <c r="D2021" s="9">
        <v>1490</v>
      </c>
      <c r="E2021" s="9">
        <f>+Tablo3[[#This Row],[Birim Fiyat]]*Tablo3[[#This Row],[Satış Adet]]</f>
        <v>2980</v>
      </c>
      <c r="F2021" s="9">
        <v>1380</v>
      </c>
      <c r="G2021" t="s">
        <v>60</v>
      </c>
      <c r="H2021" t="s">
        <v>24</v>
      </c>
    </row>
    <row r="2022" spans="1:8" x14ac:dyDescent="0.25">
      <c r="A2022" t="s">
        <v>30</v>
      </c>
      <c r="B2022" t="s">
        <v>28</v>
      </c>
      <c r="C2022">
        <v>4</v>
      </c>
      <c r="D2022" s="9">
        <v>1200</v>
      </c>
      <c r="E2022" s="9">
        <f>+Tablo3[[#This Row],[Birim Fiyat]]*Tablo3[[#This Row],[Satış Adet]]</f>
        <v>4800</v>
      </c>
      <c r="F2022" s="9">
        <v>1600</v>
      </c>
      <c r="G2022" t="s">
        <v>60</v>
      </c>
      <c r="H2022" t="s">
        <v>24</v>
      </c>
    </row>
    <row r="2023" spans="1:8" x14ac:dyDescent="0.25">
      <c r="A2023" t="s">
        <v>15</v>
      </c>
      <c r="B2023" t="s">
        <v>21</v>
      </c>
      <c r="C2023">
        <v>3</v>
      </c>
      <c r="D2023" s="9">
        <v>2180</v>
      </c>
      <c r="E2023" s="9">
        <f>+Tablo3[[#This Row],[Birim Fiyat]]*Tablo3[[#This Row],[Satış Adet]]</f>
        <v>6540</v>
      </c>
      <c r="F2023" s="9">
        <v>2040</v>
      </c>
      <c r="G2023" t="s">
        <v>60</v>
      </c>
      <c r="H2023" t="s">
        <v>42</v>
      </c>
    </row>
    <row r="2024" spans="1:8" x14ac:dyDescent="0.25">
      <c r="A2024" t="s">
        <v>38</v>
      </c>
      <c r="B2024" t="s">
        <v>51</v>
      </c>
      <c r="C2024">
        <v>5</v>
      </c>
      <c r="D2024" s="9">
        <v>1200</v>
      </c>
      <c r="E2024" s="9">
        <f>+Tablo3[[#This Row],[Birim Fiyat]]*Tablo3[[#This Row],[Satış Adet]]</f>
        <v>6000</v>
      </c>
      <c r="F2024" s="9">
        <v>2000</v>
      </c>
      <c r="G2024" t="s">
        <v>60</v>
      </c>
      <c r="H2024" t="s">
        <v>11</v>
      </c>
    </row>
    <row r="2025" spans="1:8" x14ac:dyDescent="0.25">
      <c r="A2025" t="s">
        <v>8</v>
      </c>
      <c r="B2025" t="s">
        <v>31</v>
      </c>
      <c r="C2025">
        <v>3</v>
      </c>
      <c r="D2025" s="9">
        <v>1800</v>
      </c>
      <c r="E2025" s="9">
        <f>+Tablo3[[#This Row],[Birim Fiyat]]*Tablo3[[#This Row],[Satış Adet]]</f>
        <v>5400</v>
      </c>
      <c r="F2025" s="9">
        <v>3000</v>
      </c>
      <c r="G2025" t="s">
        <v>60</v>
      </c>
      <c r="H2025" t="s">
        <v>42</v>
      </c>
    </row>
    <row r="2026" spans="1:8" x14ac:dyDescent="0.25">
      <c r="A2026" t="s">
        <v>15</v>
      </c>
      <c r="B2026" t="s">
        <v>23</v>
      </c>
      <c r="C2026">
        <v>5</v>
      </c>
      <c r="D2026" s="9">
        <v>7600</v>
      </c>
      <c r="E2026" s="9">
        <f>+Tablo3[[#This Row],[Birim Fiyat]]*Tablo3[[#This Row],[Satış Adet]]</f>
        <v>38000</v>
      </c>
      <c r="F2026" s="9">
        <v>8000</v>
      </c>
      <c r="G2026" t="s">
        <v>61</v>
      </c>
      <c r="H2026" t="s">
        <v>27</v>
      </c>
    </row>
    <row r="2027" spans="1:8" x14ac:dyDescent="0.25">
      <c r="A2027" t="s">
        <v>33</v>
      </c>
      <c r="B2027" t="s">
        <v>53</v>
      </c>
      <c r="C2027">
        <v>2</v>
      </c>
      <c r="D2027" s="9">
        <v>7530</v>
      </c>
      <c r="E2027" s="9">
        <f>+Tablo3[[#This Row],[Birim Fiyat]]*Tablo3[[#This Row],[Satış Adet]]</f>
        <v>15060</v>
      </c>
      <c r="F2027" s="9">
        <v>3060</v>
      </c>
      <c r="G2027" t="s">
        <v>61</v>
      </c>
      <c r="H2027" t="s">
        <v>44</v>
      </c>
    </row>
    <row r="2028" spans="1:8" x14ac:dyDescent="0.25">
      <c r="A2028" t="s">
        <v>48</v>
      </c>
      <c r="B2028" t="s">
        <v>41</v>
      </c>
      <c r="C2028">
        <v>5</v>
      </c>
      <c r="D2028" s="9">
        <v>1490</v>
      </c>
      <c r="E2028" s="9">
        <f>+Tablo3[[#This Row],[Birim Fiyat]]*Tablo3[[#This Row],[Satış Adet]]</f>
        <v>7450</v>
      </c>
      <c r="F2028" s="9">
        <v>3450</v>
      </c>
      <c r="G2028" t="s">
        <v>61</v>
      </c>
      <c r="H2028" t="s">
        <v>27</v>
      </c>
    </row>
    <row r="2029" spans="1:8" x14ac:dyDescent="0.25">
      <c r="A2029" t="s">
        <v>8</v>
      </c>
      <c r="B2029" t="s">
        <v>54</v>
      </c>
      <c r="C2029">
        <v>2</v>
      </c>
      <c r="D2029" s="9">
        <v>5300</v>
      </c>
      <c r="E2029" s="9">
        <f>+Tablo3[[#This Row],[Birim Fiyat]]*Tablo3[[#This Row],[Satış Adet]]</f>
        <v>10600</v>
      </c>
      <c r="F2029" s="9">
        <v>2600</v>
      </c>
      <c r="G2029" t="s">
        <v>61</v>
      </c>
      <c r="H2029" t="s">
        <v>44</v>
      </c>
    </row>
    <row r="2030" spans="1:8" x14ac:dyDescent="0.25">
      <c r="A2030" t="s">
        <v>22</v>
      </c>
      <c r="B2030" t="s">
        <v>28</v>
      </c>
      <c r="C2030">
        <v>4</v>
      </c>
      <c r="D2030" s="9">
        <v>1200</v>
      </c>
      <c r="E2030" s="9">
        <f>+Tablo3[[#This Row],[Birim Fiyat]]*Tablo3[[#This Row],[Satış Adet]]</f>
        <v>4800</v>
      </c>
      <c r="F2030" s="9">
        <v>1600</v>
      </c>
      <c r="G2030" t="s">
        <v>61</v>
      </c>
      <c r="H2030" t="s">
        <v>14</v>
      </c>
    </row>
    <row r="2031" spans="1:8" x14ac:dyDescent="0.25">
      <c r="A2031" t="s">
        <v>38</v>
      </c>
      <c r="B2031" t="s">
        <v>32</v>
      </c>
      <c r="C2031">
        <v>4</v>
      </c>
      <c r="D2031" s="9">
        <v>1090</v>
      </c>
      <c r="E2031" s="9">
        <f>+Tablo3[[#This Row],[Birim Fiyat]]*Tablo3[[#This Row],[Satış Adet]]</f>
        <v>4360</v>
      </c>
      <c r="F2031" s="9">
        <v>1160</v>
      </c>
      <c r="G2031" t="s">
        <v>61</v>
      </c>
      <c r="H2031" t="s">
        <v>20</v>
      </c>
    </row>
    <row r="2032" spans="1:8" x14ac:dyDescent="0.25">
      <c r="A2032" t="s">
        <v>22</v>
      </c>
      <c r="B2032" t="s">
        <v>25</v>
      </c>
      <c r="C2032">
        <v>5</v>
      </c>
      <c r="D2032" s="9">
        <v>7250</v>
      </c>
      <c r="E2032" s="9">
        <f>+Tablo3[[#This Row],[Birim Fiyat]]*Tablo3[[#This Row],[Satış Adet]]</f>
        <v>36250</v>
      </c>
      <c r="F2032" s="9">
        <v>11250</v>
      </c>
      <c r="G2032" t="s">
        <v>61</v>
      </c>
      <c r="H2032" t="s">
        <v>11</v>
      </c>
    </row>
    <row r="2033" spans="1:8" x14ac:dyDescent="0.25">
      <c r="A2033" t="s">
        <v>46</v>
      </c>
      <c r="B2033" t="s">
        <v>13</v>
      </c>
      <c r="C2033">
        <v>5</v>
      </c>
      <c r="D2033" s="9">
        <v>1400</v>
      </c>
      <c r="E2033" s="9">
        <f>+Tablo3[[#This Row],[Birim Fiyat]]*Tablo3[[#This Row],[Satış Adet]]</f>
        <v>7000</v>
      </c>
      <c r="F2033" s="9">
        <v>3000</v>
      </c>
      <c r="G2033" t="s">
        <v>61</v>
      </c>
      <c r="H2033" t="s">
        <v>14</v>
      </c>
    </row>
    <row r="2034" spans="1:8" x14ac:dyDescent="0.25">
      <c r="A2034" t="s">
        <v>15</v>
      </c>
      <c r="B2034" t="s">
        <v>55</v>
      </c>
      <c r="C2034">
        <v>5</v>
      </c>
      <c r="D2034" s="9">
        <v>1500</v>
      </c>
      <c r="E2034" s="9">
        <f>+Tablo3[[#This Row],[Birim Fiyat]]*Tablo3[[#This Row],[Satış Adet]]</f>
        <v>7500</v>
      </c>
      <c r="F2034" s="9">
        <v>3500</v>
      </c>
      <c r="G2034" t="s">
        <v>61</v>
      </c>
      <c r="H2034" t="s">
        <v>29</v>
      </c>
    </row>
    <row r="2035" spans="1:8" x14ac:dyDescent="0.25">
      <c r="A2035" t="s">
        <v>33</v>
      </c>
      <c r="B2035" t="s">
        <v>19</v>
      </c>
      <c r="C2035">
        <v>3</v>
      </c>
      <c r="D2035" s="9">
        <v>1350</v>
      </c>
      <c r="E2035" s="9">
        <f>+Tablo3[[#This Row],[Birim Fiyat]]*Tablo3[[#This Row],[Satış Adet]]</f>
        <v>4050</v>
      </c>
      <c r="F2035" s="9">
        <v>1650</v>
      </c>
      <c r="G2035" t="s">
        <v>61</v>
      </c>
      <c r="H2035" t="s">
        <v>39</v>
      </c>
    </row>
    <row r="2036" spans="1:8" x14ac:dyDescent="0.25">
      <c r="A2036" t="s">
        <v>33</v>
      </c>
      <c r="B2036" t="s">
        <v>28</v>
      </c>
      <c r="C2036">
        <v>2</v>
      </c>
      <c r="D2036" s="9">
        <v>1200</v>
      </c>
      <c r="E2036" s="9">
        <f>+Tablo3[[#This Row],[Birim Fiyat]]*Tablo3[[#This Row],[Satış Adet]]</f>
        <v>2400</v>
      </c>
      <c r="F2036" s="9">
        <v>800</v>
      </c>
      <c r="G2036" t="s">
        <v>61</v>
      </c>
      <c r="H2036" t="s">
        <v>39</v>
      </c>
    </row>
    <row r="2037" spans="1:8" x14ac:dyDescent="0.25">
      <c r="A2037" t="s">
        <v>12</v>
      </c>
      <c r="B2037" t="s">
        <v>53</v>
      </c>
      <c r="C2037">
        <v>5</v>
      </c>
      <c r="D2037" s="9">
        <v>7530</v>
      </c>
      <c r="E2037" s="9">
        <f>+Tablo3[[#This Row],[Birim Fiyat]]*Tablo3[[#This Row],[Satış Adet]]</f>
        <v>37650</v>
      </c>
      <c r="F2037" s="9">
        <v>7650</v>
      </c>
      <c r="G2037" t="s">
        <v>61</v>
      </c>
      <c r="H2037" t="s">
        <v>14</v>
      </c>
    </row>
    <row r="2038" spans="1:8" x14ac:dyDescent="0.25">
      <c r="A2038" t="s">
        <v>46</v>
      </c>
      <c r="B2038" t="s">
        <v>28</v>
      </c>
      <c r="C2038">
        <v>3</v>
      </c>
      <c r="D2038" s="9">
        <v>1200</v>
      </c>
      <c r="E2038" s="9">
        <f>+Tablo3[[#This Row],[Birim Fiyat]]*Tablo3[[#This Row],[Satış Adet]]</f>
        <v>3600</v>
      </c>
      <c r="F2038" s="9">
        <v>1200</v>
      </c>
      <c r="G2038" t="s">
        <v>61</v>
      </c>
      <c r="H2038" t="s">
        <v>44</v>
      </c>
    </row>
    <row r="2039" spans="1:8" x14ac:dyDescent="0.25">
      <c r="A2039" t="s">
        <v>36</v>
      </c>
      <c r="B2039" t="s">
        <v>31</v>
      </c>
      <c r="C2039">
        <v>4</v>
      </c>
      <c r="D2039" s="9">
        <v>1800</v>
      </c>
      <c r="E2039" s="9">
        <f>+Tablo3[[#This Row],[Birim Fiyat]]*Tablo3[[#This Row],[Satış Adet]]</f>
        <v>7200</v>
      </c>
      <c r="F2039" s="9">
        <v>4000</v>
      </c>
      <c r="G2039" t="s">
        <v>61</v>
      </c>
      <c r="H2039" t="s">
        <v>40</v>
      </c>
    </row>
    <row r="2040" spans="1:8" x14ac:dyDescent="0.25">
      <c r="A2040" t="s">
        <v>8</v>
      </c>
      <c r="B2040" t="s">
        <v>25</v>
      </c>
      <c r="C2040">
        <v>4</v>
      </c>
      <c r="D2040" s="9">
        <v>7250</v>
      </c>
      <c r="E2040" s="9">
        <f>+Tablo3[[#This Row],[Birim Fiyat]]*Tablo3[[#This Row],[Satış Adet]]</f>
        <v>29000</v>
      </c>
      <c r="F2040" s="9">
        <v>9000</v>
      </c>
      <c r="G2040" t="s">
        <v>61</v>
      </c>
      <c r="H2040" t="s">
        <v>24</v>
      </c>
    </row>
    <row r="2041" spans="1:8" x14ac:dyDescent="0.25">
      <c r="A2041" t="s">
        <v>38</v>
      </c>
      <c r="B2041" t="s">
        <v>41</v>
      </c>
      <c r="C2041">
        <v>3</v>
      </c>
      <c r="D2041" s="9">
        <v>1490</v>
      </c>
      <c r="E2041" s="9">
        <f>+Tablo3[[#This Row],[Birim Fiyat]]*Tablo3[[#This Row],[Satış Adet]]</f>
        <v>4470</v>
      </c>
      <c r="F2041" s="9">
        <v>2070</v>
      </c>
      <c r="G2041" t="s">
        <v>61</v>
      </c>
      <c r="H2041" t="s">
        <v>44</v>
      </c>
    </row>
    <row r="2042" spans="1:8" x14ac:dyDescent="0.25">
      <c r="A2042" t="s">
        <v>38</v>
      </c>
      <c r="B2042" t="s">
        <v>51</v>
      </c>
      <c r="C2042">
        <v>5</v>
      </c>
      <c r="D2042" s="9">
        <v>1200</v>
      </c>
      <c r="E2042" s="9">
        <f>+Tablo3[[#This Row],[Birim Fiyat]]*Tablo3[[#This Row],[Satış Adet]]</f>
        <v>6000</v>
      </c>
      <c r="F2042" s="9">
        <v>2000</v>
      </c>
      <c r="G2042" t="s">
        <v>61</v>
      </c>
      <c r="H2042" t="s">
        <v>40</v>
      </c>
    </row>
    <row r="2043" spans="1:8" x14ac:dyDescent="0.25">
      <c r="A2043" t="s">
        <v>12</v>
      </c>
      <c r="B2043" t="s">
        <v>34</v>
      </c>
      <c r="C2043">
        <v>4</v>
      </c>
      <c r="D2043" s="9">
        <v>8000</v>
      </c>
      <c r="E2043" s="9">
        <f>+Tablo3[[#This Row],[Birim Fiyat]]*Tablo3[[#This Row],[Satış Adet]]</f>
        <v>32000</v>
      </c>
      <c r="F2043" s="9">
        <v>8000</v>
      </c>
      <c r="G2043" t="s">
        <v>61</v>
      </c>
      <c r="H2043" t="s">
        <v>44</v>
      </c>
    </row>
    <row r="2044" spans="1:8" x14ac:dyDescent="0.25">
      <c r="A2044" t="s">
        <v>30</v>
      </c>
      <c r="B2044" t="s">
        <v>13</v>
      </c>
      <c r="C2044">
        <v>3</v>
      </c>
      <c r="D2044" s="9">
        <v>1400</v>
      </c>
      <c r="E2044" s="9">
        <f>+Tablo3[[#This Row],[Birim Fiyat]]*Tablo3[[#This Row],[Satış Adet]]</f>
        <v>4200</v>
      </c>
      <c r="F2044" s="9">
        <v>1800</v>
      </c>
      <c r="G2044" t="s">
        <v>61</v>
      </c>
      <c r="H2044" t="s">
        <v>20</v>
      </c>
    </row>
    <row r="2045" spans="1:8" x14ac:dyDescent="0.25">
      <c r="A2045" t="s">
        <v>67</v>
      </c>
      <c r="B2045" t="s">
        <v>19</v>
      </c>
      <c r="C2045">
        <v>3</v>
      </c>
      <c r="D2045" s="9">
        <v>1350</v>
      </c>
      <c r="E2045" s="9">
        <f>+Tablo3[[#This Row],[Birim Fiyat]]*Tablo3[[#This Row],[Satış Adet]]</f>
        <v>4050</v>
      </c>
      <c r="F2045" s="9">
        <v>1650</v>
      </c>
      <c r="G2045" t="s">
        <v>61</v>
      </c>
      <c r="H2045" t="s">
        <v>35</v>
      </c>
    </row>
    <row r="2046" spans="1:8" x14ac:dyDescent="0.25">
      <c r="A2046" t="s">
        <v>36</v>
      </c>
      <c r="B2046" t="s">
        <v>51</v>
      </c>
      <c r="C2046">
        <v>4</v>
      </c>
      <c r="D2046" s="9">
        <v>1200</v>
      </c>
      <c r="E2046" s="9">
        <f>+Tablo3[[#This Row],[Birim Fiyat]]*Tablo3[[#This Row],[Satış Adet]]</f>
        <v>4800</v>
      </c>
      <c r="F2046" s="9">
        <v>1600</v>
      </c>
      <c r="G2046" t="s">
        <v>61</v>
      </c>
      <c r="H2046" t="s">
        <v>14</v>
      </c>
    </row>
    <row r="2047" spans="1:8" x14ac:dyDescent="0.25">
      <c r="A2047" t="s">
        <v>30</v>
      </c>
      <c r="B2047" t="s">
        <v>54</v>
      </c>
      <c r="C2047">
        <v>5</v>
      </c>
      <c r="D2047" s="9">
        <v>5300</v>
      </c>
      <c r="E2047" s="9">
        <f>+Tablo3[[#This Row],[Birim Fiyat]]*Tablo3[[#This Row],[Satış Adet]]</f>
        <v>26500</v>
      </c>
      <c r="F2047" s="9">
        <v>6500</v>
      </c>
      <c r="G2047" t="s">
        <v>61</v>
      </c>
      <c r="H2047" t="s">
        <v>11</v>
      </c>
    </row>
    <row r="2048" spans="1:8" x14ac:dyDescent="0.25">
      <c r="A2048" t="s">
        <v>38</v>
      </c>
      <c r="B2048" t="s">
        <v>37</v>
      </c>
      <c r="C2048">
        <v>5</v>
      </c>
      <c r="D2048" s="9">
        <v>10590</v>
      </c>
      <c r="E2048" s="9">
        <f>+Tablo3[[#This Row],[Birim Fiyat]]*Tablo3[[#This Row],[Satış Adet]]</f>
        <v>52950</v>
      </c>
      <c r="F2048" s="9">
        <v>22950</v>
      </c>
      <c r="G2048" t="s">
        <v>61</v>
      </c>
      <c r="H2048" t="s">
        <v>14</v>
      </c>
    </row>
    <row r="2049" spans="1:8" x14ac:dyDescent="0.25">
      <c r="A2049" t="s">
        <v>22</v>
      </c>
      <c r="B2049" t="s">
        <v>50</v>
      </c>
      <c r="C2049">
        <v>3</v>
      </c>
      <c r="D2049" s="9">
        <v>1250</v>
      </c>
      <c r="E2049" s="9">
        <f>+Tablo3[[#This Row],[Birim Fiyat]]*Tablo3[[#This Row],[Satış Adet]]</f>
        <v>3750</v>
      </c>
      <c r="F2049" s="9">
        <v>1350</v>
      </c>
      <c r="G2049" t="s">
        <v>61</v>
      </c>
      <c r="H2049" t="s">
        <v>17</v>
      </c>
    </row>
    <row r="2050" spans="1:8" x14ac:dyDescent="0.25">
      <c r="A2050" t="s">
        <v>48</v>
      </c>
      <c r="B2050" t="s">
        <v>51</v>
      </c>
      <c r="C2050">
        <v>4</v>
      </c>
      <c r="D2050" s="9">
        <v>1200</v>
      </c>
      <c r="E2050" s="9">
        <f>+Tablo3[[#This Row],[Birim Fiyat]]*Tablo3[[#This Row],[Satış Adet]]</f>
        <v>4800</v>
      </c>
      <c r="F2050" s="9">
        <v>1600</v>
      </c>
      <c r="G2050" t="s">
        <v>61</v>
      </c>
      <c r="H2050" t="s">
        <v>20</v>
      </c>
    </row>
    <row r="2051" spans="1:8" x14ac:dyDescent="0.25">
      <c r="A2051" t="s">
        <v>22</v>
      </c>
      <c r="B2051" t="s">
        <v>13</v>
      </c>
      <c r="C2051">
        <v>5</v>
      </c>
      <c r="D2051" s="9">
        <v>1400</v>
      </c>
      <c r="E2051" s="9">
        <f>+Tablo3[[#This Row],[Birim Fiyat]]*Tablo3[[#This Row],[Satış Adet]]</f>
        <v>7000</v>
      </c>
      <c r="F2051" s="9">
        <v>3000</v>
      </c>
      <c r="G2051" t="s">
        <v>61</v>
      </c>
      <c r="H2051" t="s">
        <v>40</v>
      </c>
    </row>
    <row r="2052" spans="1:8" x14ac:dyDescent="0.25">
      <c r="A2052" t="s">
        <v>48</v>
      </c>
      <c r="B2052" t="s">
        <v>53</v>
      </c>
      <c r="C2052">
        <v>3</v>
      </c>
      <c r="D2052" s="9">
        <v>7530</v>
      </c>
      <c r="E2052" s="9">
        <f>+Tablo3[[#This Row],[Birim Fiyat]]*Tablo3[[#This Row],[Satış Adet]]</f>
        <v>22590</v>
      </c>
      <c r="F2052" s="9">
        <v>4590</v>
      </c>
      <c r="G2052" t="s">
        <v>61</v>
      </c>
      <c r="H2052" t="s">
        <v>29</v>
      </c>
    </row>
    <row r="2053" spans="1:8" x14ac:dyDescent="0.25">
      <c r="A2053" t="s">
        <v>30</v>
      </c>
      <c r="B2053" t="s">
        <v>23</v>
      </c>
      <c r="C2053">
        <v>3</v>
      </c>
      <c r="D2053" s="9">
        <v>7600</v>
      </c>
      <c r="E2053" s="9">
        <f>+Tablo3[[#This Row],[Birim Fiyat]]*Tablo3[[#This Row],[Satış Adet]]</f>
        <v>22800</v>
      </c>
      <c r="F2053" s="9">
        <v>4800</v>
      </c>
      <c r="G2053" t="s">
        <v>61</v>
      </c>
      <c r="H2053" t="s">
        <v>11</v>
      </c>
    </row>
    <row r="2054" spans="1:8" x14ac:dyDescent="0.25">
      <c r="A2054" t="s">
        <v>48</v>
      </c>
      <c r="B2054" t="s">
        <v>55</v>
      </c>
      <c r="C2054">
        <v>3</v>
      </c>
      <c r="D2054" s="9">
        <v>1500</v>
      </c>
      <c r="E2054" s="9">
        <f>+Tablo3[[#This Row],[Birim Fiyat]]*Tablo3[[#This Row],[Satış Adet]]</f>
        <v>4500</v>
      </c>
      <c r="F2054" s="9">
        <v>2100</v>
      </c>
      <c r="G2054" t="s">
        <v>61</v>
      </c>
      <c r="H2054" t="s">
        <v>24</v>
      </c>
    </row>
    <row r="2055" spans="1:8" x14ac:dyDescent="0.25">
      <c r="A2055" t="s">
        <v>38</v>
      </c>
      <c r="B2055" t="s">
        <v>21</v>
      </c>
      <c r="C2055">
        <v>4</v>
      </c>
      <c r="D2055" s="9">
        <v>2180</v>
      </c>
      <c r="E2055" s="9">
        <f>+Tablo3[[#This Row],[Birim Fiyat]]*Tablo3[[#This Row],[Satış Adet]]</f>
        <v>8720</v>
      </c>
      <c r="F2055" s="9">
        <v>2720</v>
      </c>
      <c r="G2055" t="s">
        <v>61</v>
      </c>
      <c r="H2055" t="s">
        <v>24</v>
      </c>
    </row>
    <row r="2056" spans="1:8" x14ac:dyDescent="0.25">
      <c r="A2056" t="s">
        <v>18</v>
      </c>
      <c r="B2056" t="s">
        <v>21</v>
      </c>
      <c r="C2056">
        <v>3</v>
      </c>
      <c r="D2056" s="9">
        <v>2180</v>
      </c>
      <c r="E2056" s="9">
        <f>+Tablo3[[#This Row],[Birim Fiyat]]*Tablo3[[#This Row],[Satış Adet]]</f>
        <v>6540</v>
      </c>
      <c r="F2056" s="9">
        <v>2040</v>
      </c>
      <c r="G2056" t="s">
        <v>61</v>
      </c>
      <c r="H2056" t="s">
        <v>35</v>
      </c>
    </row>
    <row r="2057" spans="1:8" x14ac:dyDescent="0.25">
      <c r="A2057" t="s">
        <v>38</v>
      </c>
      <c r="B2057" t="s">
        <v>45</v>
      </c>
      <c r="C2057">
        <v>4</v>
      </c>
      <c r="D2057" s="9">
        <v>5775</v>
      </c>
      <c r="E2057" s="9">
        <f>+Tablo3[[#This Row],[Birim Fiyat]]*Tablo3[[#This Row],[Satış Adet]]</f>
        <v>23100</v>
      </c>
      <c r="F2057" s="9">
        <v>7100</v>
      </c>
      <c r="G2057" t="s">
        <v>61</v>
      </c>
      <c r="H2057" t="s">
        <v>24</v>
      </c>
    </row>
    <row r="2058" spans="1:8" x14ac:dyDescent="0.25">
      <c r="A2058" t="s">
        <v>38</v>
      </c>
      <c r="B2058" t="s">
        <v>26</v>
      </c>
      <c r="C2058">
        <v>3</v>
      </c>
      <c r="D2058" s="9">
        <v>1100</v>
      </c>
      <c r="E2058" s="9">
        <f>+Tablo3[[#This Row],[Birim Fiyat]]*Tablo3[[#This Row],[Satış Adet]]</f>
        <v>3300</v>
      </c>
      <c r="F2058" s="9">
        <v>900</v>
      </c>
      <c r="G2058" t="s">
        <v>61</v>
      </c>
      <c r="H2058" t="s">
        <v>44</v>
      </c>
    </row>
    <row r="2059" spans="1:8" x14ac:dyDescent="0.25">
      <c r="A2059" t="s">
        <v>46</v>
      </c>
      <c r="B2059" t="s">
        <v>45</v>
      </c>
      <c r="C2059">
        <v>4</v>
      </c>
      <c r="D2059" s="9">
        <v>5775</v>
      </c>
      <c r="E2059" s="9">
        <f>+Tablo3[[#This Row],[Birim Fiyat]]*Tablo3[[#This Row],[Satış Adet]]</f>
        <v>23100</v>
      </c>
      <c r="F2059" s="9">
        <v>7100</v>
      </c>
      <c r="G2059" t="s">
        <v>61</v>
      </c>
      <c r="H2059" t="s">
        <v>35</v>
      </c>
    </row>
    <row r="2060" spans="1:8" x14ac:dyDescent="0.25">
      <c r="A2060" t="s">
        <v>33</v>
      </c>
      <c r="B2060" t="s">
        <v>19</v>
      </c>
      <c r="C2060">
        <v>3</v>
      </c>
      <c r="D2060" s="9">
        <v>1350</v>
      </c>
      <c r="E2060" s="9">
        <f>+Tablo3[[#This Row],[Birim Fiyat]]*Tablo3[[#This Row],[Satış Adet]]</f>
        <v>4050</v>
      </c>
      <c r="F2060" s="9">
        <v>1650</v>
      </c>
      <c r="G2060" t="s">
        <v>61</v>
      </c>
      <c r="H2060" t="s">
        <v>40</v>
      </c>
    </row>
    <row r="2061" spans="1:8" x14ac:dyDescent="0.25">
      <c r="A2061" t="s">
        <v>8</v>
      </c>
      <c r="B2061" t="s">
        <v>23</v>
      </c>
      <c r="C2061">
        <v>5</v>
      </c>
      <c r="D2061" s="9">
        <v>7600</v>
      </c>
      <c r="E2061" s="9">
        <f>+Tablo3[[#This Row],[Birim Fiyat]]*Tablo3[[#This Row],[Satış Adet]]</f>
        <v>38000</v>
      </c>
      <c r="F2061" s="9">
        <v>8000</v>
      </c>
      <c r="G2061" t="s">
        <v>61</v>
      </c>
      <c r="H2061" t="s">
        <v>44</v>
      </c>
    </row>
    <row r="2062" spans="1:8" x14ac:dyDescent="0.25">
      <c r="A2062" t="s">
        <v>15</v>
      </c>
      <c r="B2062" t="s">
        <v>25</v>
      </c>
      <c r="C2062">
        <v>2</v>
      </c>
      <c r="D2062" s="9">
        <v>7250</v>
      </c>
      <c r="E2062" s="9">
        <f>+Tablo3[[#This Row],[Birim Fiyat]]*Tablo3[[#This Row],[Satış Adet]]</f>
        <v>14500</v>
      </c>
      <c r="F2062" s="9">
        <v>4500</v>
      </c>
      <c r="G2062" t="s">
        <v>61</v>
      </c>
      <c r="H2062" t="s">
        <v>44</v>
      </c>
    </row>
    <row r="2063" spans="1:8" x14ac:dyDescent="0.25">
      <c r="A2063" t="s">
        <v>48</v>
      </c>
      <c r="B2063" t="s">
        <v>41</v>
      </c>
      <c r="C2063">
        <v>5</v>
      </c>
      <c r="D2063" s="9">
        <v>1490</v>
      </c>
      <c r="E2063" s="9">
        <f>+Tablo3[[#This Row],[Birim Fiyat]]*Tablo3[[#This Row],[Satış Adet]]</f>
        <v>7450</v>
      </c>
      <c r="F2063" s="9">
        <v>3450</v>
      </c>
      <c r="G2063" t="s">
        <v>61</v>
      </c>
      <c r="H2063" t="s">
        <v>52</v>
      </c>
    </row>
    <row r="2064" spans="1:8" x14ac:dyDescent="0.25">
      <c r="A2064" t="s">
        <v>18</v>
      </c>
      <c r="B2064" t="s">
        <v>41</v>
      </c>
      <c r="C2064">
        <v>4</v>
      </c>
      <c r="D2064" s="9">
        <v>1490</v>
      </c>
      <c r="E2064" s="9">
        <f>+Tablo3[[#This Row],[Birim Fiyat]]*Tablo3[[#This Row],[Satış Adet]]</f>
        <v>5960</v>
      </c>
      <c r="F2064" s="9">
        <v>2760</v>
      </c>
      <c r="G2064" t="s">
        <v>61</v>
      </c>
      <c r="H2064" t="s">
        <v>44</v>
      </c>
    </row>
    <row r="2065" spans="1:8" x14ac:dyDescent="0.25">
      <c r="A2065" t="s">
        <v>36</v>
      </c>
      <c r="B2065" t="s">
        <v>32</v>
      </c>
      <c r="C2065">
        <v>3</v>
      </c>
      <c r="D2065" s="9">
        <v>1090</v>
      </c>
      <c r="E2065" s="9">
        <f>+Tablo3[[#This Row],[Birim Fiyat]]*Tablo3[[#This Row],[Satış Adet]]</f>
        <v>3270</v>
      </c>
      <c r="F2065" s="9">
        <v>870</v>
      </c>
      <c r="G2065" t="s">
        <v>61</v>
      </c>
      <c r="H2065" t="s">
        <v>14</v>
      </c>
    </row>
    <row r="2066" spans="1:8" x14ac:dyDescent="0.25">
      <c r="A2066" t="s">
        <v>36</v>
      </c>
      <c r="B2066" t="s">
        <v>28</v>
      </c>
      <c r="C2066">
        <v>4</v>
      </c>
      <c r="D2066" s="9">
        <v>1200</v>
      </c>
      <c r="E2066" s="9">
        <f>+Tablo3[[#This Row],[Birim Fiyat]]*Tablo3[[#This Row],[Satış Adet]]</f>
        <v>4800</v>
      </c>
      <c r="F2066" s="9">
        <v>1600</v>
      </c>
      <c r="G2066" t="s">
        <v>61</v>
      </c>
      <c r="H2066" t="s">
        <v>14</v>
      </c>
    </row>
    <row r="2067" spans="1:8" x14ac:dyDescent="0.25">
      <c r="A2067" t="s">
        <v>48</v>
      </c>
      <c r="B2067" t="s">
        <v>32</v>
      </c>
      <c r="C2067">
        <v>3</v>
      </c>
      <c r="D2067" s="9">
        <v>1090</v>
      </c>
      <c r="E2067" s="9">
        <f>+Tablo3[[#This Row],[Birim Fiyat]]*Tablo3[[#This Row],[Satış Adet]]</f>
        <v>3270</v>
      </c>
      <c r="F2067" s="9">
        <v>870</v>
      </c>
      <c r="G2067" t="s">
        <v>61</v>
      </c>
      <c r="H2067" t="s">
        <v>39</v>
      </c>
    </row>
    <row r="2068" spans="1:8" x14ac:dyDescent="0.25">
      <c r="A2068" t="s">
        <v>48</v>
      </c>
      <c r="B2068" t="s">
        <v>21</v>
      </c>
      <c r="C2068">
        <v>4</v>
      </c>
      <c r="D2068" s="9">
        <v>2180</v>
      </c>
      <c r="E2068" s="9">
        <f>+Tablo3[[#This Row],[Birim Fiyat]]*Tablo3[[#This Row],[Satış Adet]]</f>
        <v>8720</v>
      </c>
      <c r="F2068" s="9">
        <v>2720</v>
      </c>
      <c r="G2068" t="s">
        <v>61</v>
      </c>
      <c r="H2068" t="s">
        <v>35</v>
      </c>
    </row>
    <row r="2069" spans="1:8" x14ac:dyDescent="0.25">
      <c r="A2069" t="s">
        <v>15</v>
      </c>
      <c r="B2069" t="s">
        <v>54</v>
      </c>
      <c r="C2069">
        <v>5</v>
      </c>
      <c r="D2069" s="9">
        <v>5300</v>
      </c>
      <c r="E2069" s="9">
        <f>+Tablo3[[#This Row],[Birim Fiyat]]*Tablo3[[#This Row],[Satış Adet]]</f>
        <v>26500</v>
      </c>
      <c r="F2069" s="9">
        <v>6500</v>
      </c>
      <c r="G2069" t="s">
        <v>61</v>
      </c>
      <c r="H2069" t="s">
        <v>44</v>
      </c>
    </row>
    <row r="2070" spans="1:8" x14ac:dyDescent="0.25">
      <c r="A2070" t="s">
        <v>48</v>
      </c>
      <c r="B2070" t="s">
        <v>54</v>
      </c>
      <c r="C2070">
        <v>4</v>
      </c>
      <c r="D2070" s="9">
        <v>5300</v>
      </c>
      <c r="E2070" s="9">
        <f>+Tablo3[[#This Row],[Birim Fiyat]]*Tablo3[[#This Row],[Satış Adet]]</f>
        <v>21200</v>
      </c>
      <c r="F2070" s="9">
        <v>5200</v>
      </c>
      <c r="G2070" t="s">
        <v>61</v>
      </c>
      <c r="H2070" t="s">
        <v>42</v>
      </c>
    </row>
    <row r="2071" spans="1:8" x14ac:dyDescent="0.25">
      <c r="A2071" t="s">
        <v>67</v>
      </c>
      <c r="B2071" t="s">
        <v>25</v>
      </c>
      <c r="C2071">
        <v>5</v>
      </c>
      <c r="D2071" s="9">
        <v>7250</v>
      </c>
      <c r="E2071" s="9">
        <f>+Tablo3[[#This Row],[Birim Fiyat]]*Tablo3[[#This Row],[Satış Adet]]</f>
        <v>36250</v>
      </c>
      <c r="F2071" s="9">
        <v>11250</v>
      </c>
      <c r="G2071" t="s">
        <v>61</v>
      </c>
      <c r="H2071" t="s">
        <v>20</v>
      </c>
    </row>
    <row r="2072" spans="1:8" x14ac:dyDescent="0.25">
      <c r="A2072" t="s">
        <v>67</v>
      </c>
      <c r="B2072" t="s">
        <v>51</v>
      </c>
      <c r="C2072">
        <v>4</v>
      </c>
      <c r="D2072" s="9">
        <v>1200</v>
      </c>
      <c r="E2072" s="9">
        <f>+Tablo3[[#This Row],[Birim Fiyat]]*Tablo3[[#This Row],[Satış Adet]]</f>
        <v>4800</v>
      </c>
      <c r="F2072" s="9">
        <v>1600</v>
      </c>
      <c r="G2072" t="s">
        <v>61</v>
      </c>
      <c r="H2072" t="s">
        <v>11</v>
      </c>
    </row>
    <row r="2073" spans="1:8" x14ac:dyDescent="0.25">
      <c r="A2073" t="s">
        <v>18</v>
      </c>
      <c r="B2073" t="s">
        <v>9</v>
      </c>
      <c r="C2073">
        <v>3</v>
      </c>
      <c r="D2073" s="9">
        <v>6000</v>
      </c>
      <c r="E2073" s="9">
        <f>+Tablo3[[#This Row],[Birim Fiyat]]*Tablo3[[#This Row],[Satış Adet]]</f>
        <v>18000</v>
      </c>
      <c r="F2073" s="9">
        <v>6000</v>
      </c>
      <c r="G2073" t="s">
        <v>61</v>
      </c>
      <c r="H2073" t="s">
        <v>11</v>
      </c>
    </row>
    <row r="2074" spans="1:8" x14ac:dyDescent="0.25">
      <c r="A2074" t="s">
        <v>15</v>
      </c>
      <c r="B2074" t="s">
        <v>16</v>
      </c>
      <c r="C2074">
        <v>5</v>
      </c>
      <c r="D2074" s="9">
        <v>8450</v>
      </c>
      <c r="E2074" s="9">
        <f>+Tablo3[[#This Row],[Birim Fiyat]]*Tablo3[[#This Row],[Satış Adet]]</f>
        <v>42250</v>
      </c>
      <c r="F2074" s="9">
        <v>12250</v>
      </c>
      <c r="G2074" t="s">
        <v>61</v>
      </c>
      <c r="H2074" t="s">
        <v>40</v>
      </c>
    </row>
    <row r="2075" spans="1:8" x14ac:dyDescent="0.25">
      <c r="A2075" t="s">
        <v>30</v>
      </c>
      <c r="B2075" t="s">
        <v>43</v>
      </c>
      <c r="C2075">
        <v>4</v>
      </c>
      <c r="D2075" s="9">
        <v>4200</v>
      </c>
      <c r="E2075" s="9">
        <f>+Tablo3[[#This Row],[Birim Fiyat]]*Tablo3[[#This Row],[Satış Adet]]</f>
        <v>16800</v>
      </c>
      <c r="F2075" s="9">
        <v>4800</v>
      </c>
      <c r="G2075" t="s">
        <v>61</v>
      </c>
      <c r="H2075" t="s">
        <v>14</v>
      </c>
    </row>
    <row r="2076" spans="1:8" x14ac:dyDescent="0.25">
      <c r="A2076" t="s">
        <v>30</v>
      </c>
      <c r="B2076" t="s">
        <v>37</v>
      </c>
      <c r="C2076">
        <v>4</v>
      </c>
      <c r="D2076" s="9">
        <v>10590</v>
      </c>
      <c r="E2076" s="9">
        <f>+Tablo3[[#This Row],[Birim Fiyat]]*Tablo3[[#This Row],[Satış Adet]]</f>
        <v>42360</v>
      </c>
      <c r="F2076" s="9">
        <v>18360</v>
      </c>
      <c r="G2076" t="s">
        <v>61</v>
      </c>
      <c r="H2076" t="s">
        <v>39</v>
      </c>
    </row>
    <row r="2077" spans="1:8" x14ac:dyDescent="0.25">
      <c r="A2077" t="s">
        <v>67</v>
      </c>
      <c r="B2077" t="s">
        <v>51</v>
      </c>
      <c r="C2077">
        <v>3</v>
      </c>
      <c r="D2077" s="9">
        <v>1200</v>
      </c>
      <c r="E2077" s="9">
        <f>+Tablo3[[#This Row],[Birim Fiyat]]*Tablo3[[#This Row],[Satış Adet]]</f>
        <v>3600</v>
      </c>
      <c r="F2077" s="9">
        <v>1200</v>
      </c>
      <c r="G2077" t="s">
        <v>61</v>
      </c>
      <c r="H2077" t="s">
        <v>35</v>
      </c>
    </row>
    <row r="2078" spans="1:8" x14ac:dyDescent="0.25">
      <c r="A2078" t="s">
        <v>46</v>
      </c>
      <c r="B2078" t="s">
        <v>26</v>
      </c>
      <c r="C2078">
        <v>4</v>
      </c>
      <c r="D2078" s="9">
        <v>1100</v>
      </c>
      <c r="E2078" s="9">
        <f>+Tablo3[[#This Row],[Birim Fiyat]]*Tablo3[[#This Row],[Satış Adet]]</f>
        <v>4400</v>
      </c>
      <c r="F2078" s="9">
        <v>1200</v>
      </c>
      <c r="G2078" t="s">
        <v>61</v>
      </c>
      <c r="H2078" t="s">
        <v>52</v>
      </c>
    </row>
    <row r="2079" spans="1:8" x14ac:dyDescent="0.25">
      <c r="A2079" t="s">
        <v>38</v>
      </c>
      <c r="B2079" t="s">
        <v>56</v>
      </c>
      <c r="C2079">
        <v>4</v>
      </c>
      <c r="D2079" s="9">
        <v>3700</v>
      </c>
      <c r="E2079" s="9">
        <f>+Tablo3[[#This Row],[Birim Fiyat]]*Tablo3[[#This Row],[Satış Adet]]</f>
        <v>14800</v>
      </c>
      <c r="F2079" s="9">
        <v>2800</v>
      </c>
      <c r="G2079" t="s">
        <v>61</v>
      </c>
      <c r="H2079" t="s">
        <v>29</v>
      </c>
    </row>
    <row r="2080" spans="1:8" x14ac:dyDescent="0.25">
      <c r="A2080" t="s">
        <v>12</v>
      </c>
      <c r="B2080" t="s">
        <v>56</v>
      </c>
      <c r="C2080">
        <v>3</v>
      </c>
      <c r="D2080" s="9">
        <v>3700</v>
      </c>
      <c r="E2080" s="9">
        <f>+Tablo3[[#This Row],[Birim Fiyat]]*Tablo3[[#This Row],[Satış Adet]]</f>
        <v>11100</v>
      </c>
      <c r="F2080" s="9">
        <v>2100</v>
      </c>
      <c r="G2080" t="s">
        <v>61</v>
      </c>
      <c r="H2080" t="s">
        <v>44</v>
      </c>
    </row>
    <row r="2081" spans="1:8" x14ac:dyDescent="0.25">
      <c r="A2081" t="s">
        <v>30</v>
      </c>
      <c r="B2081" t="s">
        <v>26</v>
      </c>
      <c r="C2081">
        <v>2</v>
      </c>
      <c r="D2081" s="9">
        <v>1100</v>
      </c>
      <c r="E2081" s="9">
        <f>+Tablo3[[#This Row],[Birim Fiyat]]*Tablo3[[#This Row],[Satış Adet]]</f>
        <v>2200</v>
      </c>
      <c r="F2081" s="9">
        <v>600</v>
      </c>
      <c r="G2081" t="s">
        <v>61</v>
      </c>
      <c r="H2081" t="s">
        <v>11</v>
      </c>
    </row>
    <row r="2082" spans="1:8" x14ac:dyDescent="0.25">
      <c r="A2082" t="s">
        <v>67</v>
      </c>
      <c r="B2082" t="s">
        <v>56</v>
      </c>
      <c r="C2082">
        <v>4</v>
      </c>
      <c r="D2082" s="9">
        <v>3700</v>
      </c>
      <c r="E2082" s="9">
        <f>+Tablo3[[#This Row],[Birim Fiyat]]*Tablo3[[#This Row],[Satış Adet]]</f>
        <v>14800</v>
      </c>
      <c r="F2082" s="9">
        <v>2800</v>
      </c>
      <c r="G2082" t="s">
        <v>61</v>
      </c>
      <c r="H2082" t="s">
        <v>20</v>
      </c>
    </row>
    <row r="2083" spans="1:8" x14ac:dyDescent="0.25">
      <c r="A2083" t="s">
        <v>46</v>
      </c>
      <c r="B2083" t="s">
        <v>41</v>
      </c>
      <c r="C2083">
        <v>2</v>
      </c>
      <c r="D2083" s="9">
        <v>1490</v>
      </c>
      <c r="E2083" s="9">
        <f>+Tablo3[[#This Row],[Birim Fiyat]]*Tablo3[[#This Row],[Satış Adet]]</f>
        <v>2980</v>
      </c>
      <c r="F2083" s="9">
        <v>1380</v>
      </c>
      <c r="G2083" t="s">
        <v>61</v>
      </c>
      <c r="H2083" t="s">
        <v>35</v>
      </c>
    </row>
    <row r="2084" spans="1:8" x14ac:dyDescent="0.25">
      <c r="A2084" t="s">
        <v>38</v>
      </c>
      <c r="B2084" t="s">
        <v>55</v>
      </c>
      <c r="C2084">
        <v>5</v>
      </c>
      <c r="D2084" s="9">
        <v>1500</v>
      </c>
      <c r="E2084" s="9">
        <f>+Tablo3[[#This Row],[Birim Fiyat]]*Tablo3[[#This Row],[Satış Adet]]</f>
        <v>7500</v>
      </c>
      <c r="F2084" s="9">
        <v>3500</v>
      </c>
      <c r="G2084" t="s">
        <v>61</v>
      </c>
      <c r="H2084" t="s">
        <v>42</v>
      </c>
    </row>
    <row r="2085" spans="1:8" x14ac:dyDescent="0.25">
      <c r="A2085" t="s">
        <v>36</v>
      </c>
      <c r="B2085" t="s">
        <v>32</v>
      </c>
      <c r="C2085">
        <v>5</v>
      </c>
      <c r="D2085" s="9">
        <v>1090</v>
      </c>
      <c r="E2085" s="9">
        <f>+Tablo3[[#This Row],[Birim Fiyat]]*Tablo3[[#This Row],[Satış Adet]]</f>
        <v>5450</v>
      </c>
      <c r="F2085" s="9">
        <v>1450</v>
      </c>
      <c r="G2085" t="s">
        <v>61</v>
      </c>
      <c r="H2085" t="s">
        <v>17</v>
      </c>
    </row>
    <row r="2086" spans="1:8" x14ac:dyDescent="0.25">
      <c r="A2086" t="s">
        <v>46</v>
      </c>
      <c r="B2086" t="s">
        <v>31</v>
      </c>
      <c r="C2086">
        <v>4</v>
      </c>
      <c r="D2086" s="9">
        <v>1800</v>
      </c>
      <c r="E2086" s="9">
        <f>+Tablo3[[#This Row],[Birim Fiyat]]*Tablo3[[#This Row],[Satış Adet]]</f>
        <v>7200</v>
      </c>
      <c r="F2086" s="9">
        <v>4000</v>
      </c>
      <c r="G2086" t="s">
        <v>61</v>
      </c>
      <c r="H2086" t="s">
        <v>17</v>
      </c>
    </row>
    <row r="2087" spans="1:8" x14ac:dyDescent="0.25">
      <c r="A2087" t="s">
        <v>33</v>
      </c>
      <c r="B2087" t="s">
        <v>53</v>
      </c>
      <c r="C2087">
        <v>3</v>
      </c>
      <c r="D2087" s="9">
        <v>7530</v>
      </c>
      <c r="E2087" s="9">
        <f>+Tablo3[[#This Row],[Birim Fiyat]]*Tablo3[[#This Row],[Satış Adet]]</f>
        <v>22590</v>
      </c>
      <c r="F2087" s="9">
        <v>4590</v>
      </c>
      <c r="G2087" t="s">
        <v>61</v>
      </c>
      <c r="H2087" t="s">
        <v>29</v>
      </c>
    </row>
    <row r="2088" spans="1:8" x14ac:dyDescent="0.25">
      <c r="A2088" t="s">
        <v>30</v>
      </c>
      <c r="B2088" t="s">
        <v>26</v>
      </c>
      <c r="C2088">
        <v>2</v>
      </c>
      <c r="D2088" s="9">
        <v>1100</v>
      </c>
      <c r="E2088" s="9">
        <f>+Tablo3[[#This Row],[Birim Fiyat]]*Tablo3[[#This Row],[Satış Adet]]</f>
        <v>2200</v>
      </c>
      <c r="F2088" s="9">
        <v>600</v>
      </c>
      <c r="G2088" t="s">
        <v>61</v>
      </c>
      <c r="H2088" t="s">
        <v>42</v>
      </c>
    </row>
    <row r="2089" spans="1:8" x14ac:dyDescent="0.25">
      <c r="A2089" t="s">
        <v>38</v>
      </c>
      <c r="B2089" t="s">
        <v>19</v>
      </c>
      <c r="C2089">
        <v>2</v>
      </c>
      <c r="D2089" s="9">
        <v>1350</v>
      </c>
      <c r="E2089" s="9">
        <f>+Tablo3[[#This Row],[Birim Fiyat]]*Tablo3[[#This Row],[Satış Adet]]</f>
        <v>2700</v>
      </c>
      <c r="F2089" s="9">
        <v>1100</v>
      </c>
      <c r="G2089" t="s">
        <v>61</v>
      </c>
      <c r="H2089" t="s">
        <v>42</v>
      </c>
    </row>
    <row r="2090" spans="1:8" x14ac:dyDescent="0.25">
      <c r="A2090" t="s">
        <v>36</v>
      </c>
      <c r="B2090" t="s">
        <v>19</v>
      </c>
      <c r="C2090">
        <v>5</v>
      </c>
      <c r="D2090" s="9">
        <v>1350</v>
      </c>
      <c r="E2090" s="9">
        <f>+Tablo3[[#This Row],[Birim Fiyat]]*Tablo3[[#This Row],[Satış Adet]]</f>
        <v>6750</v>
      </c>
      <c r="F2090" s="9">
        <v>2750</v>
      </c>
      <c r="G2090" t="s">
        <v>61</v>
      </c>
      <c r="H2090" t="s">
        <v>35</v>
      </c>
    </row>
    <row r="2091" spans="1:8" x14ac:dyDescent="0.25">
      <c r="A2091" t="s">
        <v>33</v>
      </c>
      <c r="B2091" t="s">
        <v>32</v>
      </c>
      <c r="C2091">
        <v>4</v>
      </c>
      <c r="D2091" s="9">
        <v>1090</v>
      </c>
      <c r="E2091" s="9">
        <f>+Tablo3[[#This Row],[Birim Fiyat]]*Tablo3[[#This Row],[Satış Adet]]</f>
        <v>4360</v>
      </c>
      <c r="F2091" s="9">
        <v>1160</v>
      </c>
      <c r="G2091" t="s">
        <v>61</v>
      </c>
      <c r="H2091" t="s">
        <v>52</v>
      </c>
    </row>
    <row r="2092" spans="1:8" x14ac:dyDescent="0.25">
      <c r="A2092" t="s">
        <v>33</v>
      </c>
      <c r="B2092" t="s">
        <v>43</v>
      </c>
      <c r="C2092">
        <v>3</v>
      </c>
      <c r="D2092" s="9">
        <v>4200</v>
      </c>
      <c r="E2092" s="9">
        <f>+Tablo3[[#This Row],[Birim Fiyat]]*Tablo3[[#This Row],[Satış Adet]]</f>
        <v>12600</v>
      </c>
      <c r="F2092" s="9">
        <v>3600</v>
      </c>
      <c r="G2092" t="s">
        <v>61</v>
      </c>
      <c r="H2092" t="s">
        <v>27</v>
      </c>
    </row>
    <row r="2093" spans="1:8" x14ac:dyDescent="0.25">
      <c r="A2093" t="s">
        <v>38</v>
      </c>
      <c r="B2093" t="s">
        <v>31</v>
      </c>
      <c r="C2093">
        <v>5</v>
      </c>
      <c r="D2093" s="9">
        <v>1800</v>
      </c>
      <c r="E2093" s="9">
        <f>+Tablo3[[#This Row],[Birim Fiyat]]*Tablo3[[#This Row],[Satış Adet]]</f>
        <v>9000</v>
      </c>
      <c r="F2093" s="9">
        <v>5000</v>
      </c>
      <c r="G2093" t="s">
        <v>61</v>
      </c>
      <c r="H2093" t="s">
        <v>35</v>
      </c>
    </row>
    <row r="2094" spans="1:8" x14ac:dyDescent="0.25">
      <c r="A2094" t="s">
        <v>48</v>
      </c>
      <c r="B2094" t="s">
        <v>32</v>
      </c>
      <c r="C2094">
        <v>5</v>
      </c>
      <c r="D2094" s="9">
        <v>1090</v>
      </c>
      <c r="E2094" s="9">
        <f>+Tablo3[[#This Row],[Birim Fiyat]]*Tablo3[[#This Row],[Satış Adet]]</f>
        <v>5450</v>
      </c>
      <c r="F2094" s="9">
        <v>1450</v>
      </c>
      <c r="G2094" t="s">
        <v>61</v>
      </c>
      <c r="H2094" t="s">
        <v>42</v>
      </c>
    </row>
    <row r="2095" spans="1:8" x14ac:dyDescent="0.25">
      <c r="A2095" t="s">
        <v>8</v>
      </c>
      <c r="B2095" t="s">
        <v>23</v>
      </c>
      <c r="C2095">
        <v>3</v>
      </c>
      <c r="D2095" s="9">
        <v>7600</v>
      </c>
      <c r="E2095" s="9">
        <f>+Tablo3[[#This Row],[Birim Fiyat]]*Tablo3[[#This Row],[Satış Adet]]</f>
        <v>22800</v>
      </c>
      <c r="F2095" s="9">
        <v>4800</v>
      </c>
      <c r="G2095" t="s">
        <v>61</v>
      </c>
      <c r="H2095" t="s">
        <v>52</v>
      </c>
    </row>
    <row r="2096" spans="1:8" x14ac:dyDescent="0.25">
      <c r="A2096" t="s">
        <v>36</v>
      </c>
      <c r="B2096" t="s">
        <v>23</v>
      </c>
      <c r="C2096">
        <v>5</v>
      </c>
      <c r="D2096" s="9">
        <v>7600</v>
      </c>
      <c r="E2096" s="9">
        <f>+Tablo3[[#This Row],[Birim Fiyat]]*Tablo3[[#This Row],[Satış Adet]]</f>
        <v>38000</v>
      </c>
      <c r="F2096" s="9">
        <v>8000</v>
      </c>
      <c r="G2096" t="s">
        <v>61</v>
      </c>
      <c r="H2096" t="s">
        <v>14</v>
      </c>
    </row>
    <row r="2097" spans="1:8" x14ac:dyDescent="0.25">
      <c r="A2097" t="s">
        <v>15</v>
      </c>
      <c r="B2097" t="s">
        <v>56</v>
      </c>
      <c r="C2097">
        <v>5</v>
      </c>
      <c r="D2097" s="9">
        <v>3700</v>
      </c>
      <c r="E2097" s="9">
        <f>+Tablo3[[#This Row],[Birim Fiyat]]*Tablo3[[#This Row],[Satış Adet]]</f>
        <v>18500</v>
      </c>
      <c r="F2097" s="9">
        <v>3500</v>
      </c>
      <c r="G2097" t="s">
        <v>61</v>
      </c>
      <c r="H2097" t="s">
        <v>11</v>
      </c>
    </row>
    <row r="2098" spans="1:8" x14ac:dyDescent="0.25">
      <c r="A2098" t="s">
        <v>22</v>
      </c>
      <c r="B2098" t="s">
        <v>25</v>
      </c>
      <c r="C2098">
        <v>2</v>
      </c>
      <c r="D2098" s="9">
        <v>7250</v>
      </c>
      <c r="E2098" s="9">
        <f>+Tablo3[[#This Row],[Birim Fiyat]]*Tablo3[[#This Row],[Satış Adet]]</f>
        <v>14500</v>
      </c>
      <c r="F2098" s="9">
        <v>4500</v>
      </c>
      <c r="G2098" t="s">
        <v>61</v>
      </c>
      <c r="H2098" t="s">
        <v>27</v>
      </c>
    </row>
    <row r="2099" spans="1:8" x14ac:dyDescent="0.25">
      <c r="A2099" t="s">
        <v>12</v>
      </c>
      <c r="B2099" t="s">
        <v>23</v>
      </c>
      <c r="C2099">
        <v>5</v>
      </c>
      <c r="D2099" s="9">
        <v>7600</v>
      </c>
      <c r="E2099" s="9">
        <f>+Tablo3[[#This Row],[Birim Fiyat]]*Tablo3[[#This Row],[Satış Adet]]</f>
        <v>38000</v>
      </c>
      <c r="F2099" s="9">
        <v>8000</v>
      </c>
      <c r="G2099" t="s">
        <v>61</v>
      </c>
      <c r="H2099" t="s">
        <v>39</v>
      </c>
    </row>
    <row r="2100" spans="1:8" x14ac:dyDescent="0.25">
      <c r="A2100" t="s">
        <v>46</v>
      </c>
      <c r="B2100" t="s">
        <v>43</v>
      </c>
      <c r="C2100">
        <v>5</v>
      </c>
      <c r="D2100" s="9">
        <v>4200</v>
      </c>
      <c r="E2100" s="9">
        <f>+Tablo3[[#This Row],[Birim Fiyat]]*Tablo3[[#This Row],[Satış Adet]]</f>
        <v>21000</v>
      </c>
      <c r="F2100" s="9">
        <v>6000</v>
      </c>
      <c r="G2100" t="s">
        <v>61</v>
      </c>
      <c r="H2100" t="s">
        <v>35</v>
      </c>
    </row>
    <row r="2101" spans="1:8" x14ac:dyDescent="0.25">
      <c r="A2101" t="s">
        <v>30</v>
      </c>
      <c r="B2101" t="s">
        <v>50</v>
      </c>
      <c r="C2101">
        <v>5</v>
      </c>
      <c r="D2101" s="9">
        <v>1250</v>
      </c>
      <c r="E2101" s="9">
        <f>+Tablo3[[#This Row],[Birim Fiyat]]*Tablo3[[#This Row],[Satış Adet]]</f>
        <v>6250</v>
      </c>
      <c r="F2101" s="9">
        <v>2250</v>
      </c>
      <c r="G2101" t="s">
        <v>61</v>
      </c>
      <c r="H2101" t="s">
        <v>35</v>
      </c>
    </row>
    <row r="2102" spans="1:8" x14ac:dyDescent="0.25">
      <c r="A2102" t="s">
        <v>36</v>
      </c>
      <c r="B2102" t="s">
        <v>32</v>
      </c>
      <c r="C2102">
        <v>2</v>
      </c>
      <c r="D2102" s="9">
        <v>1090</v>
      </c>
      <c r="E2102" s="9">
        <f>+Tablo3[[#This Row],[Birim Fiyat]]*Tablo3[[#This Row],[Satış Adet]]</f>
        <v>2180</v>
      </c>
      <c r="F2102" s="9">
        <v>580</v>
      </c>
      <c r="G2102" t="s">
        <v>61</v>
      </c>
      <c r="H2102" t="s">
        <v>29</v>
      </c>
    </row>
    <row r="2103" spans="1:8" x14ac:dyDescent="0.25">
      <c r="A2103" t="s">
        <v>18</v>
      </c>
      <c r="B2103" t="s">
        <v>21</v>
      </c>
      <c r="C2103">
        <v>5</v>
      </c>
      <c r="D2103" s="9">
        <v>2180</v>
      </c>
      <c r="E2103" s="9">
        <f>+Tablo3[[#This Row],[Birim Fiyat]]*Tablo3[[#This Row],[Satış Adet]]</f>
        <v>10900</v>
      </c>
      <c r="F2103" s="9">
        <v>3400</v>
      </c>
      <c r="G2103" t="s">
        <v>61</v>
      </c>
      <c r="H2103" t="s">
        <v>39</v>
      </c>
    </row>
    <row r="2104" spans="1:8" x14ac:dyDescent="0.25">
      <c r="A2104" t="s">
        <v>48</v>
      </c>
      <c r="B2104" t="s">
        <v>56</v>
      </c>
      <c r="C2104">
        <v>5</v>
      </c>
      <c r="D2104" s="9">
        <v>3700</v>
      </c>
      <c r="E2104" s="9">
        <f>+Tablo3[[#This Row],[Birim Fiyat]]*Tablo3[[#This Row],[Satış Adet]]</f>
        <v>18500</v>
      </c>
      <c r="F2104" s="9">
        <v>3500</v>
      </c>
      <c r="G2104" t="s">
        <v>61</v>
      </c>
      <c r="H2104" t="s">
        <v>11</v>
      </c>
    </row>
    <row r="2105" spans="1:8" x14ac:dyDescent="0.25">
      <c r="A2105" t="s">
        <v>38</v>
      </c>
      <c r="B2105" t="s">
        <v>9</v>
      </c>
      <c r="C2105">
        <v>2</v>
      </c>
      <c r="D2105" s="9">
        <v>6000</v>
      </c>
      <c r="E2105" s="9">
        <f>+Tablo3[[#This Row],[Birim Fiyat]]*Tablo3[[#This Row],[Satış Adet]]</f>
        <v>12000</v>
      </c>
      <c r="F2105" s="9">
        <v>4000</v>
      </c>
      <c r="G2105" t="s">
        <v>61</v>
      </c>
      <c r="H2105" t="s">
        <v>17</v>
      </c>
    </row>
    <row r="2106" spans="1:8" x14ac:dyDescent="0.25">
      <c r="A2106" t="s">
        <v>46</v>
      </c>
      <c r="B2106" t="s">
        <v>50</v>
      </c>
      <c r="C2106">
        <v>3</v>
      </c>
      <c r="D2106" s="9">
        <v>1250</v>
      </c>
      <c r="E2106" s="9">
        <f>+Tablo3[[#This Row],[Birim Fiyat]]*Tablo3[[#This Row],[Satış Adet]]</f>
        <v>3750</v>
      </c>
      <c r="F2106" s="9">
        <v>1350</v>
      </c>
      <c r="G2106" t="s">
        <v>61</v>
      </c>
      <c r="H2106" t="s">
        <v>44</v>
      </c>
    </row>
    <row r="2107" spans="1:8" x14ac:dyDescent="0.25">
      <c r="A2107" t="s">
        <v>48</v>
      </c>
      <c r="B2107" t="s">
        <v>23</v>
      </c>
      <c r="C2107">
        <v>3</v>
      </c>
      <c r="D2107" s="9">
        <v>7600</v>
      </c>
      <c r="E2107" s="9">
        <f>+Tablo3[[#This Row],[Birim Fiyat]]*Tablo3[[#This Row],[Satış Adet]]</f>
        <v>22800</v>
      </c>
      <c r="F2107" s="9">
        <v>4800</v>
      </c>
      <c r="G2107" t="s">
        <v>61</v>
      </c>
      <c r="H2107" t="s">
        <v>24</v>
      </c>
    </row>
    <row r="2108" spans="1:8" x14ac:dyDescent="0.25">
      <c r="A2108" t="s">
        <v>8</v>
      </c>
      <c r="B2108" t="s">
        <v>13</v>
      </c>
      <c r="C2108">
        <v>5</v>
      </c>
      <c r="D2108" s="9">
        <v>1400</v>
      </c>
      <c r="E2108" s="9">
        <f>+Tablo3[[#This Row],[Birim Fiyat]]*Tablo3[[#This Row],[Satış Adet]]</f>
        <v>7000</v>
      </c>
      <c r="F2108" s="9">
        <v>3000</v>
      </c>
      <c r="G2108" t="s">
        <v>61</v>
      </c>
      <c r="H2108" t="s">
        <v>14</v>
      </c>
    </row>
    <row r="2109" spans="1:8" x14ac:dyDescent="0.25">
      <c r="A2109" t="s">
        <v>22</v>
      </c>
      <c r="B2109" t="s">
        <v>21</v>
      </c>
      <c r="C2109">
        <v>2</v>
      </c>
      <c r="D2109" s="9">
        <v>2180</v>
      </c>
      <c r="E2109" s="9">
        <f>+Tablo3[[#This Row],[Birim Fiyat]]*Tablo3[[#This Row],[Satış Adet]]</f>
        <v>4360</v>
      </c>
      <c r="F2109" s="9">
        <v>1360</v>
      </c>
      <c r="G2109" t="s">
        <v>61</v>
      </c>
      <c r="H2109" t="s">
        <v>44</v>
      </c>
    </row>
    <row r="2110" spans="1:8" x14ac:dyDescent="0.25">
      <c r="A2110" t="s">
        <v>8</v>
      </c>
      <c r="B2110" t="s">
        <v>31</v>
      </c>
      <c r="C2110">
        <v>4</v>
      </c>
      <c r="D2110" s="9">
        <v>1800</v>
      </c>
      <c r="E2110" s="9">
        <f>+Tablo3[[#This Row],[Birim Fiyat]]*Tablo3[[#This Row],[Satış Adet]]</f>
        <v>7200</v>
      </c>
      <c r="F2110" s="9">
        <v>4000</v>
      </c>
      <c r="G2110" t="s">
        <v>61</v>
      </c>
      <c r="H2110" t="s">
        <v>17</v>
      </c>
    </row>
    <row r="2111" spans="1:8" x14ac:dyDescent="0.25">
      <c r="A2111" t="s">
        <v>15</v>
      </c>
      <c r="B2111" t="s">
        <v>55</v>
      </c>
      <c r="C2111">
        <v>4</v>
      </c>
      <c r="D2111" s="9">
        <v>1500</v>
      </c>
      <c r="E2111" s="9">
        <f>+Tablo3[[#This Row],[Birim Fiyat]]*Tablo3[[#This Row],[Satış Adet]]</f>
        <v>6000</v>
      </c>
      <c r="F2111" s="9">
        <v>2800</v>
      </c>
      <c r="G2111" t="s">
        <v>61</v>
      </c>
      <c r="H2111" t="s">
        <v>44</v>
      </c>
    </row>
    <row r="2112" spans="1:8" x14ac:dyDescent="0.25">
      <c r="A2112" t="s">
        <v>30</v>
      </c>
      <c r="B2112" t="s">
        <v>16</v>
      </c>
      <c r="C2112">
        <v>2</v>
      </c>
      <c r="D2112" s="9">
        <v>8450</v>
      </c>
      <c r="E2112" s="9">
        <f>+Tablo3[[#This Row],[Birim Fiyat]]*Tablo3[[#This Row],[Satış Adet]]</f>
        <v>16900</v>
      </c>
      <c r="F2112" s="9">
        <v>4900</v>
      </c>
      <c r="G2112" t="s">
        <v>61</v>
      </c>
      <c r="H2112" t="s">
        <v>20</v>
      </c>
    </row>
    <row r="2113" spans="1:8" x14ac:dyDescent="0.25">
      <c r="A2113" t="s">
        <v>38</v>
      </c>
      <c r="B2113" t="s">
        <v>55</v>
      </c>
      <c r="C2113">
        <v>2</v>
      </c>
      <c r="D2113" s="9">
        <v>1500</v>
      </c>
      <c r="E2113" s="9">
        <f>+Tablo3[[#This Row],[Birim Fiyat]]*Tablo3[[#This Row],[Satış Adet]]</f>
        <v>3000</v>
      </c>
      <c r="F2113" s="9">
        <v>1400</v>
      </c>
      <c r="G2113" t="s">
        <v>61</v>
      </c>
      <c r="H2113" t="s">
        <v>11</v>
      </c>
    </row>
    <row r="2114" spans="1:8" x14ac:dyDescent="0.25">
      <c r="A2114" t="s">
        <v>67</v>
      </c>
      <c r="B2114" t="s">
        <v>9</v>
      </c>
      <c r="C2114">
        <v>5</v>
      </c>
      <c r="D2114" s="9">
        <v>6000</v>
      </c>
      <c r="E2114" s="9">
        <f>+Tablo3[[#This Row],[Birim Fiyat]]*Tablo3[[#This Row],[Satış Adet]]</f>
        <v>30000</v>
      </c>
      <c r="F2114" s="9">
        <v>10000</v>
      </c>
      <c r="G2114" t="s">
        <v>61</v>
      </c>
      <c r="H2114" t="s">
        <v>20</v>
      </c>
    </row>
    <row r="2115" spans="1:8" x14ac:dyDescent="0.25">
      <c r="A2115" t="s">
        <v>48</v>
      </c>
      <c r="B2115" t="s">
        <v>51</v>
      </c>
      <c r="C2115">
        <v>5</v>
      </c>
      <c r="D2115" s="9">
        <v>1200</v>
      </c>
      <c r="E2115" s="9">
        <f>+Tablo3[[#This Row],[Birim Fiyat]]*Tablo3[[#This Row],[Satış Adet]]</f>
        <v>6000</v>
      </c>
      <c r="F2115" s="9">
        <v>2000</v>
      </c>
      <c r="G2115" t="s">
        <v>61</v>
      </c>
      <c r="H2115" t="s">
        <v>20</v>
      </c>
    </row>
    <row r="2116" spans="1:8" x14ac:dyDescent="0.25">
      <c r="A2116" t="s">
        <v>8</v>
      </c>
      <c r="B2116" t="s">
        <v>43</v>
      </c>
      <c r="C2116">
        <v>3</v>
      </c>
      <c r="D2116" s="9">
        <v>4200</v>
      </c>
      <c r="E2116" s="9">
        <f>+Tablo3[[#This Row],[Birim Fiyat]]*Tablo3[[#This Row],[Satış Adet]]</f>
        <v>12600</v>
      </c>
      <c r="F2116" s="9">
        <v>3600</v>
      </c>
      <c r="G2116" t="s">
        <v>61</v>
      </c>
      <c r="H2116" t="s">
        <v>14</v>
      </c>
    </row>
    <row r="2117" spans="1:8" x14ac:dyDescent="0.25">
      <c r="A2117" t="s">
        <v>46</v>
      </c>
      <c r="B2117" t="s">
        <v>23</v>
      </c>
      <c r="C2117">
        <v>3</v>
      </c>
      <c r="D2117" s="9">
        <v>7600</v>
      </c>
      <c r="E2117" s="9">
        <f>+Tablo3[[#This Row],[Birim Fiyat]]*Tablo3[[#This Row],[Satış Adet]]</f>
        <v>22800</v>
      </c>
      <c r="F2117" s="9">
        <v>4800</v>
      </c>
      <c r="G2117" t="s">
        <v>61</v>
      </c>
      <c r="H2117" t="s">
        <v>40</v>
      </c>
    </row>
    <row r="2118" spans="1:8" x14ac:dyDescent="0.25">
      <c r="A2118" t="s">
        <v>67</v>
      </c>
      <c r="B2118" t="s">
        <v>25</v>
      </c>
      <c r="C2118">
        <v>3</v>
      </c>
      <c r="D2118" s="9">
        <v>7250</v>
      </c>
      <c r="E2118" s="9">
        <f>+Tablo3[[#This Row],[Birim Fiyat]]*Tablo3[[#This Row],[Satış Adet]]</f>
        <v>21750</v>
      </c>
      <c r="F2118" s="9">
        <v>6750</v>
      </c>
      <c r="G2118" t="s">
        <v>61</v>
      </c>
      <c r="H2118" t="s">
        <v>11</v>
      </c>
    </row>
    <row r="2119" spans="1:8" x14ac:dyDescent="0.25">
      <c r="A2119" t="s">
        <v>12</v>
      </c>
      <c r="B2119" t="s">
        <v>53</v>
      </c>
      <c r="C2119">
        <v>4</v>
      </c>
      <c r="D2119" s="9">
        <v>7530</v>
      </c>
      <c r="E2119" s="9">
        <f>+Tablo3[[#This Row],[Birim Fiyat]]*Tablo3[[#This Row],[Satış Adet]]</f>
        <v>30120</v>
      </c>
      <c r="F2119" s="9">
        <v>6120</v>
      </c>
      <c r="G2119" t="s">
        <v>61</v>
      </c>
      <c r="H2119" t="s">
        <v>42</v>
      </c>
    </row>
    <row r="2120" spans="1:8" x14ac:dyDescent="0.25">
      <c r="A2120" t="s">
        <v>15</v>
      </c>
      <c r="B2120" t="s">
        <v>25</v>
      </c>
      <c r="C2120">
        <v>4</v>
      </c>
      <c r="D2120" s="9">
        <v>7250</v>
      </c>
      <c r="E2120" s="9">
        <f>+Tablo3[[#This Row],[Birim Fiyat]]*Tablo3[[#This Row],[Satış Adet]]</f>
        <v>29000</v>
      </c>
      <c r="F2120" s="9">
        <v>9000</v>
      </c>
      <c r="G2120" t="s">
        <v>61</v>
      </c>
      <c r="H2120" t="s">
        <v>14</v>
      </c>
    </row>
    <row r="2121" spans="1:8" x14ac:dyDescent="0.25">
      <c r="A2121" t="s">
        <v>12</v>
      </c>
      <c r="B2121" t="s">
        <v>9</v>
      </c>
      <c r="C2121">
        <v>2</v>
      </c>
      <c r="D2121" s="9">
        <v>6000</v>
      </c>
      <c r="E2121" s="9">
        <f>+Tablo3[[#This Row],[Birim Fiyat]]*Tablo3[[#This Row],[Satış Adet]]</f>
        <v>12000</v>
      </c>
      <c r="F2121" s="9">
        <v>4000</v>
      </c>
      <c r="G2121" t="s">
        <v>61</v>
      </c>
      <c r="H2121" t="s">
        <v>35</v>
      </c>
    </row>
    <row r="2122" spans="1:8" x14ac:dyDescent="0.25">
      <c r="A2122" t="s">
        <v>67</v>
      </c>
      <c r="B2122" t="s">
        <v>51</v>
      </c>
      <c r="C2122">
        <v>4</v>
      </c>
      <c r="D2122" s="9">
        <v>1200</v>
      </c>
      <c r="E2122" s="9">
        <f>+Tablo3[[#This Row],[Birim Fiyat]]*Tablo3[[#This Row],[Satış Adet]]</f>
        <v>4800</v>
      </c>
      <c r="F2122" s="9">
        <v>1600</v>
      </c>
      <c r="G2122" t="s">
        <v>62</v>
      </c>
      <c r="H2122" t="s">
        <v>29</v>
      </c>
    </row>
    <row r="2123" spans="1:8" x14ac:dyDescent="0.25">
      <c r="A2123" t="s">
        <v>48</v>
      </c>
      <c r="B2123" t="s">
        <v>54</v>
      </c>
      <c r="C2123">
        <v>3</v>
      </c>
      <c r="D2123" s="9">
        <v>5300</v>
      </c>
      <c r="E2123" s="9">
        <f>+Tablo3[[#This Row],[Birim Fiyat]]*Tablo3[[#This Row],[Satış Adet]]</f>
        <v>15900</v>
      </c>
      <c r="F2123" s="9">
        <v>3900</v>
      </c>
      <c r="G2123" t="s">
        <v>62</v>
      </c>
      <c r="H2123" t="s">
        <v>35</v>
      </c>
    </row>
    <row r="2124" spans="1:8" x14ac:dyDescent="0.25">
      <c r="A2124" t="s">
        <v>36</v>
      </c>
      <c r="B2124" t="s">
        <v>16</v>
      </c>
      <c r="C2124">
        <v>3</v>
      </c>
      <c r="D2124" s="9">
        <v>8450</v>
      </c>
      <c r="E2124" s="9">
        <f>+Tablo3[[#This Row],[Birim Fiyat]]*Tablo3[[#This Row],[Satış Adet]]</f>
        <v>25350</v>
      </c>
      <c r="F2124" s="9">
        <v>7350</v>
      </c>
      <c r="G2124" t="s">
        <v>62</v>
      </c>
      <c r="H2124" t="s">
        <v>35</v>
      </c>
    </row>
    <row r="2125" spans="1:8" x14ac:dyDescent="0.25">
      <c r="A2125" t="s">
        <v>22</v>
      </c>
      <c r="B2125" t="s">
        <v>19</v>
      </c>
      <c r="C2125">
        <v>5</v>
      </c>
      <c r="D2125" s="9">
        <v>1350</v>
      </c>
      <c r="E2125" s="9">
        <f>+Tablo3[[#This Row],[Birim Fiyat]]*Tablo3[[#This Row],[Satış Adet]]</f>
        <v>6750</v>
      </c>
      <c r="F2125" s="9">
        <v>2750</v>
      </c>
      <c r="G2125" t="s">
        <v>62</v>
      </c>
      <c r="H2125" t="s">
        <v>11</v>
      </c>
    </row>
    <row r="2126" spans="1:8" x14ac:dyDescent="0.25">
      <c r="A2126" t="s">
        <v>30</v>
      </c>
      <c r="B2126" t="s">
        <v>32</v>
      </c>
      <c r="C2126">
        <v>2</v>
      </c>
      <c r="D2126" s="9">
        <v>1090</v>
      </c>
      <c r="E2126" s="9">
        <f>+Tablo3[[#This Row],[Birim Fiyat]]*Tablo3[[#This Row],[Satış Adet]]</f>
        <v>2180</v>
      </c>
      <c r="F2126" s="9">
        <v>580</v>
      </c>
      <c r="G2126" t="s">
        <v>62</v>
      </c>
      <c r="H2126" t="s">
        <v>17</v>
      </c>
    </row>
    <row r="2127" spans="1:8" x14ac:dyDescent="0.25">
      <c r="A2127" t="s">
        <v>22</v>
      </c>
      <c r="B2127" t="s">
        <v>21</v>
      </c>
      <c r="C2127">
        <v>5</v>
      </c>
      <c r="D2127" s="9">
        <v>2180</v>
      </c>
      <c r="E2127" s="9">
        <f>+Tablo3[[#This Row],[Birim Fiyat]]*Tablo3[[#This Row],[Satış Adet]]</f>
        <v>10900</v>
      </c>
      <c r="F2127" s="9">
        <v>3400</v>
      </c>
      <c r="G2127" t="s">
        <v>62</v>
      </c>
      <c r="H2127" t="s">
        <v>17</v>
      </c>
    </row>
    <row r="2128" spans="1:8" x14ac:dyDescent="0.25">
      <c r="A2128" t="s">
        <v>8</v>
      </c>
      <c r="B2128" t="s">
        <v>9</v>
      </c>
      <c r="C2128">
        <v>4</v>
      </c>
      <c r="D2128" s="9">
        <v>6000</v>
      </c>
      <c r="E2128" s="9">
        <f>+Tablo3[[#This Row],[Birim Fiyat]]*Tablo3[[#This Row],[Satış Adet]]</f>
        <v>24000</v>
      </c>
      <c r="F2128" s="9">
        <v>8000</v>
      </c>
      <c r="G2128" t="s">
        <v>62</v>
      </c>
      <c r="H2128" t="s">
        <v>24</v>
      </c>
    </row>
    <row r="2129" spans="1:8" x14ac:dyDescent="0.25">
      <c r="A2129" t="s">
        <v>12</v>
      </c>
      <c r="B2129" t="s">
        <v>13</v>
      </c>
      <c r="C2129">
        <v>5</v>
      </c>
      <c r="D2129" s="9">
        <v>1400</v>
      </c>
      <c r="E2129" s="9">
        <f>+Tablo3[[#This Row],[Birim Fiyat]]*Tablo3[[#This Row],[Satış Adet]]</f>
        <v>7000</v>
      </c>
      <c r="F2129" s="9">
        <v>3000</v>
      </c>
      <c r="G2129" t="s">
        <v>62</v>
      </c>
      <c r="H2129" t="s">
        <v>52</v>
      </c>
    </row>
    <row r="2130" spans="1:8" x14ac:dyDescent="0.25">
      <c r="A2130" t="s">
        <v>15</v>
      </c>
      <c r="B2130" t="s">
        <v>16</v>
      </c>
      <c r="C2130">
        <v>2</v>
      </c>
      <c r="D2130" s="9">
        <v>8450</v>
      </c>
      <c r="E2130" s="9">
        <f>+Tablo3[[#This Row],[Birim Fiyat]]*Tablo3[[#This Row],[Satış Adet]]</f>
        <v>16900</v>
      </c>
      <c r="F2130" s="9">
        <v>4900</v>
      </c>
      <c r="G2130" t="s">
        <v>62</v>
      </c>
      <c r="H2130" t="s">
        <v>44</v>
      </c>
    </row>
    <row r="2131" spans="1:8" x14ac:dyDescent="0.25">
      <c r="A2131" t="s">
        <v>18</v>
      </c>
      <c r="B2131" t="s">
        <v>19</v>
      </c>
      <c r="C2131">
        <v>2</v>
      </c>
      <c r="D2131" s="9">
        <v>1350</v>
      </c>
      <c r="E2131" s="9">
        <f>+Tablo3[[#This Row],[Birim Fiyat]]*Tablo3[[#This Row],[Satış Adet]]</f>
        <v>2700</v>
      </c>
      <c r="F2131" s="9">
        <v>1100</v>
      </c>
      <c r="G2131" t="s">
        <v>62</v>
      </c>
      <c r="H2131" t="s">
        <v>44</v>
      </c>
    </row>
    <row r="2132" spans="1:8" x14ac:dyDescent="0.25">
      <c r="A2132" t="s">
        <v>8</v>
      </c>
      <c r="B2132" t="s">
        <v>21</v>
      </c>
      <c r="C2132">
        <v>5</v>
      </c>
      <c r="D2132" s="9">
        <v>2180</v>
      </c>
      <c r="E2132" s="9">
        <f>+Tablo3[[#This Row],[Birim Fiyat]]*Tablo3[[#This Row],[Satış Adet]]</f>
        <v>10900</v>
      </c>
      <c r="F2132" s="9">
        <v>3400</v>
      </c>
      <c r="G2132" t="s">
        <v>62</v>
      </c>
      <c r="H2132" t="s">
        <v>24</v>
      </c>
    </row>
    <row r="2133" spans="1:8" x14ac:dyDescent="0.25">
      <c r="A2133" t="s">
        <v>22</v>
      </c>
      <c r="B2133" t="s">
        <v>23</v>
      </c>
      <c r="C2133">
        <v>3</v>
      </c>
      <c r="D2133" s="9">
        <v>7600</v>
      </c>
      <c r="E2133" s="9">
        <f>+Tablo3[[#This Row],[Birim Fiyat]]*Tablo3[[#This Row],[Satış Adet]]</f>
        <v>22800</v>
      </c>
      <c r="F2133" s="9">
        <v>4800</v>
      </c>
      <c r="G2133" t="s">
        <v>62</v>
      </c>
      <c r="H2133" t="s">
        <v>29</v>
      </c>
    </row>
    <row r="2134" spans="1:8" x14ac:dyDescent="0.25">
      <c r="A2134" t="s">
        <v>12</v>
      </c>
      <c r="B2134" t="s">
        <v>25</v>
      </c>
      <c r="C2134">
        <v>2</v>
      </c>
      <c r="D2134" s="9">
        <v>7250</v>
      </c>
      <c r="E2134" s="9">
        <f>+Tablo3[[#This Row],[Birim Fiyat]]*Tablo3[[#This Row],[Satış Adet]]</f>
        <v>14500</v>
      </c>
      <c r="F2134" s="9">
        <v>4500</v>
      </c>
      <c r="G2134" t="s">
        <v>62</v>
      </c>
      <c r="H2134" t="s">
        <v>39</v>
      </c>
    </row>
    <row r="2135" spans="1:8" x14ac:dyDescent="0.25">
      <c r="A2135" t="s">
        <v>18</v>
      </c>
      <c r="B2135" t="s">
        <v>26</v>
      </c>
      <c r="C2135">
        <v>2</v>
      </c>
      <c r="D2135" s="9">
        <v>1100</v>
      </c>
      <c r="E2135" s="9">
        <f>+Tablo3[[#This Row],[Birim Fiyat]]*Tablo3[[#This Row],[Satış Adet]]</f>
        <v>2200</v>
      </c>
      <c r="F2135" s="9">
        <v>600</v>
      </c>
      <c r="G2135" t="s">
        <v>62</v>
      </c>
      <c r="H2135" t="s">
        <v>39</v>
      </c>
    </row>
    <row r="2136" spans="1:8" x14ac:dyDescent="0.25">
      <c r="A2136" t="s">
        <v>67</v>
      </c>
      <c r="B2136" t="s">
        <v>9</v>
      </c>
      <c r="C2136">
        <v>4</v>
      </c>
      <c r="D2136" s="9">
        <v>6000</v>
      </c>
      <c r="E2136" s="9">
        <f>+Tablo3[[#This Row],[Birim Fiyat]]*Tablo3[[#This Row],[Satış Adet]]</f>
        <v>24000</v>
      </c>
      <c r="F2136" s="9">
        <v>8000</v>
      </c>
      <c r="G2136" t="s">
        <v>62</v>
      </c>
      <c r="H2136" t="s">
        <v>35</v>
      </c>
    </row>
    <row r="2137" spans="1:8" x14ac:dyDescent="0.25">
      <c r="A2137" t="s">
        <v>8</v>
      </c>
      <c r="B2137" t="s">
        <v>28</v>
      </c>
      <c r="C2137">
        <v>3</v>
      </c>
      <c r="D2137" s="9">
        <v>1200</v>
      </c>
      <c r="E2137" s="9">
        <f>+Tablo3[[#This Row],[Birim Fiyat]]*Tablo3[[#This Row],[Satış Adet]]</f>
        <v>3600</v>
      </c>
      <c r="F2137" s="9">
        <v>1200</v>
      </c>
      <c r="G2137" t="s">
        <v>62</v>
      </c>
      <c r="H2137" t="s">
        <v>29</v>
      </c>
    </row>
    <row r="2138" spans="1:8" x14ac:dyDescent="0.25">
      <c r="A2138" t="s">
        <v>30</v>
      </c>
      <c r="B2138" t="s">
        <v>31</v>
      </c>
      <c r="C2138">
        <v>3</v>
      </c>
      <c r="D2138" s="9">
        <v>1800</v>
      </c>
      <c r="E2138" s="9">
        <f>+Tablo3[[#This Row],[Birim Fiyat]]*Tablo3[[#This Row],[Satış Adet]]</f>
        <v>5400</v>
      </c>
      <c r="F2138" s="9">
        <v>3000</v>
      </c>
      <c r="G2138" t="s">
        <v>62</v>
      </c>
      <c r="H2138" t="s">
        <v>14</v>
      </c>
    </row>
    <row r="2139" spans="1:8" x14ac:dyDescent="0.25">
      <c r="A2139" t="s">
        <v>30</v>
      </c>
      <c r="B2139" t="s">
        <v>32</v>
      </c>
      <c r="C2139">
        <v>5</v>
      </c>
      <c r="D2139" s="9">
        <v>1090</v>
      </c>
      <c r="E2139" s="9">
        <f>+Tablo3[[#This Row],[Birim Fiyat]]*Tablo3[[#This Row],[Satış Adet]]</f>
        <v>5450</v>
      </c>
      <c r="F2139" s="9">
        <v>1450</v>
      </c>
      <c r="G2139" t="s">
        <v>62</v>
      </c>
      <c r="H2139" t="s">
        <v>39</v>
      </c>
    </row>
    <row r="2140" spans="1:8" x14ac:dyDescent="0.25">
      <c r="A2140" t="s">
        <v>67</v>
      </c>
      <c r="B2140" t="s">
        <v>21</v>
      </c>
      <c r="C2140">
        <v>4</v>
      </c>
      <c r="D2140" s="9">
        <v>2180</v>
      </c>
      <c r="E2140" s="9">
        <f>+Tablo3[[#This Row],[Birim Fiyat]]*Tablo3[[#This Row],[Satış Adet]]</f>
        <v>8720</v>
      </c>
      <c r="F2140" s="9">
        <v>2720</v>
      </c>
      <c r="G2140" t="s">
        <v>62</v>
      </c>
      <c r="H2140" t="s">
        <v>40</v>
      </c>
    </row>
    <row r="2141" spans="1:8" x14ac:dyDescent="0.25">
      <c r="A2141" t="s">
        <v>33</v>
      </c>
      <c r="B2141" t="s">
        <v>31</v>
      </c>
      <c r="C2141">
        <v>5</v>
      </c>
      <c r="D2141" s="9">
        <v>1800</v>
      </c>
      <c r="E2141" s="9">
        <f>+Tablo3[[#This Row],[Birim Fiyat]]*Tablo3[[#This Row],[Satış Adet]]</f>
        <v>9000</v>
      </c>
      <c r="F2141" s="9">
        <v>5000</v>
      </c>
      <c r="G2141" t="s">
        <v>62</v>
      </c>
      <c r="H2141" t="s">
        <v>39</v>
      </c>
    </row>
    <row r="2142" spans="1:8" x14ac:dyDescent="0.25">
      <c r="A2142" t="s">
        <v>22</v>
      </c>
      <c r="B2142" t="s">
        <v>34</v>
      </c>
      <c r="C2142">
        <v>3</v>
      </c>
      <c r="D2142" s="9">
        <v>8000</v>
      </c>
      <c r="E2142" s="9">
        <f>+Tablo3[[#This Row],[Birim Fiyat]]*Tablo3[[#This Row],[Satış Adet]]</f>
        <v>24000</v>
      </c>
      <c r="F2142" s="9">
        <v>6000</v>
      </c>
      <c r="G2142" t="s">
        <v>62</v>
      </c>
      <c r="H2142" t="s">
        <v>39</v>
      </c>
    </row>
    <row r="2143" spans="1:8" x14ac:dyDescent="0.25">
      <c r="A2143" t="s">
        <v>67</v>
      </c>
      <c r="B2143" t="s">
        <v>13</v>
      </c>
      <c r="C2143">
        <v>4</v>
      </c>
      <c r="D2143" s="9">
        <v>1400</v>
      </c>
      <c r="E2143" s="9">
        <f>+Tablo3[[#This Row],[Birim Fiyat]]*Tablo3[[#This Row],[Satış Adet]]</f>
        <v>5600</v>
      </c>
      <c r="F2143" s="9">
        <v>2400</v>
      </c>
      <c r="G2143" t="s">
        <v>62</v>
      </c>
      <c r="H2143" t="s">
        <v>42</v>
      </c>
    </row>
    <row r="2144" spans="1:8" x14ac:dyDescent="0.25">
      <c r="A2144" t="s">
        <v>36</v>
      </c>
      <c r="B2144" t="s">
        <v>37</v>
      </c>
      <c r="C2144">
        <v>2</v>
      </c>
      <c r="D2144" s="9">
        <v>10590</v>
      </c>
      <c r="E2144" s="9">
        <f>+Tablo3[[#This Row],[Birim Fiyat]]*Tablo3[[#This Row],[Satış Adet]]</f>
        <v>21180</v>
      </c>
      <c r="F2144" s="9">
        <v>9180</v>
      </c>
      <c r="G2144" t="s">
        <v>62</v>
      </c>
      <c r="H2144" t="s">
        <v>39</v>
      </c>
    </row>
    <row r="2145" spans="1:8" x14ac:dyDescent="0.25">
      <c r="A2145" t="s">
        <v>38</v>
      </c>
      <c r="B2145" t="s">
        <v>19</v>
      </c>
      <c r="C2145">
        <v>3</v>
      </c>
      <c r="D2145" s="9">
        <v>1350</v>
      </c>
      <c r="E2145" s="9">
        <f>+Tablo3[[#This Row],[Birim Fiyat]]*Tablo3[[#This Row],[Satış Adet]]</f>
        <v>4050</v>
      </c>
      <c r="F2145" s="9">
        <v>1650</v>
      </c>
      <c r="G2145" t="s">
        <v>62</v>
      </c>
      <c r="H2145" t="s">
        <v>44</v>
      </c>
    </row>
    <row r="2146" spans="1:8" x14ac:dyDescent="0.25">
      <c r="A2146" t="s">
        <v>30</v>
      </c>
      <c r="B2146" t="s">
        <v>13</v>
      </c>
      <c r="C2146">
        <v>3</v>
      </c>
      <c r="D2146" s="9">
        <v>1400</v>
      </c>
      <c r="E2146" s="9">
        <f>+Tablo3[[#This Row],[Birim Fiyat]]*Tablo3[[#This Row],[Satış Adet]]</f>
        <v>4200</v>
      </c>
      <c r="F2146" s="9">
        <v>1800</v>
      </c>
      <c r="G2146" t="s">
        <v>62</v>
      </c>
      <c r="H2146" t="s">
        <v>40</v>
      </c>
    </row>
    <row r="2147" spans="1:8" x14ac:dyDescent="0.25">
      <c r="A2147" t="s">
        <v>18</v>
      </c>
      <c r="B2147" t="s">
        <v>9</v>
      </c>
      <c r="C2147">
        <v>4</v>
      </c>
      <c r="D2147" s="9">
        <v>6000</v>
      </c>
      <c r="E2147" s="9">
        <f>+Tablo3[[#This Row],[Birim Fiyat]]*Tablo3[[#This Row],[Satış Adet]]</f>
        <v>24000</v>
      </c>
      <c r="F2147" s="9">
        <v>8000</v>
      </c>
      <c r="G2147" t="s">
        <v>62</v>
      </c>
      <c r="H2147" t="s">
        <v>24</v>
      </c>
    </row>
    <row r="2148" spans="1:8" x14ac:dyDescent="0.25">
      <c r="A2148" t="s">
        <v>36</v>
      </c>
      <c r="B2148" t="s">
        <v>26</v>
      </c>
      <c r="C2148">
        <v>3</v>
      </c>
      <c r="D2148" s="9">
        <v>1100</v>
      </c>
      <c r="E2148" s="9">
        <f>+Tablo3[[#This Row],[Birim Fiyat]]*Tablo3[[#This Row],[Satış Adet]]</f>
        <v>3300</v>
      </c>
      <c r="F2148" s="9">
        <v>900</v>
      </c>
      <c r="G2148" t="s">
        <v>62</v>
      </c>
      <c r="H2148" t="s">
        <v>27</v>
      </c>
    </row>
    <row r="2149" spans="1:8" x14ac:dyDescent="0.25">
      <c r="A2149" t="s">
        <v>15</v>
      </c>
      <c r="B2149" t="s">
        <v>9</v>
      </c>
      <c r="C2149">
        <v>3</v>
      </c>
      <c r="D2149" s="9">
        <v>6000</v>
      </c>
      <c r="E2149" s="9">
        <f>+Tablo3[[#This Row],[Birim Fiyat]]*Tablo3[[#This Row],[Satış Adet]]</f>
        <v>18000</v>
      </c>
      <c r="F2149" s="9">
        <v>6000</v>
      </c>
      <c r="G2149" t="s">
        <v>62</v>
      </c>
      <c r="H2149" t="s">
        <v>40</v>
      </c>
    </row>
    <row r="2150" spans="1:8" x14ac:dyDescent="0.25">
      <c r="A2150" t="s">
        <v>38</v>
      </c>
      <c r="B2150" t="s">
        <v>41</v>
      </c>
      <c r="C2150">
        <v>2</v>
      </c>
      <c r="D2150" s="9">
        <v>1490</v>
      </c>
      <c r="E2150" s="9">
        <f>+Tablo3[[#This Row],[Birim Fiyat]]*Tablo3[[#This Row],[Satış Adet]]</f>
        <v>2980</v>
      </c>
      <c r="F2150" s="9">
        <v>1380</v>
      </c>
      <c r="G2150" t="s">
        <v>62</v>
      </c>
      <c r="H2150" t="s">
        <v>29</v>
      </c>
    </row>
    <row r="2151" spans="1:8" x14ac:dyDescent="0.25">
      <c r="A2151" t="s">
        <v>36</v>
      </c>
      <c r="B2151" t="s">
        <v>37</v>
      </c>
      <c r="C2151">
        <v>4</v>
      </c>
      <c r="D2151" s="9">
        <v>10590</v>
      </c>
      <c r="E2151" s="9">
        <f>+Tablo3[[#This Row],[Birim Fiyat]]*Tablo3[[#This Row],[Satış Adet]]</f>
        <v>42360</v>
      </c>
      <c r="F2151" s="9">
        <v>18360</v>
      </c>
      <c r="G2151" t="s">
        <v>62</v>
      </c>
      <c r="H2151" t="s">
        <v>44</v>
      </c>
    </row>
    <row r="2152" spans="1:8" x14ac:dyDescent="0.25">
      <c r="A2152" t="s">
        <v>15</v>
      </c>
      <c r="B2152" t="s">
        <v>34</v>
      </c>
      <c r="C2152">
        <v>3</v>
      </c>
      <c r="D2152" s="9">
        <v>8000</v>
      </c>
      <c r="E2152" s="9">
        <f>+Tablo3[[#This Row],[Birim Fiyat]]*Tablo3[[#This Row],[Satış Adet]]</f>
        <v>24000</v>
      </c>
      <c r="F2152" s="9">
        <v>6000</v>
      </c>
      <c r="G2152" t="s">
        <v>62</v>
      </c>
      <c r="H2152" t="s">
        <v>11</v>
      </c>
    </row>
    <row r="2153" spans="1:8" x14ac:dyDescent="0.25">
      <c r="A2153" t="s">
        <v>30</v>
      </c>
      <c r="B2153" t="s">
        <v>26</v>
      </c>
      <c r="C2153">
        <v>5</v>
      </c>
      <c r="D2153" s="9">
        <v>1100</v>
      </c>
      <c r="E2153" s="9">
        <f>+Tablo3[[#This Row],[Birim Fiyat]]*Tablo3[[#This Row],[Satış Adet]]</f>
        <v>5500</v>
      </c>
      <c r="F2153" s="9">
        <v>1500</v>
      </c>
      <c r="G2153" t="s">
        <v>62</v>
      </c>
      <c r="H2153" t="s">
        <v>29</v>
      </c>
    </row>
    <row r="2154" spans="1:8" x14ac:dyDescent="0.25">
      <c r="A2154" t="s">
        <v>38</v>
      </c>
      <c r="B2154" t="s">
        <v>28</v>
      </c>
      <c r="C2154">
        <v>5</v>
      </c>
      <c r="D2154" s="9">
        <v>1200</v>
      </c>
      <c r="E2154" s="9">
        <f>+Tablo3[[#This Row],[Birim Fiyat]]*Tablo3[[#This Row],[Satış Adet]]</f>
        <v>6000</v>
      </c>
      <c r="F2154" s="9">
        <v>2000</v>
      </c>
      <c r="G2154" t="s">
        <v>62</v>
      </c>
      <c r="H2154" t="s">
        <v>29</v>
      </c>
    </row>
    <row r="2155" spans="1:8" x14ac:dyDescent="0.25">
      <c r="A2155" t="s">
        <v>22</v>
      </c>
      <c r="B2155" t="s">
        <v>43</v>
      </c>
      <c r="C2155">
        <v>2</v>
      </c>
      <c r="D2155" s="9">
        <v>4200</v>
      </c>
      <c r="E2155" s="9">
        <f>+Tablo3[[#This Row],[Birim Fiyat]]*Tablo3[[#This Row],[Satış Adet]]</f>
        <v>8400</v>
      </c>
      <c r="F2155" s="9">
        <v>2400</v>
      </c>
      <c r="G2155" t="s">
        <v>62</v>
      </c>
      <c r="H2155" t="s">
        <v>11</v>
      </c>
    </row>
    <row r="2156" spans="1:8" x14ac:dyDescent="0.25">
      <c r="A2156" t="s">
        <v>12</v>
      </c>
      <c r="B2156" t="s">
        <v>45</v>
      </c>
      <c r="C2156">
        <v>5</v>
      </c>
      <c r="D2156" s="9">
        <v>5775</v>
      </c>
      <c r="E2156" s="9">
        <f>+Tablo3[[#This Row],[Birim Fiyat]]*Tablo3[[#This Row],[Satış Adet]]</f>
        <v>28875</v>
      </c>
      <c r="F2156" s="9">
        <v>8875</v>
      </c>
      <c r="G2156" t="s">
        <v>62</v>
      </c>
      <c r="H2156" t="s">
        <v>24</v>
      </c>
    </row>
    <row r="2157" spans="1:8" x14ac:dyDescent="0.25">
      <c r="A2157" t="s">
        <v>46</v>
      </c>
      <c r="B2157" t="s">
        <v>23</v>
      </c>
      <c r="C2157">
        <v>2</v>
      </c>
      <c r="D2157" s="9">
        <v>7600</v>
      </c>
      <c r="E2157" s="9">
        <f>+Tablo3[[#This Row],[Birim Fiyat]]*Tablo3[[#This Row],[Satış Adet]]</f>
        <v>15200</v>
      </c>
      <c r="F2157" s="9">
        <v>3200</v>
      </c>
      <c r="G2157" t="s">
        <v>62</v>
      </c>
      <c r="H2157" t="s">
        <v>44</v>
      </c>
    </row>
    <row r="2158" spans="1:8" x14ac:dyDescent="0.25">
      <c r="A2158" t="s">
        <v>12</v>
      </c>
      <c r="B2158" t="s">
        <v>25</v>
      </c>
      <c r="C2158">
        <v>5</v>
      </c>
      <c r="D2158" s="9">
        <v>7250</v>
      </c>
      <c r="E2158" s="9">
        <f>+Tablo3[[#This Row],[Birim Fiyat]]*Tablo3[[#This Row],[Satış Adet]]</f>
        <v>36250</v>
      </c>
      <c r="F2158" s="9">
        <v>11250</v>
      </c>
      <c r="G2158" t="s">
        <v>62</v>
      </c>
      <c r="H2158" t="s">
        <v>17</v>
      </c>
    </row>
    <row r="2159" spans="1:8" x14ac:dyDescent="0.25">
      <c r="A2159" t="s">
        <v>8</v>
      </c>
      <c r="B2159" t="s">
        <v>25</v>
      </c>
      <c r="C2159">
        <v>3</v>
      </c>
      <c r="D2159" s="9">
        <v>7250</v>
      </c>
      <c r="E2159" s="9">
        <f>+Tablo3[[#This Row],[Birim Fiyat]]*Tablo3[[#This Row],[Satış Adet]]</f>
        <v>21750</v>
      </c>
      <c r="F2159" s="9">
        <v>6750</v>
      </c>
      <c r="G2159" t="s">
        <v>62</v>
      </c>
      <c r="H2159" t="s">
        <v>17</v>
      </c>
    </row>
    <row r="2160" spans="1:8" x14ac:dyDescent="0.25">
      <c r="A2160" t="s">
        <v>36</v>
      </c>
      <c r="B2160" t="s">
        <v>25</v>
      </c>
      <c r="C2160">
        <v>3</v>
      </c>
      <c r="D2160" s="9">
        <v>7250</v>
      </c>
      <c r="E2160" s="9">
        <f>+Tablo3[[#This Row],[Birim Fiyat]]*Tablo3[[#This Row],[Satış Adet]]</f>
        <v>21750</v>
      </c>
      <c r="F2160" s="9">
        <v>6750</v>
      </c>
      <c r="G2160" t="s">
        <v>62</v>
      </c>
      <c r="H2160" t="s">
        <v>17</v>
      </c>
    </row>
    <row r="2161" spans="1:8" x14ac:dyDescent="0.25">
      <c r="A2161" t="s">
        <v>67</v>
      </c>
      <c r="B2161" t="s">
        <v>19</v>
      </c>
      <c r="C2161">
        <v>2</v>
      </c>
      <c r="D2161" s="9">
        <v>1350</v>
      </c>
      <c r="E2161" s="9">
        <f>+Tablo3[[#This Row],[Birim Fiyat]]*Tablo3[[#This Row],[Satış Adet]]</f>
        <v>2700</v>
      </c>
      <c r="F2161" s="9">
        <v>1100</v>
      </c>
      <c r="G2161" t="s">
        <v>62</v>
      </c>
      <c r="H2161" t="s">
        <v>35</v>
      </c>
    </row>
    <row r="2162" spans="1:8" x14ac:dyDescent="0.25">
      <c r="A2162" t="s">
        <v>12</v>
      </c>
      <c r="B2162" t="s">
        <v>25</v>
      </c>
      <c r="C2162">
        <v>3</v>
      </c>
      <c r="D2162" s="9">
        <v>7250</v>
      </c>
      <c r="E2162" s="9">
        <f>+Tablo3[[#This Row],[Birim Fiyat]]*Tablo3[[#This Row],[Satış Adet]]</f>
        <v>21750</v>
      </c>
      <c r="F2162" s="9">
        <v>6750</v>
      </c>
      <c r="G2162" t="s">
        <v>62</v>
      </c>
      <c r="H2162" t="s">
        <v>14</v>
      </c>
    </row>
    <row r="2163" spans="1:8" x14ac:dyDescent="0.25">
      <c r="A2163" t="s">
        <v>30</v>
      </c>
      <c r="B2163" t="s">
        <v>23</v>
      </c>
      <c r="C2163">
        <v>4</v>
      </c>
      <c r="D2163" s="9">
        <v>7600</v>
      </c>
      <c r="E2163" s="9">
        <f>+Tablo3[[#This Row],[Birim Fiyat]]*Tablo3[[#This Row],[Satış Adet]]</f>
        <v>30400</v>
      </c>
      <c r="F2163" s="9">
        <v>6400</v>
      </c>
      <c r="G2163" t="s">
        <v>62</v>
      </c>
      <c r="H2163" t="s">
        <v>39</v>
      </c>
    </row>
    <row r="2164" spans="1:8" x14ac:dyDescent="0.25">
      <c r="A2164" t="s">
        <v>48</v>
      </c>
      <c r="B2164" t="s">
        <v>23</v>
      </c>
      <c r="C2164">
        <v>5</v>
      </c>
      <c r="D2164" s="9">
        <v>7600</v>
      </c>
      <c r="E2164" s="9">
        <f>+Tablo3[[#This Row],[Birim Fiyat]]*Tablo3[[#This Row],[Satış Adet]]</f>
        <v>38000</v>
      </c>
      <c r="F2164" s="9">
        <v>8000</v>
      </c>
      <c r="G2164" t="s">
        <v>62</v>
      </c>
      <c r="H2164" t="s">
        <v>29</v>
      </c>
    </row>
    <row r="2165" spans="1:8" x14ac:dyDescent="0.25">
      <c r="A2165" t="s">
        <v>12</v>
      </c>
      <c r="B2165" t="s">
        <v>41</v>
      </c>
      <c r="C2165">
        <v>5</v>
      </c>
      <c r="D2165" s="9">
        <v>1490</v>
      </c>
      <c r="E2165" s="9">
        <f>+Tablo3[[#This Row],[Birim Fiyat]]*Tablo3[[#This Row],[Satış Adet]]</f>
        <v>7450</v>
      </c>
      <c r="F2165" s="9">
        <v>3450</v>
      </c>
      <c r="G2165" t="s">
        <v>62</v>
      </c>
      <c r="H2165" t="s">
        <v>14</v>
      </c>
    </row>
    <row r="2166" spans="1:8" x14ac:dyDescent="0.25">
      <c r="A2166" t="s">
        <v>67</v>
      </c>
      <c r="B2166" t="s">
        <v>49</v>
      </c>
      <c r="C2166">
        <v>5</v>
      </c>
      <c r="D2166" s="9">
        <v>2900</v>
      </c>
      <c r="E2166" s="9">
        <f>+Tablo3[[#This Row],[Birim Fiyat]]*Tablo3[[#This Row],[Satış Adet]]</f>
        <v>14500</v>
      </c>
      <c r="F2166" s="9">
        <v>4500</v>
      </c>
      <c r="G2166" t="s">
        <v>62</v>
      </c>
      <c r="H2166" t="s">
        <v>24</v>
      </c>
    </row>
    <row r="2167" spans="1:8" x14ac:dyDescent="0.25">
      <c r="A2167" t="s">
        <v>38</v>
      </c>
      <c r="B2167" t="s">
        <v>41</v>
      </c>
      <c r="C2167">
        <v>3</v>
      </c>
      <c r="D2167" s="9">
        <v>1490</v>
      </c>
      <c r="E2167" s="9">
        <f>+Tablo3[[#This Row],[Birim Fiyat]]*Tablo3[[#This Row],[Satış Adet]]</f>
        <v>4470</v>
      </c>
      <c r="F2167" s="9">
        <v>2070</v>
      </c>
      <c r="G2167" t="s">
        <v>62</v>
      </c>
      <c r="H2167" t="s">
        <v>17</v>
      </c>
    </row>
    <row r="2168" spans="1:8" x14ac:dyDescent="0.25">
      <c r="A2168" t="s">
        <v>38</v>
      </c>
      <c r="B2168" t="s">
        <v>32</v>
      </c>
      <c r="C2168">
        <v>5</v>
      </c>
      <c r="D2168" s="9">
        <v>1090</v>
      </c>
      <c r="E2168" s="9">
        <f>+Tablo3[[#This Row],[Birim Fiyat]]*Tablo3[[#This Row],[Satış Adet]]</f>
        <v>5450</v>
      </c>
      <c r="F2168" s="9">
        <v>1450</v>
      </c>
      <c r="G2168" t="s">
        <v>62</v>
      </c>
      <c r="H2168" t="s">
        <v>24</v>
      </c>
    </row>
    <row r="2169" spans="1:8" x14ac:dyDescent="0.25">
      <c r="A2169" t="s">
        <v>67</v>
      </c>
      <c r="B2169" t="s">
        <v>28</v>
      </c>
      <c r="C2169">
        <v>3</v>
      </c>
      <c r="D2169" s="9">
        <v>1200</v>
      </c>
      <c r="E2169" s="9">
        <f>+Tablo3[[#This Row],[Birim Fiyat]]*Tablo3[[#This Row],[Satış Adet]]</f>
        <v>3600</v>
      </c>
      <c r="F2169" s="9">
        <v>1200</v>
      </c>
      <c r="G2169" t="s">
        <v>62</v>
      </c>
      <c r="H2169" t="s">
        <v>11</v>
      </c>
    </row>
    <row r="2170" spans="1:8" x14ac:dyDescent="0.25">
      <c r="A2170" t="s">
        <v>36</v>
      </c>
      <c r="B2170" t="s">
        <v>37</v>
      </c>
      <c r="C2170">
        <v>5</v>
      </c>
      <c r="D2170" s="9">
        <v>10590</v>
      </c>
      <c r="E2170" s="9">
        <f>+Tablo3[[#This Row],[Birim Fiyat]]*Tablo3[[#This Row],[Satış Adet]]</f>
        <v>52950</v>
      </c>
      <c r="F2170" s="9">
        <v>22950</v>
      </c>
      <c r="G2170" t="s">
        <v>62</v>
      </c>
      <c r="H2170" t="s">
        <v>29</v>
      </c>
    </row>
    <row r="2171" spans="1:8" x14ac:dyDescent="0.25">
      <c r="A2171" t="s">
        <v>30</v>
      </c>
      <c r="B2171" t="s">
        <v>43</v>
      </c>
      <c r="C2171">
        <v>4</v>
      </c>
      <c r="D2171" s="9">
        <v>4200</v>
      </c>
      <c r="E2171" s="9">
        <f>+Tablo3[[#This Row],[Birim Fiyat]]*Tablo3[[#This Row],[Satış Adet]]</f>
        <v>16800</v>
      </c>
      <c r="F2171" s="9">
        <v>4800</v>
      </c>
      <c r="G2171" t="s">
        <v>62</v>
      </c>
      <c r="H2171" t="s">
        <v>20</v>
      </c>
    </row>
    <row r="2172" spans="1:8" x14ac:dyDescent="0.25">
      <c r="A2172" t="s">
        <v>18</v>
      </c>
      <c r="B2172" t="s">
        <v>43</v>
      </c>
      <c r="C2172">
        <v>2</v>
      </c>
      <c r="D2172" s="9">
        <v>4200</v>
      </c>
      <c r="E2172" s="9">
        <f>+Tablo3[[#This Row],[Birim Fiyat]]*Tablo3[[#This Row],[Satış Adet]]</f>
        <v>8400</v>
      </c>
      <c r="F2172" s="9">
        <v>2400</v>
      </c>
      <c r="G2172" t="s">
        <v>62</v>
      </c>
      <c r="H2172" t="s">
        <v>20</v>
      </c>
    </row>
    <row r="2173" spans="1:8" x14ac:dyDescent="0.25">
      <c r="A2173" t="s">
        <v>33</v>
      </c>
      <c r="B2173" t="s">
        <v>37</v>
      </c>
      <c r="C2173">
        <v>2</v>
      </c>
      <c r="D2173" s="9">
        <v>10590</v>
      </c>
      <c r="E2173" s="9">
        <f>+Tablo3[[#This Row],[Birim Fiyat]]*Tablo3[[#This Row],[Satış Adet]]</f>
        <v>21180</v>
      </c>
      <c r="F2173" s="9">
        <v>9180</v>
      </c>
      <c r="G2173" t="s">
        <v>62</v>
      </c>
      <c r="H2173" t="s">
        <v>29</v>
      </c>
    </row>
    <row r="2174" spans="1:8" x14ac:dyDescent="0.25">
      <c r="A2174" t="s">
        <v>48</v>
      </c>
      <c r="B2174" t="s">
        <v>50</v>
      </c>
      <c r="C2174">
        <v>2</v>
      </c>
      <c r="D2174" s="9">
        <v>1250</v>
      </c>
      <c r="E2174" s="9">
        <f>+Tablo3[[#This Row],[Birim Fiyat]]*Tablo3[[#This Row],[Satış Adet]]</f>
        <v>2500</v>
      </c>
      <c r="F2174" s="9">
        <v>900</v>
      </c>
      <c r="G2174" t="s">
        <v>62</v>
      </c>
      <c r="H2174" t="s">
        <v>24</v>
      </c>
    </row>
    <row r="2175" spans="1:8" x14ac:dyDescent="0.25">
      <c r="A2175" t="s">
        <v>8</v>
      </c>
      <c r="B2175" t="s">
        <v>41</v>
      </c>
      <c r="C2175">
        <v>3</v>
      </c>
      <c r="D2175" s="9">
        <v>1490</v>
      </c>
      <c r="E2175" s="9">
        <f>+Tablo3[[#This Row],[Birim Fiyat]]*Tablo3[[#This Row],[Satış Adet]]</f>
        <v>4470</v>
      </c>
      <c r="F2175" s="9">
        <v>2070</v>
      </c>
      <c r="G2175" t="s">
        <v>62</v>
      </c>
      <c r="H2175" t="s">
        <v>17</v>
      </c>
    </row>
    <row r="2176" spans="1:8" x14ac:dyDescent="0.25">
      <c r="A2176" t="s">
        <v>30</v>
      </c>
      <c r="B2176" t="s">
        <v>28</v>
      </c>
      <c r="C2176">
        <v>2</v>
      </c>
      <c r="D2176" s="9">
        <v>1200</v>
      </c>
      <c r="E2176" s="9">
        <f>+Tablo3[[#This Row],[Birim Fiyat]]*Tablo3[[#This Row],[Satış Adet]]</f>
        <v>2400</v>
      </c>
      <c r="F2176" s="9">
        <v>800</v>
      </c>
      <c r="G2176" t="s">
        <v>62</v>
      </c>
      <c r="H2176" t="s">
        <v>20</v>
      </c>
    </row>
    <row r="2177" spans="1:8" x14ac:dyDescent="0.25">
      <c r="A2177" t="s">
        <v>15</v>
      </c>
      <c r="B2177" t="s">
        <v>21</v>
      </c>
      <c r="C2177">
        <v>4</v>
      </c>
      <c r="D2177" s="9">
        <v>2180</v>
      </c>
      <c r="E2177" s="9">
        <f>+Tablo3[[#This Row],[Birim Fiyat]]*Tablo3[[#This Row],[Satış Adet]]</f>
        <v>8720</v>
      </c>
      <c r="F2177" s="9">
        <v>2720</v>
      </c>
      <c r="G2177" t="s">
        <v>62</v>
      </c>
      <c r="H2177" t="s">
        <v>29</v>
      </c>
    </row>
    <row r="2178" spans="1:8" x14ac:dyDescent="0.25">
      <c r="A2178" t="s">
        <v>38</v>
      </c>
      <c r="B2178" t="s">
        <v>51</v>
      </c>
      <c r="C2178">
        <v>3</v>
      </c>
      <c r="D2178" s="9">
        <v>1200</v>
      </c>
      <c r="E2178" s="9">
        <f>+Tablo3[[#This Row],[Birim Fiyat]]*Tablo3[[#This Row],[Satış Adet]]</f>
        <v>3600</v>
      </c>
      <c r="F2178" s="9">
        <v>1200</v>
      </c>
      <c r="G2178" t="s">
        <v>62</v>
      </c>
      <c r="H2178" t="s">
        <v>17</v>
      </c>
    </row>
    <row r="2179" spans="1:8" x14ac:dyDescent="0.25">
      <c r="A2179" t="s">
        <v>8</v>
      </c>
      <c r="B2179" t="s">
        <v>31</v>
      </c>
      <c r="C2179">
        <v>5</v>
      </c>
      <c r="D2179" s="9">
        <v>1800</v>
      </c>
      <c r="E2179" s="9">
        <f>+Tablo3[[#This Row],[Birim Fiyat]]*Tablo3[[#This Row],[Satış Adet]]</f>
        <v>9000</v>
      </c>
      <c r="F2179" s="9">
        <v>5000</v>
      </c>
      <c r="G2179" t="s">
        <v>62</v>
      </c>
      <c r="H2179" t="s">
        <v>29</v>
      </c>
    </row>
    <row r="2180" spans="1:8" x14ac:dyDescent="0.25">
      <c r="A2180" t="s">
        <v>15</v>
      </c>
      <c r="B2180" t="s">
        <v>23</v>
      </c>
      <c r="C2180">
        <v>5</v>
      </c>
      <c r="D2180" s="9">
        <v>7600</v>
      </c>
      <c r="E2180" s="9">
        <f>+Tablo3[[#This Row],[Birim Fiyat]]*Tablo3[[#This Row],[Satış Adet]]</f>
        <v>38000</v>
      </c>
      <c r="F2180" s="9">
        <v>8000</v>
      </c>
      <c r="G2180" t="s">
        <v>62</v>
      </c>
      <c r="H2180" t="s">
        <v>52</v>
      </c>
    </row>
    <row r="2181" spans="1:8" x14ac:dyDescent="0.25">
      <c r="A2181" t="s">
        <v>33</v>
      </c>
      <c r="B2181" t="s">
        <v>53</v>
      </c>
      <c r="C2181">
        <v>4</v>
      </c>
      <c r="D2181" s="9">
        <v>7530</v>
      </c>
      <c r="E2181" s="9">
        <f>+Tablo3[[#This Row],[Birim Fiyat]]*Tablo3[[#This Row],[Satış Adet]]</f>
        <v>30120</v>
      </c>
      <c r="F2181" s="9">
        <v>6120</v>
      </c>
      <c r="G2181" t="s">
        <v>62</v>
      </c>
      <c r="H2181" t="s">
        <v>27</v>
      </c>
    </row>
    <row r="2182" spans="1:8" x14ac:dyDescent="0.25">
      <c r="A2182" t="s">
        <v>48</v>
      </c>
      <c r="B2182" t="s">
        <v>41</v>
      </c>
      <c r="C2182">
        <v>5</v>
      </c>
      <c r="D2182" s="9">
        <v>1490</v>
      </c>
      <c r="E2182" s="9">
        <f>+Tablo3[[#This Row],[Birim Fiyat]]*Tablo3[[#This Row],[Satış Adet]]</f>
        <v>7450</v>
      </c>
      <c r="F2182" s="9">
        <v>3450</v>
      </c>
      <c r="G2182" t="s">
        <v>62</v>
      </c>
      <c r="H2182" t="s">
        <v>42</v>
      </c>
    </row>
    <row r="2183" spans="1:8" x14ac:dyDescent="0.25">
      <c r="A2183" t="s">
        <v>8</v>
      </c>
      <c r="B2183" t="s">
        <v>54</v>
      </c>
      <c r="C2183">
        <v>4</v>
      </c>
      <c r="D2183" s="9">
        <v>5300</v>
      </c>
      <c r="E2183" s="9">
        <f>+Tablo3[[#This Row],[Birim Fiyat]]*Tablo3[[#This Row],[Satış Adet]]</f>
        <v>21200</v>
      </c>
      <c r="F2183" s="9">
        <v>5200</v>
      </c>
      <c r="G2183" t="s">
        <v>62</v>
      </c>
      <c r="H2183" t="s">
        <v>27</v>
      </c>
    </row>
    <row r="2184" spans="1:8" x14ac:dyDescent="0.25">
      <c r="A2184" t="s">
        <v>22</v>
      </c>
      <c r="B2184" t="s">
        <v>28</v>
      </c>
      <c r="C2184">
        <v>3</v>
      </c>
      <c r="D2184" s="9">
        <v>1200</v>
      </c>
      <c r="E2184" s="9">
        <f>+Tablo3[[#This Row],[Birim Fiyat]]*Tablo3[[#This Row],[Satış Adet]]</f>
        <v>3600</v>
      </c>
      <c r="F2184" s="9">
        <v>1200</v>
      </c>
      <c r="G2184" t="s">
        <v>62</v>
      </c>
      <c r="H2184" t="s">
        <v>29</v>
      </c>
    </row>
    <row r="2185" spans="1:8" x14ac:dyDescent="0.25">
      <c r="A2185" t="s">
        <v>38</v>
      </c>
      <c r="B2185" t="s">
        <v>32</v>
      </c>
      <c r="C2185">
        <v>4</v>
      </c>
      <c r="D2185" s="9">
        <v>1090</v>
      </c>
      <c r="E2185" s="9">
        <f>+Tablo3[[#This Row],[Birim Fiyat]]*Tablo3[[#This Row],[Satış Adet]]</f>
        <v>4360</v>
      </c>
      <c r="F2185" s="9">
        <v>1160</v>
      </c>
      <c r="G2185" t="s">
        <v>62</v>
      </c>
      <c r="H2185" t="s">
        <v>14</v>
      </c>
    </row>
    <row r="2186" spans="1:8" x14ac:dyDescent="0.25">
      <c r="A2186" t="s">
        <v>22</v>
      </c>
      <c r="B2186" t="s">
        <v>25</v>
      </c>
      <c r="C2186">
        <v>3</v>
      </c>
      <c r="D2186" s="9">
        <v>7250</v>
      </c>
      <c r="E2186" s="9">
        <f>+Tablo3[[#This Row],[Birim Fiyat]]*Tablo3[[#This Row],[Satış Adet]]</f>
        <v>21750</v>
      </c>
      <c r="F2186" s="9">
        <v>6750</v>
      </c>
      <c r="G2186" t="s">
        <v>62</v>
      </c>
      <c r="H2186" t="s">
        <v>44</v>
      </c>
    </row>
    <row r="2187" spans="1:8" x14ac:dyDescent="0.25">
      <c r="A2187" t="s">
        <v>46</v>
      </c>
      <c r="B2187" t="s">
        <v>13</v>
      </c>
      <c r="C2187">
        <v>5</v>
      </c>
      <c r="D2187" s="9">
        <v>1400</v>
      </c>
      <c r="E2187" s="9">
        <f>+Tablo3[[#This Row],[Birim Fiyat]]*Tablo3[[#This Row],[Satış Adet]]</f>
        <v>7000</v>
      </c>
      <c r="F2187" s="9">
        <v>3000</v>
      </c>
      <c r="G2187" t="s">
        <v>62</v>
      </c>
      <c r="H2187" t="s">
        <v>39</v>
      </c>
    </row>
    <row r="2188" spans="1:8" x14ac:dyDescent="0.25">
      <c r="A2188" t="s">
        <v>15</v>
      </c>
      <c r="B2188" t="s">
        <v>55</v>
      </c>
      <c r="C2188">
        <v>3</v>
      </c>
      <c r="D2188" s="9">
        <v>1500</v>
      </c>
      <c r="E2188" s="9">
        <f>+Tablo3[[#This Row],[Birim Fiyat]]*Tablo3[[#This Row],[Satış Adet]]</f>
        <v>4500</v>
      </c>
      <c r="F2188" s="9">
        <v>2100</v>
      </c>
      <c r="G2188" t="s">
        <v>62</v>
      </c>
      <c r="H2188" t="s">
        <v>44</v>
      </c>
    </row>
    <row r="2189" spans="1:8" x14ac:dyDescent="0.25">
      <c r="A2189" t="s">
        <v>33</v>
      </c>
      <c r="B2189" t="s">
        <v>19</v>
      </c>
      <c r="C2189">
        <v>4</v>
      </c>
      <c r="D2189" s="9">
        <v>1350</v>
      </c>
      <c r="E2189" s="9">
        <f>+Tablo3[[#This Row],[Birim Fiyat]]*Tablo3[[#This Row],[Satış Adet]]</f>
        <v>5400</v>
      </c>
      <c r="F2189" s="9">
        <v>2200</v>
      </c>
      <c r="G2189" t="s">
        <v>62</v>
      </c>
      <c r="H2189" t="s">
        <v>40</v>
      </c>
    </row>
    <row r="2190" spans="1:8" x14ac:dyDescent="0.25">
      <c r="A2190" t="s">
        <v>33</v>
      </c>
      <c r="B2190" t="s">
        <v>28</v>
      </c>
      <c r="C2190">
        <v>2</v>
      </c>
      <c r="D2190" s="9">
        <v>1200</v>
      </c>
      <c r="E2190" s="9">
        <f>+Tablo3[[#This Row],[Birim Fiyat]]*Tablo3[[#This Row],[Satış Adet]]</f>
        <v>2400</v>
      </c>
      <c r="F2190" s="9">
        <v>800</v>
      </c>
      <c r="G2190" t="s">
        <v>62</v>
      </c>
      <c r="H2190" t="s">
        <v>11</v>
      </c>
    </row>
    <row r="2191" spans="1:8" x14ac:dyDescent="0.25">
      <c r="A2191" t="s">
        <v>12</v>
      </c>
      <c r="B2191" t="s">
        <v>53</v>
      </c>
      <c r="C2191">
        <v>3</v>
      </c>
      <c r="D2191" s="9">
        <v>7530</v>
      </c>
      <c r="E2191" s="9">
        <f>+Tablo3[[#This Row],[Birim Fiyat]]*Tablo3[[#This Row],[Satış Adet]]</f>
        <v>22590</v>
      </c>
      <c r="F2191" s="9">
        <v>4590</v>
      </c>
      <c r="G2191" t="s">
        <v>62</v>
      </c>
      <c r="H2191" t="s">
        <v>11</v>
      </c>
    </row>
    <row r="2192" spans="1:8" x14ac:dyDescent="0.25">
      <c r="A2192" t="s">
        <v>46</v>
      </c>
      <c r="B2192" t="s">
        <v>28</v>
      </c>
      <c r="C2192">
        <v>2</v>
      </c>
      <c r="D2192" s="9">
        <v>1200</v>
      </c>
      <c r="E2192" s="9">
        <f>+Tablo3[[#This Row],[Birim Fiyat]]*Tablo3[[#This Row],[Satış Adet]]</f>
        <v>2400</v>
      </c>
      <c r="F2192" s="9">
        <v>800</v>
      </c>
      <c r="G2192" t="s">
        <v>62</v>
      </c>
      <c r="H2192" t="s">
        <v>24</v>
      </c>
    </row>
    <row r="2193" spans="1:8" x14ac:dyDescent="0.25">
      <c r="A2193" t="s">
        <v>36</v>
      </c>
      <c r="B2193" t="s">
        <v>31</v>
      </c>
      <c r="C2193">
        <v>3</v>
      </c>
      <c r="D2193" s="9">
        <v>1800</v>
      </c>
      <c r="E2193" s="9">
        <f>+Tablo3[[#This Row],[Birim Fiyat]]*Tablo3[[#This Row],[Satış Adet]]</f>
        <v>5400</v>
      </c>
      <c r="F2193" s="9">
        <v>3000</v>
      </c>
      <c r="G2193" t="s">
        <v>62</v>
      </c>
      <c r="H2193" t="s">
        <v>27</v>
      </c>
    </row>
    <row r="2194" spans="1:8" x14ac:dyDescent="0.25">
      <c r="A2194" t="s">
        <v>8</v>
      </c>
      <c r="B2194" t="s">
        <v>25</v>
      </c>
      <c r="C2194">
        <v>5</v>
      </c>
      <c r="D2194" s="9">
        <v>7250</v>
      </c>
      <c r="E2194" s="9">
        <f>+Tablo3[[#This Row],[Birim Fiyat]]*Tablo3[[#This Row],[Satış Adet]]</f>
        <v>36250</v>
      </c>
      <c r="F2194" s="9">
        <v>11250</v>
      </c>
      <c r="G2194" t="s">
        <v>62</v>
      </c>
      <c r="H2194" t="s">
        <v>42</v>
      </c>
    </row>
    <row r="2195" spans="1:8" x14ac:dyDescent="0.25">
      <c r="A2195" t="s">
        <v>38</v>
      </c>
      <c r="B2195" t="s">
        <v>41</v>
      </c>
      <c r="C2195">
        <v>2</v>
      </c>
      <c r="D2195" s="9">
        <v>1490</v>
      </c>
      <c r="E2195" s="9">
        <f>+Tablo3[[#This Row],[Birim Fiyat]]*Tablo3[[#This Row],[Satış Adet]]</f>
        <v>2980</v>
      </c>
      <c r="F2195" s="9">
        <v>1380</v>
      </c>
      <c r="G2195" t="s">
        <v>62</v>
      </c>
      <c r="H2195" t="s">
        <v>27</v>
      </c>
    </row>
    <row r="2196" spans="1:8" x14ac:dyDescent="0.25">
      <c r="A2196" t="s">
        <v>38</v>
      </c>
      <c r="B2196" t="s">
        <v>51</v>
      </c>
      <c r="C2196">
        <v>5</v>
      </c>
      <c r="D2196" s="9">
        <v>1200</v>
      </c>
      <c r="E2196" s="9">
        <f>+Tablo3[[#This Row],[Birim Fiyat]]*Tablo3[[#This Row],[Satış Adet]]</f>
        <v>6000</v>
      </c>
      <c r="F2196" s="9">
        <v>2000</v>
      </c>
      <c r="G2196" t="s">
        <v>62</v>
      </c>
      <c r="H2196" t="s">
        <v>14</v>
      </c>
    </row>
    <row r="2197" spans="1:8" x14ac:dyDescent="0.25">
      <c r="A2197" t="s">
        <v>12</v>
      </c>
      <c r="B2197" t="s">
        <v>34</v>
      </c>
      <c r="C2197">
        <v>2</v>
      </c>
      <c r="D2197" s="9">
        <v>8000</v>
      </c>
      <c r="E2197" s="9">
        <f>+Tablo3[[#This Row],[Birim Fiyat]]*Tablo3[[#This Row],[Satış Adet]]</f>
        <v>16000</v>
      </c>
      <c r="F2197" s="9">
        <v>4000</v>
      </c>
      <c r="G2197" t="s">
        <v>62</v>
      </c>
      <c r="H2197" t="s">
        <v>20</v>
      </c>
    </row>
    <row r="2198" spans="1:8" x14ac:dyDescent="0.25">
      <c r="A2198" t="s">
        <v>30</v>
      </c>
      <c r="B2198" t="s">
        <v>13</v>
      </c>
      <c r="C2198">
        <v>2</v>
      </c>
      <c r="D2198" s="9">
        <v>1400</v>
      </c>
      <c r="E2198" s="9">
        <f>+Tablo3[[#This Row],[Birim Fiyat]]*Tablo3[[#This Row],[Satış Adet]]</f>
        <v>2800</v>
      </c>
      <c r="F2198" s="9">
        <v>1200</v>
      </c>
      <c r="G2198" t="s">
        <v>62</v>
      </c>
      <c r="H2198" t="s">
        <v>24</v>
      </c>
    </row>
    <row r="2199" spans="1:8" x14ac:dyDescent="0.25">
      <c r="A2199" t="s">
        <v>67</v>
      </c>
      <c r="B2199" t="s">
        <v>19</v>
      </c>
      <c r="C2199">
        <v>4</v>
      </c>
      <c r="D2199" s="9">
        <v>1350</v>
      </c>
      <c r="E2199" s="9">
        <f>+Tablo3[[#This Row],[Birim Fiyat]]*Tablo3[[#This Row],[Satış Adet]]</f>
        <v>5400</v>
      </c>
      <c r="F2199" s="9">
        <v>2200</v>
      </c>
      <c r="G2199" t="s">
        <v>62</v>
      </c>
      <c r="H2199" t="s">
        <v>29</v>
      </c>
    </row>
    <row r="2200" spans="1:8" x14ac:dyDescent="0.25">
      <c r="A2200" t="s">
        <v>36</v>
      </c>
      <c r="B2200" t="s">
        <v>51</v>
      </c>
      <c r="C2200">
        <v>5</v>
      </c>
      <c r="D2200" s="9">
        <v>1200</v>
      </c>
      <c r="E2200" s="9">
        <f>+Tablo3[[#This Row],[Birim Fiyat]]*Tablo3[[#This Row],[Satış Adet]]</f>
        <v>6000</v>
      </c>
      <c r="F2200" s="9">
        <v>2000</v>
      </c>
      <c r="G2200" t="s">
        <v>62</v>
      </c>
      <c r="H2200" t="s">
        <v>40</v>
      </c>
    </row>
    <row r="2201" spans="1:8" x14ac:dyDescent="0.25">
      <c r="A2201" t="s">
        <v>30</v>
      </c>
      <c r="B2201" t="s">
        <v>54</v>
      </c>
      <c r="C2201">
        <v>2</v>
      </c>
      <c r="D2201" s="9">
        <v>5300</v>
      </c>
      <c r="E2201" s="9">
        <f>+Tablo3[[#This Row],[Birim Fiyat]]*Tablo3[[#This Row],[Satış Adet]]</f>
        <v>10600</v>
      </c>
      <c r="F2201" s="9">
        <v>2600</v>
      </c>
      <c r="G2201" t="s">
        <v>62</v>
      </c>
      <c r="H2201" t="s">
        <v>42</v>
      </c>
    </row>
    <row r="2202" spans="1:8" x14ac:dyDescent="0.25">
      <c r="A2202" t="s">
        <v>38</v>
      </c>
      <c r="B2202" t="s">
        <v>37</v>
      </c>
      <c r="C2202">
        <v>4</v>
      </c>
      <c r="D2202" s="9">
        <v>10590</v>
      </c>
      <c r="E2202" s="9">
        <f>+Tablo3[[#This Row],[Birim Fiyat]]*Tablo3[[#This Row],[Satış Adet]]</f>
        <v>42360</v>
      </c>
      <c r="F2202" s="9">
        <v>18360</v>
      </c>
      <c r="G2202" t="s">
        <v>62</v>
      </c>
      <c r="H2202" t="s">
        <v>39</v>
      </c>
    </row>
    <row r="2203" spans="1:8" x14ac:dyDescent="0.25">
      <c r="A2203" t="s">
        <v>22</v>
      </c>
      <c r="B2203" t="s">
        <v>50</v>
      </c>
      <c r="C2203">
        <v>4</v>
      </c>
      <c r="D2203" s="9">
        <v>1250</v>
      </c>
      <c r="E2203" s="9">
        <f>+Tablo3[[#This Row],[Birim Fiyat]]*Tablo3[[#This Row],[Satış Adet]]</f>
        <v>5000</v>
      </c>
      <c r="F2203" s="9">
        <v>1800</v>
      </c>
      <c r="G2203" t="s">
        <v>62</v>
      </c>
      <c r="H2203" t="s">
        <v>14</v>
      </c>
    </row>
    <row r="2204" spans="1:8" x14ac:dyDescent="0.25">
      <c r="A2204" t="s">
        <v>48</v>
      </c>
      <c r="B2204" t="s">
        <v>51</v>
      </c>
      <c r="C2204">
        <v>5</v>
      </c>
      <c r="D2204" s="9">
        <v>1200</v>
      </c>
      <c r="E2204" s="9">
        <f>+Tablo3[[#This Row],[Birim Fiyat]]*Tablo3[[#This Row],[Satış Adet]]</f>
        <v>6000</v>
      </c>
      <c r="F2204" s="9">
        <v>2000</v>
      </c>
      <c r="G2204" t="s">
        <v>62</v>
      </c>
      <c r="H2204" t="s">
        <v>17</v>
      </c>
    </row>
    <row r="2205" spans="1:8" x14ac:dyDescent="0.25">
      <c r="A2205" t="s">
        <v>22</v>
      </c>
      <c r="B2205" t="s">
        <v>13</v>
      </c>
      <c r="C2205">
        <v>4</v>
      </c>
      <c r="D2205" s="9">
        <v>1400</v>
      </c>
      <c r="E2205" s="9">
        <f>+Tablo3[[#This Row],[Birim Fiyat]]*Tablo3[[#This Row],[Satış Adet]]</f>
        <v>5600</v>
      </c>
      <c r="F2205" s="9">
        <v>2400</v>
      </c>
      <c r="G2205" t="s">
        <v>62</v>
      </c>
      <c r="H2205" t="s">
        <v>29</v>
      </c>
    </row>
    <row r="2206" spans="1:8" x14ac:dyDescent="0.25">
      <c r="A2206" t="s">
        <v>48</v>
      </c>
      <c r="B2206" t="s">
        <v>53</v>
      </c>
      <c r="C2206">
        <v>3</v>
      </c>
      <c r="D2206" s="9">
        <v>7530</v>
      </c>
      <c r="E2206" s="9">
        <f>+Tablo3[[#This Row],[Birim Fiyat]]*Tablo3[[#This Row],[Satış Adet]]</f>
        <v>22590</v>
      </c>
      <c r="F2206" s="9">
        <v>4590</v>
      </c>
      <c r="G2206" t="s">
        <v>62</v>
      </c>
      <c r="H2206" t="s">
        <v>24</v>
      </c>
    </row>
    <row r="2207" spans="1:8" x14ac:dyDescent="0.25">
      <c r="A2207" t="s">
        <v>30</v>
      </c>
      <c r="B2207" t="s">
        <v>23</v>
      </c>
      <c r="C2207">
        <v>2</v>
      </c>
      <c r="D2207" s="9">
        <v>7600</v>
      </c>
      <c r="E2207" s="9">
        <f>+Tablo3[[#This Row],[Birim Fiyat]]*Tablo3[[#This Row],[Satış Adet]]</f>
        <v>15200</v>
      </c>
      <c r="F2207" s="9">
        <v>3200</v>
      </c>
      <c r="G2207" t="s">
        <v>62</v>
      </c>
      <c r="H2207" t="s">
        <v>27</v>
      </c>
    </row>
    <row r="2208" spans="1:8" x14ac:dyDescent="0.25">
      <c r="A2208" t="s">
        <v>48</v>
      </c>
      <c r="B2208" t="s">
        <v>55</v>
      </c>
      <c r="C2208">
        <v>4</v>
      </c>
      <c r="D2208" s="9">
        <v>1500</v>
      </c>
      <c r="E2208" s="9">
        <f>+Tablo3[[#This Row],[Birim Fiyat]]*Tablo3[[#This Row],[Satış Adet]]</f>
        <v>6000</v>
      </c>
      <c r="F2208" s="9">
        <v>2800</v>
      </c>
      <c r="G2208" t="s">
        <v>62</v>
      </c>
      <c r="H2208" t="s">
        <v>39</v>
      </c>
    </row>
    <row r="2209" spans="1:8" x14ac:dyDescent="0.25">
      <c r="A2209" t="s">
        <v>38</v>
      </c>
      <c r="B2209" t="s">
        <v>21</v>
      </c>
      <c r="C2209">
        <v>5</v>
      </c>
      <c r="D2209" s="9">
        <v>2180</v>
      </c>
      <c r="E2209" s="9">
        <f>+Tablo3[[#This Row],[Birim Fiyat]]*Tablo3[[#This Row],[Satış Adet]]</f>
        <v>10900</v>
      </c>
      <c r="F2209" s="9">
        <v>3400</v>
      </c>
      <c r="G2209" t="s">
        <v>62</v>
      </c>
      <c r="H2209" t="s">
        <v>40</v>
      </c>
    </row>
    <row r="2210" spans="1:8" x14ac:dyDescent="0.25">
      <c r="A2210" t="s">
        <v>18</v>
      </c>
      <c r="B2210" t="s">
        <v>21</v>
      </c>
      <c r="C2210">
        <v>4</v>
      </c>
      <c r="D2210" s="9">
        <v>2180</v>
      </c>
      <c r="E2210" s="9">
        <f>+Tablo3[[#This Row],[Birim Fiyat]]*Tablo3[[#This Row],[Satış Adet]]</f>
        <v>8720</v>
      </c>
      <c r="F2210" s="9">
        <v>2720</v>
      </c>
      <c r="G2210" t="s">
        <v>62</v>
      </c>
      <c r="H2210" t="s">
        <v>35</v>
      </c>
    </row>
    <row r="2211" spans="1:8" x14ac:dyDescent="0.25">
      <c r="A2211" t="s">
        <v>38</v>
      </c>
      <c r="B2211" t="s">
        <v>45</v>
      </c>
      <c r="C2211">
        <v>4</v>
      </c>
      <c r="D2211" s="9">
        <v>5775</v>
      </c>
      <c r="E2211" s="9">
        <f>+Tablo3[[#This Row],[Birim Fiyat]]*Tablo3[[#This Row],[Satış Adet]]</f>
        <v>23100</v>
      </c>
      <c r="F2211" s="9">
        <v>7100</v>
      </c>
      <c r="G2211" t="s">
        <v>62</v>
      </c>
      <c r="H2211" t="s">
        <v>17</v>
      </c>
    </row>
    <row r="2212" spans="1:8" x14ac:dyDescent="0.25">
      <c r="A2212" t="s">
        <v>38</v>
      </c>
      <c r="B2212" t="s">
        <v>26</v>
      </c>
      <c r="C2212">
        <v>5</v>
      </c>
      <c r="D2212" s="9">
        <v>1100</v>
      </c>
      <c r="E2212" s="9">
        <f>+Tablo3[[#This Row],[Birim Fiyat]]*Tablo3[[#This Row],[Satış Adet]]</f>
        <v>5500</v>
      </c>
      <c r="F2212" s="9">
        <v>1500</v>
      </c>
      <c r="G2212" t="s">
        <v>62</v>
      </c>
      <c r="H2212" t="s">
        <v>52</v>
      </c>
    </row>
    <row r="2213" spans="1:8" x14ac:dyDescent="0.25">
      <c r="A2213" t="s">
        <v>46</v>
      </c>
      <c r="B2213" t="s">
        <v>45</v>
      </c>
      <c r="C2213">
        <v>4</v>
      </c>
      <c r="D2213" s="9">
        <v>5775</v>
      </c>
      <c r="E2213" s="9">
        <f>+Tablo3[[#This Row],[Birim Fiyat]]*Tablo3[[#This Row],[Satış Adet]]</f>
        <v>23100</v>
      </c>
      <c r="F2213" s="9">
        <v>7100</v>
      </c>
      <c r="G2213" t="s">
        <v>62</v>
      </c>
      <c r="H2213" t="s">
        <v>27</v>
      </c>
    </row>
    <row r="2214" spans="1:8" x14ac:dyDescent="0.25">
      <c r="A2214" t="s">
        <v>33</v>
      </c>
      <c r="B2214" t="s">
        <v>19</v>
      </c>
      <c r="C2214">
        <v>3</v>
      </c>
      <c r="D2214" s="9">
        <v>1350</v>
      </c>
      <c r="E2214" s="9">
        <f>+Tablo3[[#This Row],[Birim Fiyat]]*Tablo3[[#This Row],[Satış Adet]]</f>
        <v>4050</v>
      </c>
      <c r="F2214" s="9">
        <v>1650</v>
      </c>
      <c r="G2214" t="s">
        <v>62</v>
      </c>
      <c r="H2214" t="s">
        <v>20</v>
      </c>
    </row>
    <row r="2215" spans="1:8" x14ac:dyDescent="0.25">
      <c r="A2215" t="s">
        <v>8</v>
      </c>
      <c r="B2215" t="s">
        <v>23</v>
      </c>
      <c r="C2215">
        <v>2</v>
      </c>
      <c r="D2215" s="9">
        <v>7600</v>
      </c>
      <c r="E2215" s="9">
        <f>+Tablo3[[#This Row],[Birim Fiyat]]*Tablo3[[#This Row],[Satış Adet]]</f>
        <v>15200</v>
      </c>
      <c r="F2215" s="9">
        <v>3200</v>
      </c>
      <c r="G2215" t="s">
        <v>62</v>
      </c>
      <c r="H2215" t="s">
        <v>29</v>
      </c>
    </row>
    <row r="2216" spans="1:8" x14ac:dyDescent="0.25">
      <c r="A2216" t="s">
        <v>15</v>
      </c>
      <c r="B2216" t="s">
        <v>25</v>
      </c>
      <c r="C2216">
        <v>2</v>
      </c>
      <c r="D2216" s="9">
        <v>7250</v>
      </c>
      <c r="E2216" s="9">
        <f>+Tablo3[[#This Row],[Birim Fiyat]]*Tablo3[[#This Row],[Satış Adet]]</f>
        <v>14500</v>
      </c>
      <c r="F2216" s="9">
        <v>4500</v>
      </c>
      <c r="G2216" t="s">
        <v>62</v>
      </c>
      <c r="H2216" t="s">
        <v>17</v>
      </c>
    </row>
    <row r="2217" spans="1:8" x14ac:dyDescent="0.25">
      <c r="A2217" t="s">
        <v>48</v>
      </c>
      <c r="B2217" t="s">
        <v>41</v>
      </c>
      <c r="C2217">
        <v>4</v>
      </c>
      <c r="D2217" s="9">
        <v>1490</v>
      </c>
      <c r="E2217" s="9">
        <f>+Tablo3[[#This Row],[Birim Fiyat]]*Tablo3[[#This Row],[Satış Adet]]</f>
        <v>5960</v>
      </c>
      <c r="F2217" s="9">
        <v>2760</v>
      </c>
      <c r="G2217" t="s">
        <v>62</v>
      </c>
      <c r="H2217" t="s">
        <v>29</v>
      </c>
    </row>
    <row r="2218" spans="1:8" x14ac:dyDescent="0.25">
      <c r="A2218" t="s">
        <v>18</v>
      </c>
      <c r="B2218" t="s">
        <v>41</v>
      </c>
      <c r="C2218">
        <v>4</v>
      </c>
      <c r="D2218" s="9">
        <v>1490</v>
      </c>
      <c r="E2218" s="9">
        <f>+Tablo3[[#This Row],[Birim Fiyat]]*Tablo3[[#This Row],[Satış Adet]]</f>
        <v>5960</v>
      </c>
      <c r="F2218" s="9">
        <v>2760</v>
      </c>
      <c r="G2218" t="s">
        <v>62</v>
      </c>
      <c r="H2218" t="s">
        <v>44</v>
      </c>
    </row>
    <row r="2219" spans="1:8" x14ac:dyDescent="0.25">
      <c r="A2219" t="s">
        <v>36</v>
      </c>
      <c r="B2219" t="s">
        <v>32</v>
      </c>
      <c r="C2219">
        <v>5</v>
      </c>
      <c r="D2219" s="9">
        <v>1090</v>
      </c>
      <c r="E2219" s="9">
        <f>+Tablo3[[#This Row],[Birim Fiyat]]*Tablo3[[#This Row],[Satış Adet]]</f>
        <v>5450</v>
      </c>
      <c r="F2219" s="9">
        <v>1450</v>
      </c>
      <c r="G2219" t="s">
        <v>62</v>
      </c>
      <c r="H2219" t="s">
        <v>42</v>
      </c>
    </row>
    <row r="2220" spans="1:8" x14ac:dyDescent="0.25">
      <c r="A2220" t="s">
        <v>36</v>
      </c>
      <c r="B2220" t="s">
        <v>28</v>
      </c>
      <c r="C2220">
        <v>4</v>
      </c>
      <c r="D2220" s="9">
        <v>1200</v>
      </c>
      <c r="E2220" s="9">
        <f>+Tablo3[[#This Row],[Birim Fiyat]]*Tablo3[[#This Row],[Satış Adet]]</f>
        <v>4800</v>
      </c>
      <c r="F2220" s="9">
        <v>1600</v>
      </c>
      <c r="G2220" t="s">
        <v>62</v>
      </c>
      <c r="H2220" t="s">
        <v>52</v>
      </c>
    </row>
    <row r="2221" spans="1:8" x14ac:dyDescent="0.25">
      <c r="A2221" t="s">
        <v>48</v>
      </c>
      <c r="B2221" t="s">
        <v>32</v>
      </c>
      <c r="C2221">
        <v>2</v>
      </c>
      <c r="D2221" s="9">
        <v>1090</v>
      </c>
      <c r="E2221" s="9">
        <f>+Tablo3[[#This Row],[Birim Fiyat]]*Tablo3[[#This Row],[Satış Adet]]</f>
        <v>2180</v>
      </c>
      <c r="F2221" s="9">
        <v>580</v>
      </c>
      <c r="G2221" t="s">
        <v>62</v>
      </c>
      <c r="H2221" t="s">
        <v>52</v>
      </c>
    </row>
    <row r="2222" spans="1:8" x14ac:dyDescent="0.25">
      <c r="A2222" t="s">
        <v>48</v>
      </c>
      <c r="B2222" t="s">
        <v>21</v>
      </c>
      <c r="C2222">
        <v>4</v>
      </c>
      <c r="D2222" s="9">
        <v>2180</v>
      </c>
      <c r="E2222" s="9">
        <f>+Tablo3[[#This Row],[Birim Fiyat]]*Tablo3[[#This Row],[Satış Adet]]</f>
        <v>8720</v>
      </c>
      <c r="F2222" s="9">
        <v>2720</v>
      </c>
      <c r="G2222" t="s">
        <v>62</v>
      </c>
      <c r="H2222" t="s">
        <v>39</v>
      </c>
    </row>
    <row r="2223" spans="1:8" x14ac:dyDescent="0.25">
      <c r="A2223" t="s">
        <v>15</v>
      </c>
      <c r="B2223" t="s">
        <v>54</v>
      </c>
      <c r="C2223">
        <v>2</v>
      </c>
      <c r="D2223" s="9">
        <v>5300</v>
      </c>
      <c r="E2223" s="9">
        <f>+Tablo3[[#This Row],[Birim Fiyat]]*Tablo3[[#This Row],[Satış Adet]]</f>
        <v>10600</v>
      </c>
      <c r="F2223" s="9">
        <v>2600</v>
      </c>
      <c r="G2223" t="s">
        <v>62</v>
      </c>
      <c r="H2223" t="s">
        <v>35</v>
      </c>
    </row>
    <row r="2224" spans="1:8" x14ac:dyDescent="0.25">
      <c r="A2224" t="s">
        <v>48</v>
      </c>
      <c r="B2224" t="s">
        <v>54</v>
      </c>
      <c r="C2224">
        <v>5</v>
      </c>
      <c r="D2224" s="9">
        <v>5300</v>
      </c>
      <c r="E2224" s="9">
        <f>+Tablo3[[#This Row],[Birim Fiyat]]*Tablo3[[#This Row],[Satış Adet]]</f>
        <v>26500</v>
      </c>
      <c r="F2224" s="9">
        <v>6500</v>
      </c>
      <c r="G2224" t="s">
        <v>62</v>
      </c>
      <c r="H2224" t="s">
        <v>14</v>
      </c>
    </row>
    <row r="2225" spans="1:8" x14ac:dyDescent="0.25">
      <c r="A2225" t="s">
        <v>67</v>
      </c>
      <c r="B2225" t="s">
        <v>25</v>
      </c>
      <c r="C2225">
        <v>4</v>
      </c>
      <c r="D2225" s="9">
        <v>7250</v>
      </c>
      <c r="E2225" s="9">
        <f>+Tablo3[[#This Row],[Birim Fiyat]]*Tablo3[[#This Row],[Satış Adet]]</f>
        <v>29000</v>
      </c>
      <c r="F2225" s="9">
        <v>9000</v>
      </c>
      <c r="G2225" t="s">
        <v>62</v>
      </c>
      <c r="H2225" t="s">
        <v>17</v>
      </c>
    </row>
    <row r="2226" spans="1:8" x14ac:dyDescent="0.25">
      <c r="A2226" t="s">
        <v>67</v>
      </c>
      <c r="B2226" t="s">
        <v>51</v>
      </c>
      <c r="C2226">
        <v>3</v>
      </c>
      <c r="D2226" s="9">
        <v>1200</v>
      </c>
      <c r="E2226" s="9">
        <f>+Tablo3[[#This Row],[Birim Fiyat]]*Tablo3[[#This Row],[Satış Adet]]</f>
        <v>3600</v>
      </c>
      <c r="F2226" s="9">
        <v>1200</v>
      </c>
      <c r="G2226" t="s">
        <v>62</v>
      </c>
      <c r="H2226" t="s">
        <v>27</v>
      </c>
    </row>
    <row r="2227" spans="1:8" x14ac:dyDescent="0.25">
      <c r="A2227" t="s">
        <v>18</v>
      </c>
      <c r="B2227" t="s">
        <v>9</v>
      </c>
      <c r="C2227">
        <v>3</v>
      </c>
      <c r="D2227" s="9">
        <v>6000</v>
      </c>
      <c r="E2227" s="9">
        <f>+Tablo3[[#This Row],[Birim Fiyat]]*Tablo3[[#This Row],[Satış Adet]]</f>
        <v>18000</v>
      </c>
      <c r="F2227" s="9">
        <v>6000</v>
      </c>
      <c r="G2227" t="s">
        <v>62</v>
      </c>
      <c r="H2227" t="s">
        <v>40</v>
      </c>
    </row>
    <row r="2228" spans="1:8" x14ac:dyDescent="0.25">
      <c r="A2228" t="s">
        <v>15</v>
      </c>
      <c r="B2228" t="s">
        <v>16</v>
      </c>
      <c r="C2228">
        <v>4</v>
      </c>
      <c r="D2228" s="9">
        <v>8450</v>
      </c>
      <c r="E2228" s="9">
        <f>+Tablo3[[#This Row],[Birim Fiyat]]*Tablo3[[#This Row],[Satış Adet]]</f>
        <v>33800</v>
      </c>
      <c r="F2228" s="9">
        <v>9800</v>
      </c>
      <c r="G2228" t="s">
        <v>62</v>
      </c>
      <c r="H2228" t="s">
        <v>27</v>
      </c>
    </row>
    <row r="2229" spans="1:8" x14ac:dyDescent="0.25">
      <c r="A2229" t="s">
        <v>30</v>
      </c>
      <c r="B2229" t="s">
        <v>43</v>
      </c>
      <c r="C2229">
        <v>4</v>
      </c>
      <c r="D2229" s="9">
        <v>4200</v>
      </c>
      <c r="E2229" s="9">
        <f>+Tablo3[[#This Row],[Birim Fiyat]]*Tablo3[[#This Row],[Satış Adet]]</f>
        <v>16800</v>
      </c>
      <c r="F2229" s="9">
        <v>4800</v>
      </c>
      <c r="G2229" t="s">
        <v>62</v>
      </c>
      <c r="H2229" t="s">
        <v>20</v>
      </c>
    </row>
    <row r="2230" spans="1:8" x14ac:dyDescent="0.25">
      <c r="A2230" t="s">
        <v>30</v>
      </c>
      <c r="B2230" t="s">
        <v>37</v>
      </c>
      <c r="C2230">
        <v>5</v>
      </c>
      <c r="D2230" s="9">
        <v>10590</v>
      </c>
      <c r="E2230" s="9">
        <f>+Tablo3[[#This Row],[Birim Fiyat]]*Tablo3[[#This Row],[Satış Adet]]</f>
        <v>52950</v>
      </c>
      <c r="F2230" s="9">
        <v>22950</v>
      </c>
      <c r="G2230" t="s">
        <v>62</v>
      </c>
      <c r="H2230" t="s">
        <v>24</v>
      </c>
    </row>
    <row r="2231" spans="1:8" x14ac:dyDescent="0.25">
      <c r="A2231" t="s">
        <v>67</v>
      </c>
      <c r="B2231" t="s">
        <v>51</v>
      </c>
      <c r="C2231">
        <v>3</v>
      </c>
      <c r="D2231" s="9">
        <v>1200</v>
      </c>
      <c r="E2231" s="9">
        <f>+Tablo3[[#This Row],[Birim Fiyat]]*Tablo3[[#This Row],[Satış Adet]]</f>
        <v>3600</v>
      </c>
      <c r="F2231" s="9">
        <v>1200</v>
      </c>
      <c r="G2231" t="s">
        <v>62</v>
      </c>
      <c r="H2231" t="s">
        <v>39</v>
      </c>
    </row>
    <row r="2232" spans="1:8" x14ac:dyDescent="0.25">
      <c r="A2232" t="s">
        <v>46</v>
      </c>
      <c r="B2232" t="s">
        <v>26</v>
      </c>
      <c r="C2232">
        <v>4</v>
      </c>
      <c r="D2232" s="9">
        <v>1100</v>
      </c>
      <c r="E2232" s="9">
        <f>+Tablo3[[#This Row],[Birim Fiyat]]*Tablo3[[#This Row],[Satış Adet]]</f>
        <v>4400</v>
      </c>
      <c r="F2232" s="9">
        <v>1200</v>
      </c>
      <c r="G2232" t="s">
        <v>62</v>
      </c>
      <c r="H2232" t="s">
        <v>40</v>
      </c>
    </row>
    <row r="2233" spans="1:8" x14ac:dyDescent="0.25">
      <c r="A2233" t="s">
        <v>38</v>
      </c>
      <c r="B2233" t="s">
        <v>56</v>
      </c>
      <c r="C2233">
        <v>3</v>
      </c>
      <c r="D2233" s="9">
        <v>3700</v>
      </c>
      <c r="E2233" s="9">
        <f>+Tablo3[[#This Row],[Birim Fiyat]]*Tablo3[[#This Row],[Satış Adet]]</f>
        <v>11100</v>
      </c>
      <c r="F2233" s="9">
        <v>2100</v>
      </c>
      <c r="G2233" t="s">
        <v>62</v>
      </c>
      <c r="H2233" t="s">
        <v>17</v>
      </c>
    </row>
    <row r="2234" spans="1:8" x14ac:dyDescent="0.25">
      <c r="A2234" t="s">
        <v>12</v>
      </c>
      <c r="B2234" t="s">
        <v>56</v>
      </c>
      <c r="C2234">
        <v>3</v>
      </c>
      <c r="D2234" s="9">
        <v>3700</v>
      </c>
      <c r="E2234" s="9">
        <f>+Tablo3[[#This Row],[Birim Fiyat]]*Tablo3[[#This Row],[Satış Adet]]</f>
        <v>11100</v>
      </c>
      <c r="F2234" s="9">
        <v>2100</v>
      </c>
      <c r="G2234" t="s">
        <v>62</v>
      </c>
      <c r="H2234" t="s">
        <v>27</v>
      </c>
    </row>
    <row r="2235" spans="1:8" x14ac:dyDescent="0.25">
      <c r="A2235" t="s">
        <v>30</v>
      </c>
      <c r="B2235" t="s">
        <v>26</v>
      </c>
      <c r="C2235">
        <v>5</v>
      </c>
      <c r="D2235" s="9">
        <v>1100</v>
      </c>
      <c r="E2235" s="9">
        <f>+Tablo3[[#This Row],[Birim Fiyat]]*Tablo3[[#This Row],[Satış Adet]]</f>
        <v>5500</v>
      </c>
      <c r="F2235" s="9">
        <v>1500</v>
      </c>
      <c r="G2235" t="s">
        <v>62</v>
      </c>
      <c r="H2235" t="s">
        <v>24</v>
      </c>
    </row>
    <row r="2236" spans="1:8" x14ac:dyDescent="0.25">
      <c r="A2236" t="s">
        <v>67</v>
      </c>
      <c r="B2236" t="s">
        <v>56</v>
      </c>
      <c r="C2236">
        <v>3</v>
      </c>
      <c r="D2236" s="9">
        <v>3700</v>
      </c>
      <c r="E2236" s="9">
        <f>+Tablo3[[#This Row],[Birim Fiyat]]*Tablo3[[#This Row],[Satış Adet]]</f>
        <v>11100</v>
      </c>
      <c r="F2236" s="9">
        <v>2100</v>
      </c>
      <c r="G2236" t="s">
        <v>62</v>
      </c>
      <c r="H2236" t="s">
        <v>11</v>
      </c>
    </row>
    <row r="2237" spans="1:8" x14ac:dyDescent="0.25">
      <c r="A2237" t="s">
        <v>46</v>
      </c>
      <c r="B2237" t="s">
        <v>41</v>
      </c>
      <c r="C2237">
        <v>4</v>
      </c>
      <c r="D2237" s="9">
        <v>1490</v>
      </c>
      <c r="E2237" s="9">
        <f>+Tablo3[[#This Row],[Birim Fiyat]]*Tablo3[[#This Row],[Satış Adet]]</f>
        <v>5960</v>
      </c>
      <c r="F2237" s="9">
        <v>2760</v>
      </c>
      <c r="G2237" t="s">
        <v>62</v>
      </c>
      <c r="H2237" t="s">
        <v>11</v>
      </c>
    </row>
    <row r="2238" spans="1:8" x14ac:dyDescent="0.25">
      <c r="A2238" t="s">
        <v>38</v>
      </c>
      <c r="B2238" t="s">
        <v>55</v>
      </c>
      <c r="C2238">
        <v>4</v>
      </c>
      <c r="D2238" s="9">
        <v>1500</v>
      </c>
      <c r="E2238" s="9">
        <f>+Tablo3[[#This Row],[Birim Fiyat]]*Tablo3[[#This Row],[Satış Adet]]</f>
        <v>6000</v>
      </c>
      <c r="F2238" s="9">
        <v>2800</v>
      </c>
      <c r="G2238" t="s">
        <v>62</v>
      </c>
      <c r="H2238" t="s">
        <v>29</v>
      </c>
    </row>
    <row r="2239" spans="1:8" x14ac:dyDescent="0.25">
      <c r="A2239" t="s">
        <v>36</v>
      </c>
      <c r="B2239" t="s">
        <v>32</v>
      </c>
      <c r="C2239">
        <v>3</v>
      </c>
      <c r="D2239" s="9">
        <v>1090</v>
      </c>
      <c r="E2239" s="9">
        <f>+Tablo3[[#This Row],[Birim Fiyat]]*Tablo3[[#This Row],[Satış Adet]]</f>
        <v>3270</v>
      </c>
      <c r="F2239" s="9">
        <v>870</v>
      </c>
      <c r="G2239" t="s">
        <v>62</v>
      </c>
      <c r="H2239" t="s">
        <v>52</v>
      </c>
    </row>
    <row r="2240" spans="1:8" x14ac:dyDescent="0.25">
      <c r="A2240" t="s">
        <v>46</v>
      </c>
      <c r="B2240" t="s">
        <v>31</v>
      </c>
      <c r="C2240">
        <v>3</v>
      </c>
      <c r="D2240" s="9">
        <v>1800</v>
      </c>
      <c r="E2240" s="9">
        <f>+Tablo3[[#This Row],[Birim Fiyat]]*Tablo3[[#This Row],[Satış Adet]]</f>
        <v>5400</v>
      </c>
      <c r="F2240" s="9">
        <v>3000</v>
      </c>
      <c r="G2240" t="s">
        <v>62</v>
      </c>
      <c r="H2240" t="s">
        <v>40</v>
      </c>
    </row>
    <row r="2241" spans="1:8" x14ac:dyDescent="0.25">
      <c r="A2241" t="s">
        <v>33</v>
      </c>
      <c r="B2241" t="s">
        <v>53</v>
      </c>
      <c r="C2241">
        <v>2</v>
      </c>
      <c r="D2241" s="9">
        <v>7530</v>
      </c>
      <c r="E2241" s="9">
        <f>+Tablo3[[#This Row],[Birim Fiyat]]*Tablo3[[#This Row],[Satış Adet]]</f>
        <v>15060</v>
      </c>
      <c r="F2241" s="9">
        <v>3060</v>
      </c>
      <c r="G2241" t="s">
        <v>62</v>
      </c>
      <c r="H2241" t="s">
        <v>40</v>
      </c>
    </row>
    <row r="2242" spans="1:8" x14ac:dyDescent="0.25">
      <c r="A2242" t="s">
        <v>30</v>
      </c>
      <c r="B2242" t="s">
        <v>26</v>
      </c>
      <c r="C2242">
        <v>5</v>
      </c>
      <c r="D2242" s="9">
        <v>1100</v>
      </c>
      <c r="E2242" s="9">
        <f>+Tablo3[[#This Row],[Birim Fiyat]]*Tablo3[[#This Row],[Satış Adet]]</f>
        <v>5500</v>
      </c>
      <c r="F2242" s="9">
        <v>1500</v>
      </c>
      <c r="G2242" t="s">
        <v>62</v>
      </c>
      <c r="H2242" t="s">
        <v>29</v>
      </c>
    </row>
    <row r="2243" spans="1:8" x14ac:dyDescent="0.25">
      <c r="A2243" t="s">
        <v>38</v>
      </c>
      <c r="B2243" t="s">
        <v>19</v>
      </c>
      <c r="C2243">
        <v>5</v>
      </c>
      <c r="D2243" s="9">
        <v>1350</v>
      </c>
      <c r="E2243" s="9">
        <f>+Tablo3[[#This Row],[Birim Fiyat]]*Tablo3[[#This Row],[Satış Adet]]</f>
        <v>6750</v>
      </c>
      <c r="F2243" s="9">
        <v>2750</v>
      </c>
      <c r="G2243" t="s">
        <v>62</v>
      </c>
      <c r="H2243" t="s">
        <v>24</v>
      </c>
    </row>
    <row r="2244" spans="1:8" x14ac:dyDescent="0.25">
      <c r="A2244" t="s">
        <v>36</v>
      </c>
      <c r="B2244" t="s">
        <v>19</v>
      </c>
      <c r="C2244">
        <v>4</v>
      </c>
      <c r="D2244" s="9">
        <v>1350</v>
      </c>
      <c r="E2244" s="9">
        <f>+Tablo3[[#This Row],[Birim Fiyat]]*Tablo3[[#This Row],[Satış Adet]]</f>
        <v>5400</v>
      </c>
      <c r="F2244" s="9">
        <v>2200</v>
      </c>
      <c r="G2244" t="s">
        <v>62</v>
      </c>
      <c r="H2244" t="s">
        <v>39</v>
      </c>
    </row>
    <row r="2245" spans="1:8" x14ac:dyDescent="0.25">
      <c r="A2245" t="s">
        <v>33</v>
      </c>
      <c r="B2245" t="s">
        <v>32</v>
      </c>
      <c r="C2245">
        <v>5</v>
      </c>
      <c r="D2245" s="9">
        <v>1090</v>
      </c>
      <c r="E2245" s="9">
        <f>+Tablo3[[#This Row],[Birim Fiyat]]*Tablo3[[#This Row],[Satış Adet]]</f>
        <v>5450</v>
      </c>
      <c r="F2245" s="9">
        <v>1450</v>
      </c>
      <c r="G2245" t="s">
        <v>62</v>
      </c>
      <c r="H2245" t="s">
        <v>39</v>
      </c>
    </row>
    <row r="2246" spans="1:8" x14ac:dyDescent="0.25">
      <c r="A2246" t="s">
        <v>33</v>
      </c>
      <c r="B2246" t="s">
        <v>43</v>
      </c>
      <c r="C2246">
        <v>2</v>
      </c>
      <c r="D2246" s="9">
        <v>4200</v>
      </c>
      <c r="E2246" s="9">
        <f>+Tablo3[[#This Row],[Birim Fiyat]]*Tablo3[[#This Row],[Satış Adet]]</f>
        <v>8400</v>
      </c>
      <c r="F2246" s="9">
        <v>2400</v>
      </c>
      <c r="G2246" t="s">
        <v>62</v>
      </c>
      <c r="H2246" t="s">
        <v>35</v>
      </c>
    </row>
    <row r="2247" spans="1:8" x14ac:dyDescent="0.25">
      <c r="A2247" t="s">
        <v>38</v>
      </c>
      <c r="B2247" t="s">
        <v>31</v>
      </c>
      <c r="C2247">
        <v>3</v>
      </c>
      <c r="D2247" s="9">
        <v>1800</v>
      </c>
      <c r="E2247" s="9">
        <f>+Tablo3[[#This Row],[Birim Fiyat]]*Tablo3[[#This Row],[Satış Adet]]</f>
        <v>5400</v>
      </c>
      <c r="F2247" s="9">
        <v>3000</v>
      </c>
      <c r="G2247" t="s">
        <v>62</v>
      </c>
      <c r="H2247" t="s">
        <v>14</v>
      </c>
    </row>
    <row r="2248" spans="1:8" x14ac:dyDescent="0.25">
      <c r="A2248" t="s">
        <v>48</v>
      </c>
      <c r="B2248" t="s">
        <v>32</v>
      </c>
      <c r="C2248">
        <v>3</v>
      </c>
      <c r="D2248" s="9">
        <v>1090</v>
      </c>
      <c r="E2248" s="9">
        <f>+Tablo3[[#This Row],[Birim Fiyat]]*Tablo3[[#This Row],[Satış Adet]]</f>
        <v>3270</v>
      </c>
      <c r="F2248" s="9">
        <v>870</v>
      </c>
      <c r="G2248" t="s">
        <v>62</v>
      </c>
      <c r="H2248" t="s">
        <v>44</v>
      </c>
    </row>
    <row r="2249" spans="1:8" x14ac:dyDescent="0.25">
      <c r="A2249" t="s">
        <v>8</v>
      </c>
      <c r="B2249" t="s">
        <v>23</v>
      </c>
      <c r="C2249">
        <v>3</v>
      </c>
      <c r="D2249" s="9">
        <v>7600</v>
      </c>
      <c r="E2249" s="9">
        <f>+Tablo3[[#This Row],[Birim Fiyat]]*Tablo3[[#This Row],[Satış Adet]]</f>
        <v>22800</v>
      </c>
      <c r="F2249" s="9">
        <v>4800</v>
      </c>
      <c r="G2249" t="s">
        <v>62</v>
      </c>
      <c r="H2249" t="s">
        <v>44</v>
      </c>
    </row>
    <row r="2250" spans="1:8" x14ac:dyDescent="0.25">
      <c r="A2250" t="s">
        <v>36</v>
      </c>
      <c r="B2250" t="s">
        <v>23</v>
      </c>
      <c r="C2250">
        <v>2</v>
      </c>
      <c r="D2250" s="9">
        <v>7600</v>
      </c>
      <c r="E2250" s="9">
        <f>+Tablo3[[#This Row],[Birim Fiyat]]*Tablo3[[#This Row],[Satış Adet]]</f>
        <v>15200</v>
      </c>
      <c r="F2250" s="9">
        <v>3200</v>
      </c>
      <c r="G2250" t="s">
        <v>62</v>
      </c>
      <c r="H2250" t="s">
        <v>52</v>
      </c>
    </row>
    <row r="2251" spans="1:8" x14ac:dyDescent="0.25">
      <c r="A2251" t="s">
        <v>15</v>
      </c>
      <c r="B2251" t="s">
        <v>56</v>
      </c>
      <c r="C2251">
        <v>2</v>
      </c>
      <c r="D2251" s="9">
        <v>3700</v>
      </c>
      <c r="E2251" s="9">
        <f>+Tablo3[[#This Row],[Birim Fiyat]]*Tablo3[[#This Row],[Satış Adet]]</f>
        <v>7400</v>
      </c>
      <c r="F2251" s="9">
        <v>1400</v>
      </c>
      <c r="G2251" t="s">
        <v>62</v>
      </c>
      <c r="H2251" t="s">
        <v>40</v>
      </c>
    </row>
    <row r="2252" spans="1:8" x14ac:dyDescent="0.25">
      <c r="A2252" t="s">
        <v>22</v>
      </c>
      <c r="B2252" t="s">
        <v>25</v>
      </c>
      <c r="C2252">
        <v>5</v>
      </c>
      <c r="D2252" s="9">
        <v>7250</v>
      </c>
      <c r="E2252" s="9">
        <f>+Tablo3[[#This Row],[Birim Fiyat]]*Tablo3[[#This Row],[Satış Adet]]</f>
        <v>36250</v>
      </c>
      <c r="F2252" s="9">
        <v>11250</v>
      </c>
      <c r="G2252" t="s">
        <v>62</v>
      </c>
      <c r="H2252" t="s">
        <v>42</v>
      </c>
    </row>
    <row r="2253" spans="1:8" x14ac:dyDescent="0.25">
      <c r="A2253" t="s">
        <v>12</v>
      </c>
      <c r="B2253" t="s">
        <v>23</v>
      </c>
      <c r="C2253">
        <v>2</v>
      </c>
      <c r="D2253" s="9">
        <v>7600</v>
      </c>
      <c r="E2253" s="9">
        <f>+Tablo3[[#This Row],[Birim Fiyat]]*Tablo3[[#This Row],[Satış Adet]]</f>
        <v>15200</v>
      </c>
      <c r="F2253" s="9">
        <v>3200</v>
      </c>
      <c r="G2253" t="s">
        <v>62</v>
      </c>
      <c r="H2253" t="s">
        <v>17</v>
      </c>
    </row>
    <row r="2254" spans="1:8" x14ac:dyDescent="0.25">
      <c r="A2254" t="s">
        <v>46</v>
      </c>
      <c r="B2254" t="s">
        <v>43</v>
      </c>
      <c r="C2254">
        <v>3</v>
      </c>
      <c r="D2254" s="9">
        <v>4200</v>
      </c>
      <c r="E2254" s="9">
        <f>+Tablo3[[#This Row],[Birim Fiyat]]*Tablo3[[#This Row],[Satış Adet]]</f>
        <v>12600</v>
      </c>
      <c r="F2254" s="9">
        <v>3600</v>
      </c>
      <c r="G2254" t="s">
        <v>62</v>
      </c>
      <c r="H2254" t="s">
        <v>29</v>
      </c>
    </row>
    <row r="2255" spans="1:8" x14ac:dyDescent="0.25">
      <c r="A2255" t="s">
        <v>30</v>
      </c>
      <c r="B2255" t="s">
        <v>50</v>
      </c>
      <c r="C2255">
        <v>2</v>
      </c>
      <c r="D2255" s="9">
        <v>1250</v>
      </c>
      <c r="E2255" s="9">
        <f>+Tablo3[[#This Row],[Birim Fiyat]]*Tablo3[[#This Row],[Satış Adet]]</f>
        <v>2500</v>
      </c>
      <c r="F2255" s="9">
        <v>900</v>
      </c>
      <c r="G2255" t="s">
        <v>62</v>
      </c>
      <c r="H2255" t="s">
        <v>35</v>
      </c>
    </row>
    <row r="2256" spans="1:8" x14ac:dyDescent="0.25">
      <c r="A2256" t="s">
        <v>36</v>
      </c>
      <c r="B2256" t="s">
        <v>32</v>
      </c>
      <c r="C2256">
        <v>3</v>
      </c>
      <c r="D2256" s="9">
        <v>1090</v>
      </c>
      <c r="E2256" s="9">
        <f>+Tablo3[[#This Row],[Birim Fiyat]]*Tablo3[[#This Row],[Satış Adet]]</f>
        <v>3270</v>
      </c>
      <c r="F2256" s="9">
        <v>870</v>
      </c>
      <c r="G2256" t="s">
        <v>62</v>
      </c>
      <c r="H2256" t="s">
        <v>39</v>
      </c>
    </row>
    <row r="2257" spans="1:8" x14ac:dyDescent="0.25">
      <c r="A2257" t="s">
        <v>18</v>
      </c>
      <c r="B2257" t="s">
        <v>21</v>
      </c>
      <c r="C2257">
        <v>3</v>
      </c>
      <c r="D2257" s="9">
        <v>2180</v>
      </c>
      <c r="E2257" s="9">
        <f>+Tablo3[[#This Row],[Birim Fiyat]]*Tablo3[[#This Row],[Satış Adet]]</f>
        <v>6540</v>
      </c>
      <c r="F2257" s="9">
        <v>2040</v>
      </c>
      <c r="G2257" t="s">
        <v>62</v>
      </c>
      <c r="H2257" t="s">
        <v>40</v>
      </c>
    </row>
    <row r="2258" spans="1:8" x14ac:dyDescent="0.25">
      <c r="A2258" t="s">
        <v>48</v>
      </c>
      <c r="B2258" t="s">
        <v>56</v>
      </c>
      <c r="C2258">
        <v>5</v>
      </c>
      <c r="D2258" s="9">
        <v>3700</v>
      </c>
      <c r="E2258" s="9">
        <f>+Tablo3[[#This Row],[Birim Fiyat]]*Tablo3[[#This Row],[Satış Adet]]</f>
        <v>18500</v>
      </c>
      <c r="F2258" s="9">
        <v>3500</v>
      </c>
      <c r="G2258" t="s">
        <v>62</v>
      </c>
      <c r="H2258" t="s">
        <v>14</v>
      </c>
    </row>
    <row r="2259" spans="1:8" x14ac:dyDescent="0.25">
      <c r="A2259" t="s">
        <v>38</v>
      </c>
      <c r="B2259" t="s">
        <v>9</v>
      </c>
      <c r="C2259">
        <v>3</v>
      </c>
      <c r="D2259" s="9">
        <v>6000</v>
      </c>
      <c r="E2259" s="9">
        <f>+Tablo3[[#This Row],[Birim Fiyat]]*Tablo3[[#This Row],[Satış Adet]]</f>
        <v>18000</v>
      </c>
      <c r="F2259" s="9">
        <v>6000</v>
      </c>
      <c r="G2259" t="s">
        <v>62</v>
      </c>
      <c r="H2259" t="s">
        <v>40</v>
      </c>
    </row>
    <row r="2260" spans="1:8" x14ac:dyDescent="0.25">
      <c r="A2260" t="s">
        <v>46</v>
      </c>
      <c r="B2260" t="s">
        <v>50</v>
      </c>
      <c r="C2260">
        <v>2</v>
      </c>
      <c r="D2260" s="9">
        <v>1250</v>
      </c>
      <c r="E2260" s="9">
        <f>+Tablo3[[#This Row],[Birim Fiyat]]*Tablo3[[#This Row],[Satış Adet]]</f>
        <v>2500</v>
      </c>
      <c r="F2260" s="9">
        <v>900</v>
      </c>
      <c r="G2260" t="s">
        <v>62</v>
      </c>
      <c r="H2260" t="s">
        <v>24</v>
      </c>
    </row>
    <row r="2261" spans="1:8" x14ac:dyDescent="0.25">
      <c r="A2261" t="s">
        <v>48</v>
      </c>
      <c r="B2261" t="s">
        <v>23</v>
      </c>
      <c r="C2261">
        <v>4</v>
      </c>
      <c r="D2261" s="9">
        <v>7600</v>
      </c>
      <c r="E2261" s="9">
        <f>+Tablo3[[#This Row],[Birim Fiyat]]*Tablo3[[#This Row],[Satış Adet]]</f>
        <v>30400</v>
      </c>
      <c r="F2261" s="9">
        <v>6400</v>
      </c>
      <c r="G2261" t="s">
        <v>62</v>
      </c>
      <c r="H2261" t="s">
        <v>42</v>
      </c>
    </row>
    <row r="2262" spans="1:8" x14ac:dyDescent="0.25">
      <c r="A2262" t="s">
        <v>8</v>
      </c>
      <c r="B2262" t="s">
        <v>13</v>
      </c>
      <c r="C2262">
        <v>3</v>
      </c>
      <c r="D2262" s="9">
        <v>1400</v>
      </c>
      <c r="E2262" s="9">
        <f>+Tablo3[[#This Row],[Birim Fiyat]]*Tablo3[[#This Row],[Satış Adet]]</f>
        <v>4200</v>
      </c>
      <c r="F2262" s="9">
        <v>1800</v>
      </c>
      <c r="G2262" t="s">
        <v>62</v>
      </c>
      <c r="H2262" t="s">
        <v>27</v>
      </c>
    </row>
    <row r="2263" spans="1:8" x14ac:dyDescent="0.25">
      <c r="A2263" t="s">
        <v>22</v>
      </c>
      <c r="B2263" t="s">
        <v>21</v>
      </c>
      <c r="C2263">
        <v>3</v>
      </c>
      <c r="D2263" s="9">
        <v>2180</v>
      </c>
      <c r="E2263" s="9">
        <f>+Tablo3[[#This Row],[Birim Fiyat]]*Tablo3[[#This Row],[Satış Adet]]</f>
        <v>6540</v>
      </c>
      <c r="F2263" s="9">
        <v>2040</v>
      </c>
      <c r="G2263" t="s">
        <v>62</v>
      </c>
      <c r="H2263" t="s">
        <v>40</v>
      </c>
    </row>
    <row r="2264" spans="1:8" x14ac:dyDescent="0.25">
      <c r="A2264" t="s">
        <v>8</v>
      </c>
      <c r="B2264" t="s">
        <v>31</v>
      </c>
      <c r="C2264">
        <v>4</v>
      </c>
      <c r="D2264" s="9">
        <v>1800</v>
      </c>
      <c r="E2264" s="9">
        <f>+Tablo3[[#This Row],[Birim Fiyat]]*Tablo3[[#This Row],[Satış Adet]]</f>
        <v>7200</v>
      </c>
      <c r="F2264" s="9">
        <v>4000</v>
      </c>
      <c r="G2264" t="s">
        <v>62</v>
      </c>
      <c r="H2264" t="s">
        <v>24</v>
      </c>
    </row>
    <row r="2265" spans="1:8" x14ac:dyDescent="0.25">
      <c r="A2265" t="s">
        <v>15</v>
      </c>
      <c r="B2265" t="s">
        <v>55</v>
      </c>
      <c r="C2265">
        <v>5</v>
      </c>
      <c r="D2265" s="9">
        <v>1500</v>
      </c>
      <c r="E2265" s="9">
        <f>+Tablo3[[#This Row],[Birim Fiyat]]*Tablo3[[#This Row],[Satış Adet]]</f>
        <v>7500</v>
      </c>
      <c r="F2265" s="9">
        <v>3500</v>
      </c>
      <c r="G2265" t="s">
        <v>62</v>
      </c>
      <c r="H2265" t="s">
        <v>29</v>
      </c>
    </row>
    <row r="2266" spans="1:8" x14ac:dyDescent="0.25">
      <c r="A2266" t="s">
        <v>30</v>
      </c>
      <c r="B2266" t="s">
        <v>16</v>
      </c>
      <c r="C2266">
        <v>2</v>
      </c>
      <c r="D2266" s="9">
        <v>8450</v>
      </c>
      <c r="E2266" s="9">
        <f>+Tablo3[[#This Row],[Birim Fiyat]]*Tablo3[[#This Row],[Satış Adet]]</f>
        <v>16900</v>
      </c>
      <c r="F2266" s="9">
        <v>4900</v>
      </c>
      <c r="G2266" t="s">
        <v>62</v>
      </c>
      <c r="H2266" t="s">
        <v>52</v>
      </c>
    </row>
    <row r="2267" spans="1:8" x14ac:dyDescent="0.25">
      <c r="A2267" t="s">
        <v>38</v>
      </c>
      <c r="B2267" t="s">
        <v>55</v>
      </c>
      <c r="C2267">
        <v>5</v>
      </c>
      <c r="D2267" s="9">
        <v>1500</v>
      </c>
      <c r="E2267" s="9">
        <f>+Tablo3[[#This Row],[Birim Fiyat]]*Tablo3[[#This Row],[Satış Adet]]</f>
        <v>7500</v>
      </c>
      <c r="F2267" s="9">
        <v>3500</v>
      </c>
      <c r="G2267" t="s">
        <v>62</v>
      </c>
      <c r="H2267" t="s">
        <v>39</v>
      </c>
    </row>
    <row r="2268" spans="1:8" x14ac:dyDescent="0.25">
      <c r="A2268" t="s">
        <v>67</v>
      </c>
      <c r="B2268" t="s">
        <v>9</v>
      </c>
      <c r="C2268">
        <v>3</v>
      </c>
      <c r="D2268" s="9">
        <v>6000</v>
      </c>
      <c r="E2268" s="9">
        <f>+Tablo3[[#This Row],[Birim Fiyat]]*Tablo3[[#This Row],[Satış Adet]]</f>
        <v>18000</v>
      </c>
      <c r="F2268" s="9">
        <v>6000</v>
      </c>
      <c r="G2268" t="s">
        <v>62</v>
      </c>
      <c r="H2268" t="s">
        <v>42</v>
      </c>
    </row>
    <row r="2269" spans="1:8" x14ac:dyDescent="0.25">
      <c r="A2269" t="s">
        <v>48</v>
      </c>
      <c r="B2269" t="s">
        <v>51</v>
      </c>
      <c r="C2269">
        <v>4</v>
      </c>
      <c r="D2269" s="9">
        <v>1200</v>
      </c>
      <c r="E2269" s="9">
        <f>+Tablo3[[#This Row],[Birim Fiyat]]*Tablo3[[#This Row],[Satış Adet]]</f>
        <v>4800</v>
      </c>
      <c r="F2269" s="9">
        <v>1600</v>
      </c>
      <c r="G2269" t="s">
        <v>62</v>
      </c>
      <c r="H2269" t="s">
        <v>27</v>
      </c>
    </row>
    <row r="2270" spans="1:8" x14ac:dyDescent="0.25">
      <c r="A2270" t="s">
        <v>8</v>
      </c>
      <c r="B2270" t="s">
        <v>43</v>
      </c>
      <c r="C2270">
        <v>3</v>
      </c>
      <c r="D2270" s="9">
        <v>4200</v>
      </c>
      <c r="E2270" s="9">
        <f>+Tablo3[[#This Row],[Birim Fiyat]]*Tablo3[[#This Row],[Satış Adet]]</f>
        <v>12600</v>
      </c>
      <c r="F2270" s="9">
        <v>3600</v>
      </c>
      <c r="G2270" t="s">
        <v>62</v>
      </c>
      <c r="H2270" t="s">
        <v>24</v>
      </c>
    </row>
    <row r="2271" spans="1:8" x14ac:dyDescent="0.25">
      <c r="A2271" t="s">
        <v>46</v>
      </c>
      <c r="B2271" t="s">
        <v>23</v>
      </c>
      <c r="C2271">
        <v>4</v>
      </c>
      <c r="D2271" s="9">
        <v>7600</v>
      </c>
      <c r="E2271" s="9">
        <f>+Tablo3[[#This Row],[Birim Fiyat]]*Tablo3[[#This Row],[Satış Adet]]</f>
        <v>30400</v>
      </c>
      <c r="F2271" s="9">
        <v>6400</v>
      </c>
      <c r="G2271" t="s">
        <v>62</v>
      </c>
      <c r="H2271" t="s">
        <v>24</v>
      </c>
    </row>
    <row r="2272" spans="1:8" x14ac:dyDescent="0.25">
      <c r="A2272" t="s">
        <v>67</v>
      </c>
      <c r="B2272" t="s">
        <v>25</v>
      </c>
      <c r="C2272">
        <v>2</v>
      </c>
      <c r="D2272" s="9">
        <v>7250</v>
      </c>
      <c r="E2272" s="9">
        <f>+Tablo3[[#This Row],[Birim Fiyat]]*Tablo3[[#This Row],[Satış Adet]]</f>
        <v>14500</v>
      </c>
      <c r="F2272" s="9">
        <v>4500</v>
      </c>
      <c r="G2272" t="s">
        <v>62</v>
      </c>
      <c r="H2272" t="s">
        <v>14</v>
      </c>
    </row>
    <row r="2273" spans="1:8" x14ac:dyDescent="0.25">
      <c r="A2273" t="s">
        <v>12</v>
      </c>
      <c r="B2273" t="s">
        <v>53</v>
      </c>
      <c r="C2273">
        <v>2</v>
      </c>
      <c r="D2273" s="9">
        <v>7530</v>
      </c>
      <c r="E2273" s="9">
        <f>+Tablo3[[#This Row],[Birim Fiyat]]*Tablo3[[#This Row],[Satış Adet]]</f>
        <v>15060</v>
      </c>
      <c r="F2273" s="9">
        <v>3060</v>
      </c>
      <c r="G2273" t="s">
        <v>62</v>
      </c>
      <c r="H2273" t="s">
        <v>14</v>
      </c>
    </row>
    <row r="2274" spans="1:8" x14ac:dyDescent="0.25">
      <c r="A2274" t="s">
        <v>15</v>
      </c>
      <c r="B2274" t="s">
        <v>25</v>
      </c>
      <c r="C2274">
        <v>3</v>
      </c>
      <c r="D2274" s="9">
        <v>7250</v>
      </c>
      <c r="E2274" s="9">
        <f>+Tablo3[[#This Row],[Birim Fiyat]]*Tablo3[[#This Row],[Satış Adet]]</f>
        <v>21750</v>
      </c>
      <c r="F2274" s="9">
        <v>6750</v>
      </c>
      <c r="G2274" t="s">
        <v>62</v>
      </c>
      <c r="H2274" t="s">
        <v>44</v>
      </c>
    </row>
    <row r="2275" spans="1:8" x14ac:dyDescent="0.25">
      <c r="A2275" t="s">
        <v>12</v>
      </c>
      <c r="B2275" t="s">
        <v>9</v>
      </c>
      <c r="C2275">
        <v>4</v>
      </c>
      <c r="D2275" s="9">
        <v>6000</v>
      </c>
      <c r="E2275" s="9">
        <f>+Tablo3[[#This Row],[Birim Fiyat]]*Tablo3[[#This Row],[Satış Adet]]</f>
        <v>24000</v>
      </c>
      <c r="F2275" s="9">
        <v>8000</v>
      </c>
      <c r="G2275" t="s">
        <v>62</v>
      </c>
      <c r="H2275" t="s">
        <v>17</v>
      </c>
    </row>
    <row r="2276" spans="1:8" x14ac:dyDescent="0.25">
      <c r="A2276" t="s">
        <v>67</v>
      </c>
      <c r="B2276" t="s">
        <v>51</v>
      </c>
      <c r="C2276">
        <v>2</v>
      </c>
      <c r="D2276" s="9">
        <v>1200</v>
      </c>
      <c r="E2276" s="9">
        <f>+Tablo3[[#This Row],[Birim Fiyat]]*Tablo3[[#This Row],[Satış Adet]]</f>
        <v>2400</v>
      </c>
      <c r="F2276" s="9">
        <v>800</v>
      </c>
      <c r="G2276" t="s">
        <v>62</v>
      </c>
      <c r="H2276" t="s">
        <v>52</v>
      </c>
    </row>
    <row r="2277" spans="1:8" x14ac:dyDescent="0.25">
      <c r="A2277" t="s">
        <v>48</v>
      </c>
      <c r="B2277" t="s">
        <v>54</v>
      </c>
      <c r="C2277">
        <v>2</v>
      </c>
      <c r="D2277" s="9">
        <v>5300</v>
      </c>
      <c r="E2277" s="9">
        <f>+Tablo3[[#This Row],[Birim Fiyat]]*Tablo3[[#This Row],[Satış Adet]]</f>
        <v>10600</v>
      </c>
      <c r="F2277" s="9">
        <v>2600</v>
      </c>
      <c r="G2277" t="s">
        <v>62</v>
      </c>
      <c r="H2277" t="s">
        <v>40</v>
      </c>
    </row>
    <row r="2278" spans="1:8" x14ac:dyDescent="0.25">
      <c r="A2278" t="s">
        <v>36</v>
      </c>
      <c r="B2278" t="s">
        <v>16</v>
      </c>
      <c r="C2278">
        <v>4</v>
      </c>
      <c r="D2278" s="9">
        <v>8450</v>
      </c>
      <c r="E2278" s="9">
        <f>+Tablo3[[#This Row],[Birim Fiyat]]*Tablo3[[#This Row],[Satış Adet]]</f>
        <v>33800</v>
      </c>
      <c r="F2278" s="9">
        <v>9800</v>
      </c>
      <c r="G2278" t="s">
        <v>62</v>
      </c>
      <c r="H2278" t="s">
        <v>11</v>
      </c>
    </row>
    <row r="2279" spans="1:8" x14ac:dyDescent="0.25">
      <c r="A2279" t="s">
        <v>22</v>
      </c>
      <c r="B2279" t="s">
        <v>19</v>
      </c>
      <c r="C2279">
        <v>5</v>
      </c>
      <c r="D2279" s="9">
        <v>1350</v>
      </c>
      <c r="E2279" s="9">
        <f>+Tablo3[[#This Row],[Birim Fiyat]]*Tablo3[[#This Row],[Satış Adet]]</f>
        <v>6750</v>
      </c>
      <c r="F2279" s="9">
        <v>2750</v>
      </c>
      <c r="G2279" t="s">
        <v>62</v>
      </c>
      <c r="H2279" t="s">
        <v>40</v>
      </c>
    </row>
    <row r="2280" spans="1:8" x14ac:dyDescent="0.25">
      <c r="A2280" t="s">
        <v>30</v>
      </c>
      <c r="B2280" t="s">
        <v>32</v>
      </c>
      <c r="C2280">
        <v>2</v>
      </c>
      <c r="D2280" s="9">
        <v>1090</v>
      </c>
      <c r="E2280" s="9">
        <f>+Tablo3[[#This Row],[Birim Fiyat]]*Tablo3[[#This Row],[Satış Adet]]</f>
        <v>2180</v>
      </c>
      <c r="F2280" s="9">
        <v>580</v>
      </c>
      <c r="G2280" t="s">
        <v>62</v>
      </c>
      <c r="H2280" t="s">
        <v>27</v>
      </c>
    </row>
    <row r="2281" spans="1:8" x14ac:dyDescent="0.25">
      <c r="A2281" t="s">
        <v>22</v>
      </c>
      <c r="B2281" t="s">
        <v>21</v>
      </c>
      <c r="C2281">
        <v>4</v>
      </c>
      <c r="D2281" s="9">
        <v>2180</v>
      </c>
      <c r="E2281" s="9">
        <f>+Tablo3[[#This Row],[Birim Fiyat]]*Tablo3[[#This Row],[Satış Adet]]</f>
        <v>8720</v>
      </c>
      <c r="F2281" s="9">
        <v>2720</v>
      </c>
      <c r="G2281" t="s">
        <v>62</v>
      </c>
      <c r="H2281" t="s">
        <v>42</v>
      </c>
    </row>
    <row r="2282" spans="1:8" x14ac:dyDescent="0.25">
      <c r="A2282" t="s">
        <v>8</v>
      </c>
      <c r="B2282" t="s">
        <v>9</v>
      </c>
      <c r="C2282">
        <v>3</v>
      </c>
      <c r="D2282" s="9">
        <v>6000</v>
      </c>
      <c r="E2282" s="9">
        <f>+Tablo3[[#This Row],[Birim Fiyat]]*Tablo3[[#This Row],[Satış Adet]]</f>
        <v>18000</v>
      </c>
      <c r="F2282" s="9">
        <v>6000</v>
      </c>
      <c r="G2282" t="s">
        <v>62</v>
      </c>
      <c r="H2282" t="s">
        <v>27</v>
      </c>
    </row>
    <row r="2283" spans="1:8" x14ac:dyDescent="0.25">
      <c r="A2283" t="s">
        <v>12</v>
      </c>
      <c r="B2283" t="s">
        <v>13</v>
      </c>
      <c r="C2283">
        <v>2</v>
      </c>
      <c r="D2283" s="9">
        <v>1400</v>
      </c>
      <c r="E2283" s="9">
        <f>+Tablo3[[#This Row],[Birim Fiyat]]*Tablo3[[#This Row],[Satış Adet]]</f>
        <v>2800</v>
      </c>
      <c r="F2283" s="9">
        <v>1200</v>
      </c>
      <c r="G2283" t="s">
        <v>62</v>
      </c>
      <c r="H2283" t="s">
        <v>52</v>
      </c>
    </row>
    <row r="2284" spans="1:8" x14ac:dyDescent="0.25">
      <c r="A2284" t="s">
        <v>15</v>
      </c>
      <c r="B2284" t="s">
        <v>16</v>
      </c>
      <c r="C2284">
        <v>5</v>
      </c>
      <c r="D2284" s="9">
        <v>8450</v>
      </c>
      <c r="E2284" s="9">
        <f>+Tablo3[[#This Row],[Birim Fiyat]]*Tablo3[[#This Row],[Satış Adet]]</f>
        <v>42250</v>
      </c>
      <c r="F2284" s="9">
        <v>12250</v>
      </c>
      <c r="G2284" t="s">
        <v>62</v>
      </c>
      <c r="H2284" t="s">
        <v>42</v>
      </c>
    </row>
    <row r="2285" spans="1:8" x14ac:dyDescent="0.25">
      <c r="A2285" t="s">
        <v>18</v>
      </c>
      <c r="B2285" t="s">
        <v>19</v>
      </c>
      <c r="C2285">
        <v>5</v>
      </c>
      <c r="D2285" s="9">
        <v>1350</v>
      </c>
      <c r="E2285" s="9">
        <f>+Tablo3[[#This Row],[Birim Fiyat]]*Tablo3[[#This Row],[Satış Adet]]</f>
        <v>6750</v>
      </c>
      <c r="F2285" s="9">
        <v>2750</v>
      </c>
      <c r="G2285" t="s">
        <v>62</v>
      </c>
      <c r="H2285" t="s">
        <v>24</v>
      </c>
    </row>
    <row r="2286" spans="1:8" x14ac:dyDescent="0.25">
      <c r="A2286" t="s">
        <v>8</v>
      </c>
      <c r="B2286" t="s">
        <v>21</v>
      </c>
      <c r="C2286">
        <v>3</v>
      </c>
      <c r="D2286" s="9">
        <v>2180</v>
      </c>
      <c r="E2286" s="9">
        <f>+Tablo3[[#This Row],[Birim Fiyat]]*Tablo3[[#This Row],[Satış Adet]]</f>
        <v>6540</v>
      </c>
      <c r="F2286" s="9">
        <v>2040</v>
      </c>
      <c r="G2286" t="s">
        <v>62</v>
      </c>
      <c r="H2286" t="s">
        <v>20</v>
      </c>
    </row>
    <row r="2287" spans="1:8" x14ac:dyDescent="0.25">
      <c r="A2287" t="s">
        <v>22</v>
      </c>
      <c r="B2287" t="s">
        <v>23</v>
      </c>
      <c r="C2287">
        <v>2</v>
      </c>
      <c r="D2287" s="9">
        <v>7600</v>
      </c>
      <c r="E2287" s="9">
        <f>+Tablo3[[#This Row],[Birim Fiyat]]*Tablo3[[#This Row],[Satış Adet]]</f>
        <v>15200</v>
      </c>
      <c r="F2287" s="9">
        <v>3200</v>
      </c>
      <c r="G2287" t="s">
        <v>62</v>
      </c>
      <c r="H2287" t="s">
        <v>17</v>
      </c>
    </row>
    <row r="2288" spans="1:8" x14ac:dyDescent="0.25">
      <c r="A2288" t="s">
        <v>12</v>
      </c>
      <c r="B2288" t="s">
        <v>25</v>
      </c>
      <c r="C2288">
        <v>3</v>
      </c>
      <c r="D2288" s="9">
        <v>7250</v>
      </c>
      <c r="E2288" s="9">
        <f>+Tablo3[[#This Row],[Birim Fiyat]]*Tablo3[[#This Row],[Satış Adet]]</f>
        <v>21750</v>
      </c>
      <c r="F2288" s="9">
        <v>6750</v>
      </c>
      <c r="G2288" t="s">
        <v>62</v>
      </c>
      <c r="H2288" t="s">
        <v>24</v>
      </c>
    </row>
    <row r="2289" spans="1:8" x14ac:dyDescent="0.25">
      <c r="A2289" t="s">
        <v>18</v>
      </c>
      <c r="B2289" t="s">
        <v>26</v>
      </c>
      <c r="C2289">
        <v>3</v>
      </c>
      <c r="D2289" s="9">
        <v>1100</v>
      </c>
      <c r="E2289" s="9">
        <f>+Tablo3[[#This Row],[Birim Fiyat]]*Tablo3[[#This Row],[Satış Adet]]</f>
        <v>3300</v>
      </c>
      <c r="F2289" s="9">
        <v>900</v>
      </c>
      <c r="G2289" t="s">
        <v>62</v>
      </c>
      <c r="H2289" t="s">
        <v>14</v>
      </c>
    </row>
    <row r="2290" spans="1:8" x14ac:dyDescent="0.25">
      <c r="A2290" t="s">
        <v>67</v>
      </c>
      <c r="B2290" t="s">
        <v>9</v>
      </c>
      <c r="C2290">
        <v>3</v>
      </c>
      <c r="D2290" s="9">
        <v>6000</v>
      </c>
      <c r="E2290" s="9">
        <f>+Tablo3[[#This Row],[Birim Fiyat]]*Tablo3[[#This Row],[Satış Adet]]</f>
        <v>18000</v>
      </c>
      <c r="F2290" s="9">
        <v>6000</v>
      </c>
      <c r="G2290" t="s">
        <v>62</v>
      </c>
      <c r="H2290" t="s">
        <v>39</v>
      </c>
    </row>
    <row r="2291" spans="1:8" x14ac:dyDescent="0.25">
      <c r="A2291" t="s">
        <v>8</v>
      </c>
      <c r="B2291" t="s">
        <v>28</v>
      </c>
      <c r="C2291">
        <v>3</v>
      </c>
      <c r="D2291" s="9">
        <v>1200</v>
      </c>
      <c r="E2291" s="9">
        <f>+Tablo3[[#This Row],[Birim Fiyat]]*Tablo3[[#This Row],[Satış Adet]]</f>
        <v>3600</v>
      </c>
      <c r="F2291" s="9">
        <v>1200</v>
      </c>
      <c r="G2291" t="s">
        <v>62</v>
      </c>
      <c r="H2291" t="s">
        <v>29</v>
      </c>
    </row>
    <row r="2292" spans="1:8" x14ac:dyDescent="0.25">
      <c r="A2292" t="s">
        <v>30</v>
      </c>
      <c r="B2292" t="s">
        <v>31</v>
      </c>
      <c r="C2292">
        <v>2</v>
      </c>
      <c r="D2292" s="9">
        <v>1800</v>
      </c>
      <c r="E2292" s="9">
        <f>+Tablo3[[#This Row],[Birim Fiyat]]*Tablo3[[#This Row],[Satış Adet]]</f>
        <v>3600</v>
      </c>
      <c r="F2292" s="9">
        <v>2000</v>
      </c>
      <c r="G2292" t="s">
        <v>62</v>
      </c>
      <c r="H2292" t="s">
        <v>35</v>
      </c>
    </row>
    <row r="2293" spans="1:8" x14ac:dyDescent="0.25">
      <c r="A2293" t="s">
        <v>30</v>
      </c>
      <c r="B2293" t="s">
        <v>32</v>
      </c>
      <c r="C2293">
        <v>2</v>
      </c>
      <c r="D2293" s="9">
        <v>1090</v>
      </c>
      <c r="E2293" s="9">
        <f>+Tablo3[[#This Row],[Birim Fiyat]]*Tablo3[[#This Row],[Satış Adet]]</f>
        <v>2180</v>
      </c>
      <c r="F2293" s="9">
        <v>580</v>
      </c>
      <c r="G2293" t="s">
        <v>62</v>
      </c>
      <c r="H2293" t="s">
        <v>17</v>
      </c>
    </row>
    <row r="2294" spans="1:8" x14ac:dyDescent="0.25">
      <c r="A2294" t="s">
        <v>67</v>
      </c>
      <c r="B2294" t="s">
        <v>21</v>
      </c>
      <c r="C2294">
        <v>3</v>
      </c>
      <c r="D2294" s="9">
        <v>2180</v>
      </c>
      <c r="E2294" s="9">
        <f>+Tablo3[[#This Row],[Birim Fiyat]]*Tablo3[[#This Row],[Satış Adet]]</f>
        <v>6540</v>
      </c>
      <c r="F2294" s="9">
        <v>2040</v>
      </c>
      <c r="G2294" t="s">
        <v>62</v>
      </c>
      <c r="H2294" t="s">
        <v>39</v>
      </c>
    </row>
    <row r="2295" spans="1:8" x14ac:dyDescent="0.25">
      <c r="A2295" t="s">
        <v>33</v>
      </c>
      <c r="B2295" t="s">
        <v>31</v>
      </c>
      <c r="C2295">
        <v>2</v>
      </c>
      <c r="D2295" s="9">
        <v>1800</v>
      </c>
      <c r="E2295" s="9">
        <f>+Tablo3[[#This Row],[Birim Fiyat]]*Tablo3[[#This Row],[Satış Adet]]</f>
        <v>3600</v>
      </c>
      <c r="F2295" s="9">
        <v>2000</v>
      </c>
      <c r="G2295" t="s">
        <v>62</v>
      </c>
      <c r="H2295" t="s">
        <v>27</v>
      </c>
    </row>
    <row r="2296" spans="1:8" x14ac:dyDescent="0.25">
      <c r="A2296" t="s">
        <v>22</v>
      </c>
      <c r="B2296" t="s">
        <v>34</v>
      </c>
      <c r="C2296">
        <v>2</v>
      </c>
      <c r="D2296" s="9">
        <v>8000</v>
      </c>
      <c r="E2296" s="9">
        <f>+Tablo3[[#This Row],[Birim Fiyat]]*Tablo3[[#This Row],[Satış Adet]]</f>
        <v>16000</v>
      </c>
      <c r="F2296" s="9">
        <v>4000</v>
      </c>
      <c r="G2296" t="s">
        <v>62</v>
      </c>
      <c r="H2296" t="s">
        <v>20</v>
      </c>
    </row>
    <row r="2297" spans="1:8" x14ac:dyDescent="0.25">
      <c r="A2297" t="s">
        <v>67</v>
      </c>
      <c r="B2297" t="s">
        <v>13</v>
      </c>
      <c r="C2297">
        <v>5</v>
      </c>
      <c r="D2297" s="9">
        <v>1400</v>
      </c>
      <c r="E2297" s="9">
        <f>+Tablo3[[#This Row],[Birim Fiyat]]*Tablo3[[#This Row],[Satış Adet]]</f>
        <v>7000</v>
      </c>
      <c r="F2297" s="9">
        <v>3000</v>
      </c>
      <c r="G2297" t="s">
        <v>62</v>
      </c>
      <c r="H2297" t="s">
        <v>17</v>
      </c>
    </row>
    <row r="2298" spans="1:8" x14ac:dyDescent="0.25">
      <c r="A2298" t="s">
        <v>36</v>
      </c>
      <c r="B2298" t="s">
        <v>37</v>
      </c>
      <c r="C2298">
        <v>3</v>
      </c>
      <c r="D2298" s="9">
        <v>10590</v>
      </c>
      <c r="E2298" s="9">
        <f>+Tablo3[[#This Row],[Birim Fiyat]]*Tablo3[[#This Row],[Satış Adet]]</f>
        <v>31770</v>
      </c>
      <c r="F2298" s="9">
        <v>13770</v>
      </c>
      <c r="G2298" t="s">
        <v>62</v>
      </c>
      <c r="H2298" t="s">
        <v>14</v>
      </c>
    </row>
    <row r="2299" spans="1:8" x14ac:dyDescent="0.25">
      <c r="A2299" t="s">
        <v>38</v>
      </c>
      <c r="B2299" t="s">
        <v>19</v>
      </c>
      <c r="C2299">
        <v>3</v>
      </c>
      <c r="D2299" s="9">
        <v>1350</v>
      </c>
      <c r="E2299" s="9">
        <f>+Tablo3[[#This Row],[Birim Fiyat]]*Tablo3[[#This Row],[Satış Adet]]</f>
        <v>4050</v>
      </c>
      <c r="F2299" s="9">
        <v>1650</v>
      </c>
      <c r="G2299" t="s">
        <v>62</v>
      </c>
      <c r="H2299" t="s">
        <v>42</v>
      </c>
    </row>
    <row r="2300" spans="1:8" x14ac:dyDescent="0.25">
      <c r="A2300" t="s">
        <v>30</v>
      </c>
      <c r="B2300" t="s">
        <v>13</v>
      </c>
      <c r="C2300">
        <v>3</v>
      </c>
      <c r="D2300" s="9">
        <v>1400</v>
      </c>
      <c r="E2300" s="9">
        <f>+Tablo3[[#This Row],[Birim Fiyat]]*Tablo3[[#This Row],[Satış Adet]]</f>
        <v>4200</v>
      </c>
      <c r="F2300" s="9">
        <v>1800</v>
      </c>
      <c r="G2300" t="s">
        <v>62</v>
      </c>
      <c r="H2300" t="s">
        <v>52</v>
      </c>
    </row>
    <row r="2301" spans="1:8" x14ac:dyDescent="0.25">
      <c r="A2301" t="s">
        <v>18</v>
      </c>
      <c r="B2301" t="s">
        <v>9</v>
      </c>
      <c r="C2301">
        <v>2</v>
      </c>
      <c r="D2301" s="9">
        <v>6000</v>
      </c>
      <c r="E2301" s="9">
        <f>+Tablo3[[#This Row],[Birim Fiyat]]*Tablo3[[#This Row],[Satış Adet]]</f>
        <v>12000</v>
      </c>
      <c r="F2301" s="9">
        <v>4000</v>
      </c>
      <c r="G2301" t="s">
        <v>62</v>
      </c>
      <c r="H2301" t="s">
        <v>24</v>
      </c>
    </row>
    <row r="2302" spans="1:8" x14ac:dyDescent="0.25">
      <c r="A2302" t="s">
        <v>36</v>
      </c>
      <c r="B2302" t="s">
        <v>26</v>
      </c>
      <c r="C2302">
        <v>5</v>
      </c>
      <c r="D2302" s="9">
        <v>1100</v>
      </c>
      <c r="E2302" s="9">
        <f>+Tablo3[[#This Row],[Birim Fiyat]]*Tablo3[[#This Row],[Satış Adet]]</f>
        <v>5500</v>
      </c>
      <c r="F2302" s="9">
        <v>1500</v>
      </c>
      <c r="G2302" t="s">
        <v>62</v>
      </c>
      <c r="H2302" t="s">
        <v>17</v>
      </c>
    </row>
    <row r="2303" spans="1:8" x14ac:dyDescent="0.25">
      <c r="A2303" t="s">
        <v>15</v>
      </c>
      <c r="B2303" t="s">
        <v>9</v>
      </c>
      <c r="C2303">
        <v>5</v>
      </c>
      <c r="D2303" s="9">
        <v>6000</v>
      </c>
      <c r="E2303" s="9">
        <f>+Tablo3[[#This Row],[Birim Fiyat]]*Tablo3[[#This Row],[Satış Adet]]</f>
        <v>30000</v>
      </c>
      <c r="F2303" s="9">
        <v>10000</v>
      </c>
      <c r="G2303" t="s">
        <v>62</v>
      </c>
      <c r="H2303" t="s">
        <v>29</v>
      </c>
    </row>
    <row r="2304" spans="1:8" x14ac:dyDescent="0.25">
      <c r="A2304" t="s">
        <v>38</v>
      </c>
      <c r="B2304" t="s">
        <v>41</v>
      </c>
      <c r="C2304">
        <v>5</v>
      </c>
      <c r="D2304" s="9">
        <v>1490</v>
      </c>
      <c r="E2304" s="9">
        <f>+Tablo3[[#This Row],[Birim Fiyat]]*Tablo3[[#This Row],[Satış Adet]]</f>
        <v>7450</v>
      </c>
      <c r="F2304" s="9">
        <v>3450</v>
      </c>
      <c r="G2304" t="s">
        <v>62</v>
      </c>
      <c r="H2304" t="s">
        <v>11</v>
      </c>
    </row>
    <row r="2305" spans="1:8" x14ac:dyDescent="0.25">
      <c r="A2305" t="s">
        <v>36</v>
      </c>
      <c r="B2305" t="s">
        <v>37</v>
      </c>
      <c r="C2305">
        <v>3</v>
      </c>
      <c r="D2305" s="9">
        <v>10590</v>
      </c>
      <c r="E2305" s="9">
        <f>+Tablo3[[#This Row],[Birim Fiyat]]*Tablo3[[#This Row],[Satış Adet]]</f>
        <v>31770</v>
      </c>
      <c r="F2305" s="9">
        <v>13770</v>
      </c>
      <c r="G2305" t="s">
        <v>62</v>
      </c>
      <c r="H2305" t="s">
        <v>17</v>
      </c>
    </row>
    <row r="2306" spans="1:8" x14ac:dyDescent="0.25">
      <c r="A2306" t="s">
        <v>15</v>
      </c>
      <c r="B2306" t="s">
        <v>34</v>
      </c>
      <c r="C2306">
        <v>4</v>
      </c>
      <c r="D2306" s="9">
        <v>8000</v>
      </c>
      <c r="E2306" s="9">
        <f>+Tablo3[[#This Row],[Birim Fiyat]]*Tablo3[[#This Row],[Satış Adet]]</f>
        <v>32000</v>
      </c>
      <c r="F2306" s="9">
        <v>8000</v>
      </c>
      <c r="G2306" t="s">
        <v>62</v>
      </c>
      <c r="H2306" t="s">
        <v>24</v>
      </c>
    </row>
    <row r="2307" spans="1:8" x14ac:dyDescent="0.25">
      <c r="A2307" t="s">
        <v>30</v>
      </c>
      <c r="B2307" t="s">
        <v>26</v>
      </c>
      <c r="C2307">
        <v>2</v>
      </c>
      <c r="D2307" s="9">
        <v>1100</v>
      </c>
      <c r="E2307" s="9">
        <f>+Tablo3[[#This Row],[Birim Fiyat]]*Tablo3[[#This Row],[Satış Adet]]</f>
        <v>2200</v>
      </c>
      <c r="F2307" s="9">
        <v>600</v>
      </c>
      <c r="G2307" t="s">
        <v>62</v>
      </c>
      <c r="H2307" t="s">
        <v>35</v>
      </c>
    </row>
    <row r="2308" spans="1:8" x14ac:dyDescent="0.25">
      <c r="A2308" t="s">
        <v>38</v>
      </c>
      <c r="B2308" t="s">
        <v>28</v>
      </c>
      <c r="C2308">
        <v>5</v>
      </c>
      <c r="D2308" s="9">
        <v>1200</v>
      </c>
      <c r="E2308" s="9">
        <f>+Tablo3[[#This Row],[Birim Fiyat]]*Tablo3[[#This Row],[Satış Adet]]</f>
        <v>6000</v>
      </c>
      <c r="F2308" s="9">
        <v>2000</v>
      </c>
      <c r="G2308" t="s">
        <v>62</v>
      </c>
      <c r="H2308" t="s">
        <v>44</v>
      </c>
    </row>
    <row r="2309" spans="1:8" x14ac:dyDescent="0.25">
      <c r="A2309" t="s">
        <v>22</v>
      </c>
      <c r="B2309" t="s">
        <v>43</v>
      </c>
      <c r="C2309">
        <v>3</v>
      </c>
      <c r="D2309" s="9">
        <v>4200</v>
      </c>
      <c r="E2309" s="9">
        <f>+Tablo3[[#This Row],[Birim Fiyat]]*Tablo3[[#This Row],[Satış Adet]]</f>
        <v>12600</v>
      </c>
      <c r="F2309" s="9">
        <v>3600</v>
      </c>
      <c r="G2309" t="s">
        <v>62</v>
      </c>
      <c r="H2309" t="s">
        <v>44</v>
      </c>
    </row>
    <row r="2310" spans="1:8" x14ac:dyDescent="0.25">
      <c r="A2310" t="s">
        <v>12</v>
      </c>
      <c r="B2310" t="s">
        <v>45</v>
      </c>
      <c r="C2310">
        <v>5</v>
      </c>
      <c r="D2310" s="9">
        <v>5775</v>
      </c>
      <c r="E2310" s="9">
        <f>+Tablo3[[#This Row],[Birim Fiyat]]*Tablo3[[#This Row],[Satış Adet]]</f>
        <v>28875</v>
      </c>
      <c r="F2310" s="9">
        <v>8875</v>
      </c>
      <c r="G2310" t="s">
        <v>62</v>
      </c>
      <c r="H2310" t="s">
        <v>11</v>
      </c>
    </row>
    <row r="2311" spans="1:8" x14ac:dyDescent="0.25">
      <c r="A2311" t="s">
        <v>46</v>
      </c>
      <c r="B2311" t="s">
        <v>23</v>
      </c>
      <c r="C2311">
        <v>2</v>
      </c>
      <c r="D2311" s="9">
        <v>7600</v>
      </c>
      <c r="E2311" s="9">
        <f>+Tablo3[[#This Row],[Birim Fiyat]]*Tablo3[[#This Row],[Satış Adet]]</f>
        <v>15200</v>
      </c>
      <c r="F2311" s="9">
        <v>3200</v>
      </c>
      <c r="G2311" t="s">
        <v>62</v>
      </c>
      <c r="H2311" t="s">
        <v>20</v>
      </c>
    </row>
    <row r="2312" spans="1:8" x14ac:dyDescent="0.25">
      <c r="A2312" t="s">
        <v>12</v>
      </c>
      <c r="B2312" t="s">
        <v>25</v>
      </c>
      <c r="C2312">
        <v>4</v>
      </c>
      <c r="D2312" s="9">
        <v>7250</v>
      </c>
      <c r="E2312" s="9">
        <f>+Tablo3[[#This Row],[Birim Fiyat]]*Tablo3[[#This Row],[Satış Adet]]</f>
        <v>29000</v>
      </c>
      <c r="F2312" s="9">
        <v>9000</v>
      </c>
      <c r="G2312" t="s">
        <v>62</v>
      </c>
      <c r="H2312" t="s">
        <v>44</v>
      </c>
    </row>
    <row r="2313" spans="1:8" x14ac:dyDescent="0.25">
      <c r="A2313" t="s">
        <v>8</v>
      </c>
      <c r="B2313" t="s">
        <v>25</v>
      </c>
      <c r="C2313">
        <v>4</v>
      </c>
      <c r="D2313" s="9">
        <v>7250</v>
      </c>
      <c r="E2313" s="9">
        <f>+Tablo3[[#This Row],[Birim Fiyat]]*Tablo3[[#This Row],[Satış Adet]]</f>
        <v>29000</v>
      </c>
      <c r="F2313" s="9">
        <v>9000</v>
      </c>
      <c r="G2313" t="s">
        <v>62</v>
      </c>
      <c r="H2313" t="s">
        <v>29</v>
      </c>
    </row>
    <row r="2314" spans="1:8" x14ac:dyDescent="0.25">
      <c r="A2314" t="s">
        <v>36</v>
      </c>
      <c r="B2314" t="s">
        <v>25</v>
      </c>
      <c r="C2314">
        <v>2</v>
      </c>
      <c r="D2314" s="9">
        <v>7250</v>
      </c>
      <c r="E2314" s="9">
        <f>+Tablo3[[#This Row],[Birim Fiyat]]*Tablo3[[#This Row],[Satış Adet]]</f>
        <v>14500</v>
      </c>
      <c r="F2314" s="9">
        <v>4500</v>
      </c>
      <c r="G2314" t="s">
        <v>62</v>
      </c>
      <c r="H2314" t="s">
        <v>40</v>
      </c>
    </row>
    <row r="2315" spans="1:8" x14ac:dyDescent="0.25">
      <c r="A2315" t="s">
        <v>67</v>
      </c>
      <c r="B2315" t="s">
        <v>19</v>
      </c>
      <c r="C2315">
        <v>5</v>
      </c>
      <c r="D2315" s="9">
        <v>1350</v>
      </c>
      <c r="E2315" s="9">
        <f>+Tablo3[[#This Row],[Birim Fiyat]]*Tablo3[[#This Row],[Satış Adet]]</f>
        <v>6750</v>
      </c>
      <c r="F2315" s="9">
        <v>2750</v>
      </c>
      <c r="G2315" t="s">
        <v>62</v>
      </c>
      <c r="H2315" t="s">
        <v>11</v>
      </c>
    </row>
    <row r="2316" spans="1:8" x14ac:dyDescent="0.25">
      <c r="A2316" t="s">
        <v>12</v>
      </c>
      <c r="B2316" t="s">
        <v>25</v>
      </c>
      <c r="C2316">
        <v>2</v>
      </c>
      <c r="D2316" s="9">
        <v>7250</v>
      </c>
      <c r="E2316" s="9">
        <f>+Tablo3[[#This Row],[Birim Fiyat]]*Tablo3[[#This Row],[Satış Adet]]</f>
        <v>14500</v>
      </c>
      <c r="F2316" s="9">
        <v>4500</v>
      </c>
      <c r="G2316" t="s">
        <v>62</v>
      </c>
      <c r="H2316" t="s">
        <v>24</v>
      </c>
    </row>
    <row r="2317" spans="1:8" x14ac:dyDescent="0.25">
      <c r="A2317" t="s">
        <v>30</v>
      </c>
      <c r="B2317" t="s">
        <v>23</v>
      </c>
      <c r="C2317">
        <v>2</v>
      </c>
      <c r="D2317" s="9">
        <v>7600</v>
      </c>
      <c r="E2317" s="9">
        <f>+Tablo3[[#This Row],[Birim Fiyat]]*Tablo3[[#This Row],[Satış Adet]]</f>
        <v>15200</v>
      </c>
      <c r="F2317" s="9">
        <v>3200</v>
      </c>
      <c r="G2317" t="s">
        <v>62</v>
      </c>
      <c r="H2317" t="s">
        <v>17</v>
      </c>
    </row>
    <row r="2318" spans="1:8" x14ac:dyDescent="0.25">
      <c r="A2318" t="s">
        <v>48</v>
      </c>
      <c r="B2318" t="s">
        <v>23</v>
      </c>
      <c r="C2318">
        <v>4</v>
      </c>
      <c r="D2318" s="9">
        <v>7600</v>
      </c>
      <c r="E2318" s="9">
        <f>+Tablo3[[#This Row],[Birim Fiyat]]*Tablo3[[#This Row],[Satış Adet]]</f>
        <v>30400</v>
      </c>
      <c r="F2318" s="9">
        <v>6400</v>
      </c>
      <c r="G2318" t="s">
        <v>62</v>
      </c>
      <c r="H2318" t="s">
        <v>35</v>
      </c>
    </row>
    <row r="2319" spans="1:8" x14ac:dyDescent="0.25">
      <c r="A2319" t="s">
        <v>12</v>
      </c>
      <c r="B2319" t="s">
        <v>41</v>
      </c>
      <c r="C2319">
        <v>3</v>
      </c>
      <c r="D2319" s="9">
        <v>1490</v>
      </c>
      <c r="E2319" s="9">
        <f>+Tablo3[[#This Row],[Birim Fiyat]]*Tablo3[[#This Row],[Satış Adet]]</f>
        <v>4470</v>
      </c>
      <c r="F2319" s="9">
        <v>2070</v>
      </c>
      <c r="G2319" t="s">
        <v>62</v>
      </c>
      <c r="H2319" t="s">
        <v>42</v>
      </c>
    </row>
    <row r="2320" spans="1:8" x14ac:dyDescent="0.25">
      <c r="A2320" t="s">
        <v>67</v>
      </c>
      <c r="B2320" t="s">
        <v>49</v>
      </c>
      <c r="C2320">
        <v>4</v>
      </c>
      <c r="D2320" s="9">
        <v>2900</v>
      </c>
      <c r="E2320" s="9">
        <f>+Tablo3[[#This Row],[Birim Fiyat]]*Tablo3[[#This Row],[Satış Adet]]</f>
        <v>11600</v>
      </c>
      <c r="F2320" s="9">
        <v>3600</v>
      </c>
      <c r="G2320" t="s">
        <v>62</v>
      </c>
      <c r="H2320" t="s">
        <v>27</v>
      </c>
    </row>
    <row r="2321" spans="1:8" x14ac:dyDescent="0.25">
      <c r="A2321" t="s">
        <v>38</v>
      </c>
      <c r="B2321" t="s">
        <v>41</v>
      </c>
      <c r="C2321">
        <v>2</v>
      </c>
      <c r="D2321" s="9">
        <v>1490</v>
      </c>
      <c r="E2321" s="9">
        <f>+Tablo3[[#This Row],[Birim Fiyat]]*Tablo3[[#This Row],[Satış Adet]]</f>
        <v>2980</v>
      </c>
      <c r="F2321" s="9">
        <v>1380</v>
      </c>
      <c r="G2321" t="s">
        <v>62</v>
      </c>
      <c r="H2321" t="s">
        <v>39</v>
      </c>
    </row>
    <row r="2322" spans="1:8" x14ac:dyDescent="0.25">
      <c r="A2322" t="s">
        <v>38</v>
      </c>
      <c r="B2322" t="s">
        <v>32</v>
      </c>
      <c r="C2322">
        <v>4</v>
      </c>
      <c r="D2322" s="9">
        <v>1090</v>
      </c>
      <c r="E2322" s="9">
        <f>+Tablo3[[#This Row],[Birim Fiyat]]*Tablo3[[#This Row],[Satış Adet]]</f>
        <v>4360</v>
      </c>
      <c r="F2322" s="9">
        <v>1160</v>
      </c>
      <c r="G2322" t="s">
        <v>62</v>
      </c>
      <c r="H2322" t="s">
        <v>27</v>
      </c>
    </row>
    <row r="2323" spans="1:8" x14ac:dyDescent="0.25">
      <c r="A2323" t="s">
        <v>67</v>
      </c>
      <c r="B2323" t="s">
        <v>28</v>
      </c>
      <c r="C2323">
        <v>4</v>
      </c>
      <c r="D2323" s="9">
        <v>1200</v>
      </c>
      <c r="E2323" s="9">
        <f>+Tablo3[[#This Row],[Birim Fiyat]]*Tablo3[[#This Row],[Satış Adet]]</f>
        <v>4800</v>
      </c>
      <c r="F2323" s="9">
        <v>1600</v>
      </c>
      <c r="G2323" t="s">
        <v>62</v>
      </c>
      <c r="H2323" t="s">
        <v>29</v>
      </c>
    </row>
    <row r="2324" spans="1:8" x14ac:dyDescent="0.25">
      <c r="A2324" t="s">
        <v>36</v>
      </c>
      <c r="B2324" t="s">
        <v>37</v>
      </c>
      <c r="C2324">
        <v>3</v>
      </c>
      <c r="D2324" s="9">
        <v>10590</v>
      </c>
      <c r="E2324" s="9">
        <f>+Tablo3[[#This Row],[Birim Fiyat]]*Tablo3[[#This Row],[Satış Adet]]</f>
        <v>31770</v>
      </c>
      <c r="F2324" s="9">
        <v>13770</v>
      </c>
      <c r="G2324" t="s">
        <v>62</v>
      </c>
      <c r="H2324" t="s">
        <v>24</v>
      </c>
    </row>
    <row r="2325" spans="1:8" x14ac:dyDescent="0.25">
      <c r="A2325" t="s">
        <v>30</v>
      </c>
      <c r="B2325" t="s">
        <v>43</v>
      </c>
      <c r="C2325">
        <v>2</v>
      </c>
      <c r="D2325" s="9">
        <v>4200</v>
      </c>
      <c r="E2325" s="9">
        <f>+Tablo3[[#This Row],[Birim Fiyat]]*Tablo3[[#This Row],[Satış Adet]]</f>
        <v>8400</v>
      </c>
      <c r="F2325" s="9">
        <v>2400</v>
      </c>
      <c r="G2325" t="s">
        <v>62</v>
      </c>
      <c r="H2325" t="s">
        <v>27</v>
      </c>
    </row>
    <row r="2326" spans="1:8" x14ac:dyDescent="0.25">
      <c r="A2326" t="s">
        <v>18</v>
      </c>
      <c r="B2326" t="s">
        <v>43</v>
      </c>
      <c r="C2326">
        <v>5</v>
      </c>
      <c r="D2326" s="9">
        <v>4200</v>
      </c>
      <c r="E2326" s="9">
        <f>+Tablo3[[#This Row],[Birim Fiyat]]*Tablo3[[#This Row],[Satış Adet]]</f>
        <v>21000</v>
      </c>
      <c r="F2326" s="9">
        <v>6000</v>
      </c>
      <c r="G2326" t="s">
        <v>62</v>
      </c>
      <c r="H2326" t="s">
        <v>42</v>
      </c>
    </row>
    <row r="2327" spans="1:8" x14ac:dyDescent="0.25">
      <c r="A2327" t="s">
        <v>33</v>
      </c>
      <c r="B2327" t="s">
        <v>37</v>
      </c>
      <c r="C2327">
        <v>2</v>
      </c>
      <c r="D2327" s="9">
        <v>10590</v>
      </c>
      <c r="E2327" s="9">
        <f>+Tablo3[[#This Row],[Birim Fiyat]]*Tablo3[[#This Row],[Satış Adet]]</f>
        <v>21180</v>
      </c>
      <c r="F2327" s="9">
        <v>9180</v>
      </c>
      <c r="G2327" t="s">
        <v>62</v>
      </c>
      <c r="H2327" t="s">
        <v>42</v>
      </c>
    </row>
    <row r="2328" spans="1:8" x14ac:dyDescent="0.25">
      <c r="A2328" t="s">
        <v>48</v>
      </c>
      <c r="B2328" t="s">
        <v>50</v>
      </c>
      <c r="C2328">
        <v>3</v>
      </c>
      <c r="D2328" s="9">
        <v>1250</v>
      </c>
      <c r="E2328" s="9">
        <f>+Tablo3[[#This Row],[Birim Fiyat]]*Tablo3[[#This Row],[Satış Adet]]</f>
        <v>3750</v>
      </c>
      <c r="F2328" s="9">
        <v>1350</v>
      </c>
      <c r="G2328" t="s">
        <v>62</v>
      </c>
      <c r="H2328" t="s">
        <v>44</v>
      </c>
    </row>
    <row r="2329" spans="1:8" x14ac:dyDescent="0.25">
      <c r="A2329" t="s">
        <v>8</v>
      </c>
      <c r="B2329" t="s">
        <v>41</v>
      </c>
      <c r="C2329">
        <v>5</v>
      </c>
      <c r="D2329" s="9">
        <v>1490</v>
      </c>
      <c r="E2329" s="9">
        <f>+Tablo3[[#This Row],[Birim Fiyat]]*Tablo3[[#This Row],[Satış Adet]]</f>
        <v>7450</v>
      </c>
      <c r="F2329" s="9">
        <v>3450</v>
      </c>
      <c r="G2329" t="s">
        <v>62</v>
      </c>
      <c r="H2329" t="s">
        <v>42</v>
      </c>
    </row>
    <row r="2330" spans="1:8" x14ac:dyDescent="0.25">
      <c r="A2330" t="s">
        <v>30</v>
      </c>
      <c r="B2330" t="s">
        <v>28</v>
      </c>
      <c r="C2330">
        <v>3</v>
      </c>
      <c r="D2330" s="9">
        <v>1200</v>
      </c>
      <c r="E2330" s="9">
        <f>+Tablo3[[#This Row],[Birim Fiyat]]*Tablo3[[#This Row],[Satış Adet]]</f>
        <v>3600</v>
      </c>
      <c r="F2330" s="9">
        <v>1200</v>
      </c>
      <c r="G2330" t="s">
        <v>62</v>
      </c>
      <c r="H2330" t="s">
        <v>40</v>
      </c>
    </row>
    <row r="2331" spans="1:8" x14ac:dyDescent="0.25">
      <c r="A2331" t="s">
        <v>15</v>
      </c>
      <c r="B2331" t="s">
        <v>21</v>
      </c>
      <c r="C2331">
        <v>4</v>
      </c>
      <c r="D2331" s="9">
        <v>2180</v>
      </c>
      <c r="E2331" s="9">
        <f>+Tablo3[[#This Row],[Birim Fiyat]]*Tablo3[[#This Row],[Satış Adet]]</f>
        <v>8720</v>
      </c>
      <c r="F2331" s="9">
        <v>2720</v>
      </c>
      <c r="G2331" t="s">
        <v>62</v>
      </c>
      <c r="H2331" t="s">
        <v>20</v>
      </c>
    </row>
    <row r="2332" spans="1:8" x14ac:dyDescent="0.25">
      <c r="A2332" t="s">
        <v>38</v>
      </c>
      <c r="B2332" t="s">
        <v>51</v>
      </c>
      <c r="C2332">
        <v>5</v>
      </c>
      <c r="D2332" s="9">
        <v>1200</v>
      </c>
      <c r="E2332" s="9">
        <f>+Tablo3[[#This Row],[Birim Fiyat]]*Tablo3[[#This Row],[Satış Adet]]</f>
        <v>6000</v>
      </c>
      <c r="F2332" s="9">
        <v>2000</v>
      </c>
      <c r="G2332" t="s">
        <v>62</v>
      </c>
      <c r="H2332" t="s">
        <v>17</v>
      </c>
    </row>
    <row r="2333" spans="1:8" x14ac:dyDescent="0.25">
      <c r="A2333" t="s">
        <v>8</v>
      </c>
      <c r="B2333" t="s">
        <v>31</v>
      </c>
      <c r="C2333">
        <v>2</v>
      </c>
      <c r="D2333" s="9">
        <v>1800</v>
      </c>
      <c r="E2333" s="9">
        <f>+Tablo3[[#This Row],[Birim Fiyat]]*Tablo3[[#This Row],[Satış Adet]]</f>
        <v>3600</v>
      </c>
      <c r="F2333" s="9">
        <v>2000</v>
      </c>
      <c r="G2333" t="s">
        <v>62</v>
      </c>
      <c r="H2333" t="s">
        <v>27</v>
      </c>
    </row>
    <row r="2334" spans="1:8" x14ac:dyDescent="0.25">
      <c r="A2334" t="s">
        <v>15</v>
      </c>
      <c r="B2334" t="s">
        <v>23</v>
      </c>
      <c r="C2334">
        <v>2</v>
      </c>
      <c r="D2334" s="9">
        <v>7600</v>
      </c>
      <c r="E2334" s="9">
        <f>+Tablo3[[#This Row],[Birim Fiyat]]*Tablo3[[#This Row],[Satış Adet]]</f>
        <v>15200</v>
      </c>
      <c r="F2334" s="9">
        <v>3200</v>
      </c>
      <c r="G2334" t="s">
        <v>62</v>
      </c>
      <c r="H2334" t="s">
        <v>24</v>
      </c>
    </row>
    <row r="2335" spans="1:8" x14ac:dyDescent="0.25">
      <c r="A2335" t="s">
        <v>33</v>
      </c>
      <c r="B2335" t="s">
        <v>53</v>
      </c>
      <c r="C2335">
        <v>2</v>
      </c>
      <c r="D2335" s="9">
        <v>7530</v>
      </c>
      <c r="E2335" s="9">
        <f>+Tablo3[[#This Row],[Birim Fiyat]]*Tablo3[[#This Row],[Satış Adet]]</f>
        <v>15060</v>
      </c>
      <c r="F2335" s="9">
        <v>3060</v>
      </c>
      <c r="G2335" t="s">
        <v>62</v>
      </c>
      <c r="H2335" t="s">
        <v>40</v>
      </c>
    </row>
    <row r="2336" spans="1:8" x14ac:dyDescent="0.25">
      <c r="A2336" t="s">
        <v>48</v>
      </c>
      <c r="B2336" t="s">
        <v>41</v>
      </c>
      <c r="C2336">
        <v>5</v>
      </c>
      <c r="D2336" s="9">
        <v>1490</v>
      </c>
      <c r="E2336" s="9">
        <f>+Tablo3[[#This Row],[Birim Fiyat]]*Tablo3[[#This Row],[Satış Adet]]</f>
        <v>7450</v>
      </c>
      <c r="F2336" s="9">
        <v>3450</v>
      </c>
      <c r="G2336" t="s">
        <v>62</v>
      </c>
      <c r="H2336" t="s">
        <v>42</v>
      </c>
    </row>
    <row r="2337" spans="1:8" x14ac:dyDescent="0.25">
      <c r="A2337" t="s">
        <v>8</v>
      </c>
      <c r="B2337" t="s">
        <v>54</v>
      </c>
      <c r="C2337">
        <v>3</v>
      </c>
      <c r="D2337" s="9">
        <v>5300</v>
      </c>
      <c r="E2337" s="9">
        <f>+Tablo3[[#This Row],[Birim Fiyat]]*Tablo3[[#This Row],[Satış Adet]]</f>
        <v>15900</v>
      </c>
      <c r="F2337" s="9">
        <v>3900</v>
      </c>
      <c r="G2337" t="s">
        <v>62</v>
      </c>
      <c r="H2337" t="s">
        <v>27</v>
      </c>
    </row>
    <row r="2338" spans="1:8" x14ac:dyDescent="0.25">
      <c r="A2338" t="s">
        <v>22</v>
      </c>
      <c r="B2338" t="s">
        <v>28</v>
      </c>
      <c r="C2338">
        <v>5</v>
      </c>
      <c r="D2338" s="9">
        <v>1200</v>
      </c>
      <c r="E2338" s="9">
        <f>+Tablo3[[#This Row],[Birim Fiyat]]*Tablo3[[#This Row],[Satış Adet]]</f>
        <v>6000</v>
      </c>
      <c r="F2338" s="9">
        <v>2000</v>
      </c>
      <c r="G2338" t="s">
        <v>62</v>
      </c>
      <c r="H2338" t="s">
        <v>24</v>
      </c>
    </row>
    <row r="2339" spans="1:8" x14ac:dyDescent="0.25">
      <c r="A2339" t="s">
        <v>38</v>
      </c>
      <c r="B2339" t="s">
        <v>32</v>
      </c>
      <c r="C2339">
        <v>4</v>
      </c>
      <c r="D2339" s="9">
        <v>1090</v>
      </c>
      <c r="E2339" s="9">
        <f>+Tablo3[[#This Row],[Birim Fiyat]]*Tablo3[[#This Row],[Satış Adet]]</f>
        <v>4360</v>
      </c>
      <c r="F2339" s="9">
        <v>1160</v>
      </c>
      <c r="G2339" t="s">
        <v>62</v>
      </c>
      <c r="H2339" t="s">
        <v>17</v>
      </c>
    </row>
    <row r="2340" spans="1:8" x14ac:dyDescent="0.25">
      <c r="A2340" t="s">
        <v>22</v>
      </c>
      <c r="B2340" t="s">
        <v>25</v>
      </c>
      <c r="C2340">
        <v>3</v>
      </c>
      <c r="D2340" s="9">
        <v>7250</v>
      </c>
      <c r="E2340" s="9">
        <f>+Tablo3[[#This Row],[Birim Fiyat]]*Tablo3[[#This Row],[Satış Adet]]</f>
        <v>21750</v>
      </c>
      <c r="F2340" s="9">
        <v>6750</v>
      </c>
      <c r="G2340" t="s">
        <v>62</v>
      </c>
      <c r="H2340" t="s">
        <v>14</v>
      </c>
    </row>
    <row r="2341" spans="1:8" x14ac:dyDescent="0.25">
      <c r="A2341" t="s">
        <v>46</v>
      </c>
      <c r="B2341" t="s">
        <v>13</v>
      </c>
      <c r="C2341">
        <v>5</v>
      </c>
      <c r="D2341" s="9">
        <v>1400</v>
      </c>
      <c r="E2341" s="9">
        <f>+Tablo3[[#This Row],[Birim Fiyat]]*Tablo3[[#This Row],[Satış Adet]]</f>
        <v>7000</v>
      </c>
      <c r="F2341" s="9">
        <v>3000</v>
      </c>
      <c r="G2341" t="s">
        <v>62</v>
      </c>
      <c r="H2341" t="s">
        <v>52</v>
      </c>
    </row>
    <row r="2342" spans="1:8" x14ac:dyDescent="0.25">
      <c r="A2342" t="s">
        <v>15</v>
      </c>
      <c r="B2342" t="s">
        <v>55</v>
      </c>
      <c r="C2342">
        <v>4</v>
      </c>
      <c r="D2342" s="9">
        <v>1500</v>
      </c>
      <c r="E2342" s="9">
        <f>+Tablo3[[#This Row],[Birim Fiyat]]*Tablo3[[#This Row],[Satış Adet]]</f>
        <v>6000</v>
      </c>
      <c r="F2342" s="9">
        <v>2800</v>
      </c>
      <c r="G2342" t="s">
        <v>62</v>
      </c>
      <c r="H2342" t="s">
        <v>44</v>
      </c>
    </row>
    <row r="2343" spans="1:8" x14ac:dyDescent="0.25">
      <c r="A2343" t="s">
        <v>33</v>
      </c>
      <c r="B2343" t="s">
        <v>19</v>
      </c>
      <c r="C2343">
        <v>4</v>
      </c>
      <c r="D2343" s="9">
        <v>1350</v>
      </c>
      <c r="E2343" s="9">
        <f>+Tablo3[[#This Row],[Birim Fiyat]]*Tablo3[[#This Row],[Satış Adet]]</f>
        <v>5400</v>
      </c>
      <c r="F2343" s="9">
        <v>2200</v>
      </c>
      <c r="G2343" t="s">
        <v>62</v>
      </c>
      <c r="H2343" t="s">
        <v>14</v>
      </c>
    </row>
    <row r="2344" spans="1:8" x14ac:dyDescent="0.25">
      <c r="A2344" t="s">
        <v>33</v>
      </c>
      <c r="B2344" t="s">
        <v>28</v>
      </c>
      <c r="C2344">
        <v>5</v>
      </c>
      <c r="D2344" s="9">
        <v>1200</v>
      </c>
      <c r="E2344" s="9">
        <f>+Tablo3[[#This Row],[Birim Fiyat]]*Tablo3[[#This Row],[Satış Adet]]</f>
        <v>6000</v>
      </c>
      <c r="F2344" s="9">
        <v>2000</v>
      </c>
      <c r="G2344" t="s">
        <v>62</v>
      </c>
      <c r="H2344" t="s">
        <v>24</v>
      </c>
    </row>
    <row r="2345" spans="1:8" x14ac:dyDescent="0.25">
      <c r="A2345" t="s">
        <v>12</v>
      </c>
      <c r="B2345" t="s">
        <v>53</v>
      </c>
      <c r="C2345">
        <v>5</v>
      </c>
      <c r="D2345" s="9">
        <v>7530</v>
      </c>
      <c r="E2345" s="9">
        <f>+Tablo3[[#This Row],[Birim Fiyat]]*Tablo3[[#This Row],[Satış Adet]]</f>
        <v>37650</v>
      </c>
      <c r="F2345" s="9">
        <v>7650</v>
      </c>
      <c r="G2345" t="s">
        <v>62</v>
      </c>
      <c r="H2345" t="s">
        <v>29</v>
      </c>
    </row>
    <row r="2346" spans="1:8" x14ac:dyDescent="0.25">
      <c r="A2346" t="s">
        <v>46</v>
      </c>
      <c r="B2346" t="s">
        <v>28</v>
      </c>
      <c r="C2346">
        <v>3</v>
      </c>
      <c r="D2346" s="9">
        <v>1200</v>
      </c>
      <c r="E2346" s="9">
        <f>+Tablo3[[#This Row],[Birim Fiyat]]*Tablo3[[#This Row],[Satış Adet]]</f>
        <v>3600</v>
      </c>
      <c r="F2346" s="9">
        <v>1200</v>
      </c>
      <c r="G2346" t="s">
        <v>62</v>
      </c>
      <c r="H2346" t="s">
        <v>29</v>
      </c>
    </row>
    <row r="2347" spans="1:8" x14ac:dyDescent="0.25">
      <c r="A2347" t="s">
        <v>36</v>
      </c>
      <c r="B2347" t="s">
        <v>31</v>
      </c>
      <c r="C2347">
        <v>3</v>
      </c>
      <c r="D2347" s="9">
        <v>1800</v>
      </c>
      <c r="E2347" s="9">
        <f>+Tablo3[[#This Row],[Birim Fiyat]]*Tablo3[[#This Row],[Satış Adet]]</f>
        <v>5400</v>
      </c>
      <c r="F2347" s="9">
        <v>3000</v>
      </c>
      <c r="G2347" t="s">
        <v>62</v>
      </c>
      <c r="H2347" t="s">
        <v>40</v>
      </c>
    </row>
    <row r="2348" spans="1:8" x14ac:dyDescent="0.25">
      <c r="A2348" t="s">
        <v>8</v>
      </c>
      <c r="B2348" t="s">
        <v>25</v>
      </c>
      <c r="C2348">
        <v>2</v>
      </c>
      <c r="D2348" s="9">
        <v>7250</v>
      </c>
      <c r="E2348" s="9">
        <f>+Tablo3[[#This Row],[Birim Fiyat]]*Tablo3[[#This Row],[Satış Adet]]</f>
        <v>14500</v>
      </c>
      <c r="F2348" s="9">
        <v>4500</v>
      </c>
      <c r="G2348" t="s">
        <v>63</v>
      </c>
      <c r="H2348" t="s">
        <v>27</v>
      </c>
    </row>
    <row r="2349" spans="1:8" x14ac:dyDescent="0.25">
      <c r="A2349" t="s">
        <v>38</v>
      </c>
      <c r="B2349" t="s">
        <v>41</v>
      </c>
      <c r="C2349">
        <v>2</v>
      </c>
      <c r="D2349" s="9">
        <v>1490</v>
      </c>
      <c r="E2349" s="9">
        <f>+Tablo3[[#This Row],[Birim Fiyat]]*Tablo3[[#This Row],[Satış Adet]]</f>
        <v>2980</v>
      </c>
      <c r="F2349" s="9">
        <v>1380</v>
      </c>
      <c r="G2349" t="s">
        <v>63</v>
      </c>
      <c r="H2349" t="s">
        <v>42</v>
      </c>
    </row>
    <row r="2350" spans="1:8" x14ac:dyDescent="0.25">
      <c r="A2350" t="s">
        <v>38</v>
      </c>
      <c r="B2350" t="s">
        <v>51</v>
      </c>
      <c r="C2350">
        <v>3</v>
      </c>
      <c r="D2350" s="9">
        <v>1200</v>
      </c>
      <c r="E2350" s="9">
        <f>+Tablo3[[#This Row],[Birim Fiyat]]*Tablo3[[#This Row],[Satış Adet]]</f>
        <v>3600</v>
      </c>
      <c r="F2350" s="9">
        <v>1200</v>
      </c>
      <c r="G2350" t="s">
        <v>63</v>
      </c>
      <c r="H2350" t="s">
        <v>44</v>
      </c>
    </row>
    <row r="2351" spans="1:8" x14ac:dyDescent="0.25">
      <c r="A2351" t="s">
        <v>12</v>
      </c>
      <c r="B2351" t="s">
        <v>34</v>
      </c>
      <c r="C2351">
        <v>4</v>
      </c>
      <c r="D2351" s="9">
        <v>8000</v>
      </c>
      <c r="E2351" s="9">
        <f>+Tablo3[[#This Row],[Birim Fiyat]]*Tablo3[[#This Row],[Satış Adet]]</f>
        <v>32000</v>
      </c>
      <c r="F2351" s="9">
        <v>8000</v>
      </c>
      <c r="G2351" t="s">
        <v>63</v>
      </c>
      <c r="H2351" t="s">
        <v>17</v>
      </c>
    </row>
    <row r="2352" spans="1:8" x14ac:dyDescent="0.25">
      <c r="A2352" t="s">
        <v>30</v>
      </c>
      <c r="B2352" t="s">
        <v>13</v>
      </c>
      <c r="C2352">
        <v>2</v>
      </c>
      <c r="D2352" s="9">
        <v>1400</v>
      </c>
      <c r="E2352" s="9">
        <f>+Tablo3[[#This Row],[Birim Fiyat]]*Tablo3[[#This Row],[Satış Adet]]</f>
        <v>2800</v>
      </c>
      <c r="F2352" s="9">
        <v>1200</v>
      </c>
      <c r="G2352" t="s">
        <v>63</v>
      </c>
      <c r="H2352" t="s">
        <v>14</v>
      </c>
    </row>
    <row r="2353" spans="1:8" x14ac:dyDescent="0.25">
      <c r="A2353" t="s">
        <v>67</v>
      </c>
      <c r="B2353" t="s">
        <v>19</v>
      </c>
      <c r="C2353">
        <v>2</v>
      </c>
      <c r="D2353" s="9">
        <v>1350</v>
      </c>
      <c r="E2353" s="9">
        <f>+Tablo3[[#This Row],[Birim Fiyat]]*Tablo3[[#This Row],[Satış Adet]]</f>
        <v>2700</v>
      </c>
      <c r="F2353" s="9">
        <v>1100</v>
      </c>
      <c r="G2353" t="s">
        <v>63</v>
      </c>
      <c r="H2353" t="s">
        <v>17</v>
      </c>
    </row>
    <row r="2354" spans="1:8" x14ac:dyDescent="0.25">
      <c r="A2354" t="s">
        <v>36</v>
      </c>
      <c r="B2354" t="s">
        <v>51</v>
      </c>
      <c r="C2354">
        <v>5</v>
      </c>
      <c r="D2354" s="9">
        <v>1200</v>
      </c>
      <c r="E2354" s="9">
        <f>+Tablo3[[#This Row],[Birim Fiyat]]*Tablo3[[#This Row],[Satış Adet]]</f>
        <v>6000</v>
      </c>
      <c r="F2354" s="9">
        <v>2000</v>
      </c>
      <c r="G2354" t="s">
        <v>63</v>
      </c>
      <c r="H2354" t="s">
        <v>17</v>
      </c>
    </row>
    <row r="2355" spans="1:8" x14ac:dyDescent="0.25">
      <c r="A2355" t="s">
        <v>30</v>
      </c>
      <c r="B2355" t="s">
        <v>54</v>
      </c>
      <c r="C2355">
        <v>5</v>
      </c>
      <c r="D2355" s="9">
        <v>5300</v>
      </c>
      <c r="E2355" s="9">
        <f>+Tablo3[[#This Row],[Birim Fiyat]]*Tablo3[[#This Row],[Satış Adet]]</f>
        <v>26500</v>
      </c>
      <c r="F2355" s="9">
        <v>6500</v>
      </c>
      <c r="G2355" t="s">
        <v>63</v>
      </c>
      <c r="H2355" t="s">
        <v>42</v>
      </c>
    </row>
    <row r="2356" spans="1:8" x14ac:dyDescent="0.25">
      <c r="A2356" t="s">
        <v>38</v>
      </c>
      <c r="B2356" t="s">
        <v>37</v>
      </c>
      <c r="C2356">
        <v>4</v>
      </c>
      <c r="D2356" s="9">
        <v>10590</v>
      </c>
      <c r="E2356" s="9">
        <f>+Tablo3[[#This Row],[Birim Fiyat]]*Tablo3[[#This Row],[Satış Adet]]</f>
        <v>42360</v>
      </c>
      <c r="F2356" s="9">
        <v>18360</v>
      </c>
      <c r="G2356" t="s">
        <v>63</v>
      </c>
      <c r="H2356" t="s">
        <v>42</v>
      </c>
    </row>
    <row r="2357" spans="1:8" x14ac:dyDescent="0.25">
      <c r="A2357" t="s">
        <v>22</v>
      </c>
      <c r="B2357" t="s">
        <v>50</v>
      </c>
      <c r="C2357">
        <v>5</v>
      </c>
      <c r="D2357" s="9">
        <v>1250</v>
      </c>
      <c r="E2357" s="9">
        <f>+Tablo3[[#This Row],[Birim Fiyat]]*Tablo3[[#This Row],[Satış Adet]]</f>
        <v>6250</v>
      </c>
      <c r="F2357" s="9">
        <v>2250</v>
      </c>
      <c r="G2357" t="s">
        <v>63</v>
      </c>
      <c r="H2357" t="s">
        <v>52</v>
      </c>
    </row>
    <row r="2358" spans="1:8" x14ac:dyDescent="0.25">
      <c r="A2358" t="s">
        <v>48</v>
      </c>
      <c r="B2358" t="s">
        <v>51</v>
      </c>
      <c r="C2358">
        <v>5</v>
      </c>
      <c r="D2358" s="9">
        <v>1200</v>
      </c>
      <c r="E2358" s="9">
        <f>+Tablo3[[#This Row],[Birim Fiyat]]*Tablo3[[#This Row],[Satış Adet]]</f>
        <v>6000</v>
      </c>
      <c r="F2358" s="9">
        <v>2000</v>
      </c>
      <c r="G2358" t="s">
        <v>63</v>
      </c>
      <c r="H2358" t="s">
        <v>14</v>
      </c>
    </row>
    <row r="2359" spans="1:8" x14ac:dyDescent="0.25">
      <c r="A2359" t="s">
        <v>22</v>
      </c>
      <c r="B2359" t="s">
        <v>13</v>
      </c>
      <c r="C2359">
        <v>4</v>
      </c>
      <c r="D2359" s="9">
        <v>1400</v>
      </c>
      <c r="E2359" s="9">
        <f>+Tablo3[[#This Row],[Birim Fiyat]]*Tablo3[[#This Row],[Satış Adet]]</f>
        <v>5600</v>
      </c>
      <c r="F2359" s="9">
        <v>2400</v>
      </c>
      <c r="G2359" t="s">
        <v>63</v>
      </c>
      <c r="H2359" t="s">
        <v>20</v>
      </c>
    </row>
    <row r="2360" spans="1:8" x14ac:dyDescent="0.25">
      <c r="A2360" t="s">
        <v>48</v>
      </c>
      <c r="B2360" t="s">
        <v>53</v>
      </c>
      <c r="C2360">
        <v>4</v>
      </c>
      <c r="D2360" s="9">
        <v>7530</v>
      </c>
      <c r="E2360" s="9">
        <f>+Tablo3[[#This Row],[Birim Fiyat]]*Tablo3[[#This Row],[Satış Adet]]</f>
        <v>30120</v>
      </c>
      <c r="F2360" s="9">
        <v>6120</v>
      </c>
      <c r="G2360" t="s">
        <v>63</v>
      </c>
      <c r="H2360" t="s">
        <v>27</v>
      </c>
    </row>
    <row r="2361" spans="1:8" x14ac:dyDescent="0.25">
      <c r="A2361" t="s">
        <v>30</v>
      </c>
      <c r="B2361" t="s">
        <v>23</v>
      </c>
      <c r="C2361">
        <v>5</v>
      </c>
      <c r="D2361" s="9">
        <v>7600</v>
      </c>
      <c r="E2361" s="9">
        <f>+Tablo3[[#This Row],[Birim Fiyat]]*Tablo3[[#This Row],[Satış Adet]]</f>
        <v>38000</v>
      </c>
      <c r="F2361" s="9">
        <v>8000</v>
      </c>
      <c r="G2361" t="s">
        <v>63</v>
      </c>
      <c r="H2361" t="s">
        <v>27</v>
      </c>
    </row>
    <row r="2362" spans="1:8" x14ac:dyDescent="0.25">
      <c r="A2362" t="s">
        <v>48</v>
      </c>
      <c r="B2362" t="s">
        <v>55</v>
      </c>
      <c r="C2362">
        <v>5</v>
      </c>
      <c r="D2362" s="9">
        <v>1500</v>
      </c>
      <c r="E2362" s="9">
        <f>+Tablo3[[#This Row],[Birim Fiyat]]*Tablo3[[#This Row],[Satış Adet]]</f>
        <v>7500</v>
      </c>
      <c r="F2362" s="9">
        <v>3500</v>
      </c>
      <c r="G2362" t="s">
        <v>63</v>
      </c>
      <c r="H2362" t="s">
        <v>20</v>
      </c>
    </row>
    <row r="2363" spans="1:8" x14ac:dyDescent="0.25">
      <c r="A2363" t="s">
        <v>38</v>
      </c>
      <c r="B2363" t="s">
        <v>21</v>
      </c>
      <c r="C2363">
        <v>3</v>
      </c>
      <c r="D2363" s="9">
        <v>2180</v>
      </c>
      <c r="E2363" s="9">
        <f>+Tablo3[[#This Row],[Birim Fiyat]]*Tablo3[[#This Row],[Satış Adet]]</f>
        <v>6540</v>
      </c>
      <c r="F2363" s="9">
        <v>2040</v>
      </c>
      <c r="G2363" t="s">
        <v>63</v>
      </c>
      <c r="H2363" t="s">
        <v>17</v>
      </c>
    </row>
    <row r="2364" spans="1:8" x14ac:dyDescent="0.25">
      <c r="A2364" t="s">
        <v>18</v>
      </c>
      <c r="B2364" t="s">
        <v>21</v>
      </c>
      <c r="C2364">
        <v>2</v>
      </c>
      <c r="D2364" s="9">
        <v>2180</v>
      </c>
      <c r="E2364" s="9">
        <f>+Tablo3[[#This Row],[Birim Fiyat]]*Tablo3[[#This Row],[Satış Adet]]</f>
        <v>4360</v>
      </c>
      <c r="F2364" s="9">
        <v>1360</v>
      </c>
      <c r="G2364" t="s">
        <v>63</v>
      </c>
      <c r="H2364" t="s">
        <v>24</v>
      </c>
    </row>
    <row r="2365" spans="1:8" x14ac:dyDescent="0.25">
      <c r="A2365" t="s">
        <v>38</v>
      </c>
      <c r="B2365" t="s">
        <v>45</v>
      </c>
      <c r="C2365">
        <v>4</v>
      </c>
      <c r="D2365" s="9">
        <v>5775</v>
      </c>
      <c r="E2365" s="9">
        <f>+Tablo3[[#This Row],[Birim Fiyat]]*Tablo3[[#This Row],[Satış Adet]]</f>
        <v>23100</v>
      </c>
      <c r="F2365" s="9">
        <v>7100</v>
      </c>
      <c r="G2365" t="s">
        <v>63</v>
      </c>
      <c r="H2365" t="s">
        <v>40</v>
      </c>
    </row>
    <row r="2366" spans="1:8" x14ac:dyDescent="0.25">
      <c r="A2366" t="s">
        <v>38</v>
      </c>
      <c r="B2366" t="s">
        <v>26</v>
      </c>
      <c r="C2366">
        <v>4</v>
      </c>
      <c r="D2366" s="9">
        <v>1100</v>
      </c>
      <c r="E2366" s="9">
        <f>+Tablo3[[#This Row],[Birim Fiyat]]*Tablo3[[#This Row],[Satış Adet]]</f>
        <v>4400</v>
      </c>
      <c r="F2366" s="9">
        <v>1200</v>
      </c>
      <c r="G2366" t="s">
        <v>63</v>
      </c>
      <c r="H2366" t="s">
        <v>35</v>
      </c>
    </row>
    <row r="2367" spans="1:8" x14ac:dyDescent="0.25">
      <c r="A2367" t="s">
        <v>46</v>
      </c>
      <c r="B2367" t="s">
        <v>45</v>
      </c>
      <c r="C2367">
        <v>4</v>
      </c>
      <c r="D2367" s="9">
        <v>5775</v>
      </c>
      <c r="E2367" s="9">
        <f>+Tablo3[[#This Row],[Birim Fiyat]]*Tablo3[[#This Row],[Satış Adet]]</f>
        <v>23100</v>
      </c>
      <c r="F2367" s="9">
        <v>7100</v>
      </c>
      <c r="G2367" t="s">
        <v>63</v>
      </c>
      <c r="H2367" t="s">
        <v>40</v>
      </c>
    </row>
    <row r="2368" spans="1:8" x14ac:dyDescent="0.25">
      <c r="A2368" t="s">
        <v>33</v>
      </c>
      <c r="B2368" t="s">
        <v>19</v>
      </c>
      <c r="C2368">
        <v>2</v>
      </c>
      <c r="D2368" s="9">
        <v>1350</v>
      </c>
      <c r="E2368" s="9">
        <f>+Tablo3[[#This Row],[Birim Fiyat]]*Tablo3[[#This Row],[Satış Adet]]</f>
        <v>2700</v>
      </c>
      <c r="F2368" s="9">
        <v>1100</v>
      </c>
      <c r="G2368" t="s">
        <v>63</v>
      </c>
      <c r="H2368" t="s">
        <v>29</v>
      </c>
    </row>
    <row r="2369" spans="1:8" x14ac:dyDescent="0.25">
      <c r="A2369" t="s">
        <v>8</v>
      </c>
      <c r="B2369" t="s">
        <v>23</v>
      </c>
      <c r="C2369">
        <v>5</v>
      </c>
      <c r="D2369" s="9">
        <v>7600</v>
      </c>
      <c r="E2369" s="9">
        <f>+Tablo3[[#This Row],[Birim Fiyat]]*Tablo3[[#This Row],[Satış Adet]]</f>
        <v>38000</v>
      </c>
      <c r="F2369" s="9">
        <v>8000</v>
      </c>
      <c r="G2369" t="s">
        <v>63</v>
      </c>
      <c r="H2369" t="s">
        <v>27</v>
      </c>
    </row>
    <row r="2370" spans="1:8" x14ac:dyDescent="0.25">
      <c r="A2370" t="s">
        <v>15</v>
      </c>
      <c r="B2370" t="s">
        <v>25</v>
      </c>
      <c r="C2370">
        <v>2</v>
      </c>
      <c r="D2370" s="9">
        <v>7250</v>
      </c>
      <c r="E2370" s="9">
        <f>+Tablo3[[#This Row],[Birim Fiyat]]*Tablo3[[#This Row],[Satış Adet]]</f>
        <v>14500</v>
      </c>
      <c r="F2370" s="9">
        <v>4500</v>
      </c>
      <c r="G2370" t="s">
        <v>63</v>
      </c>
      <c r="H2370" t="s">
        <v>44</v>
      </c>
    </row>
    <row r="2371" spans="1:8" x14ac:dyDescent="0.25">
      <c r="A2371" t="s">
        <v>48</v>
      </c>
      <c r="B2371" t="s">
        <v>41</v>
      </c>
      <c r="C2371">
        <v>4</v>
      </c>
      <c r="D2371" s="9">
        <v>1490</v>
      </c>
      <c r="E2371" s="9">
        <f>+Tablo3[[#This Row],[Birim Fiyat]]*Tablo3[[#This Row],[Satış Adet]]</f>
        <v>5960</v>
      </c>
      <c r="F2371" s="9">
        <v>2760</v>
      </c>
      <c r="G2371" t="s">
        <v>63</v>
      </c>
      <c r="H2371" t="s">
        <v>35</v>
      </c>
    </row>
    <row r="2372" spans="1:8" x14ac:dyDescent="0.25">
      <c r="A2372" t="s">
        <v>18</v>
      </c>
      <c r="B2372" t="s">
        <v>41</v>
      </c>
      <c r="C2372">
        <v>4</v>
      </c>
      <c r="D2372" s="9">
        <v>1490</v>
      </c>
      <c r="E2372" s="9">
        <f>+Tablo3[[#This Row],[Birim Fiyat]]*Tablo3[[#This Row],[Satış Adet]]</f>
        <v>5960</v>
      </c>
      <c r="F2372" s="9">
        <v>2760</v>
      </c>
      <c r="G2372" t="s">
        <v>63</v>
      </c>
      <c r="H2372" t="s">
        <v>52</v>
      </c>
    </row>
    <row r="2373" spans="1:8" x14ac:dyDescent="0.25">
      <c r="A2373" t="s">
        <v>36</v>
      </c>
      <c r="B2373" t="s">
        <v>32</v>
      </c>
      <c r="C2373">
        <v>2</v>
      </c>
      <c r="D2373" s="9">
        <v>1090</v>
      </c>
      <c r="E2373" s="9">
        <f>+Tablo3[[#This Row],[Birim Fiyat]]*Tablo3[[#This Row],[Satış Adet]]</f>
        <v>2180</v>
      </c>
      <c r="F2373" s="9">
        <v>580</v>
      </c>
      <c r="G2373" t="s">
        <v>63</v>
      </c>
      <c r="H2373" t="s">
        <v>40</v>
      </c>
    </row>
    <row r="2374" spans="1:8" x14ac:dyDescent="0.25">
      <c r="A2374" t="s">
        <v>36</v>
      </c>
      <c r="B2374" t="s">
        <v>28</v>
      </c>
      <c r="C2374">
        <v>3</v>
      </c>
      <c r="D2374" s="9">
        <v>1200</v>
      </c>
      <c r="E2374" s="9">
        <f>+Tablo3[[#This Row],[Birim Fiyat]]*Tablo3[[#This Row],[Satış Adet]]</f>
        <v>3600</v>
      </c>
      <c r="F2374" s="9">
        <v>1200</v>
      </c>
      <c r="G2374" t="s">
        <v>63</v>
      </c>
      <c r="H2374" t="s">
        <v>40</v>
      </c>
    </row>
    <row r="2375" spans="1:8" x14ac:dyDescent="0.25">
      <c r="A2375" t="s">
        <v>48</v>
      </c>
      <c r="B2375" t="s">
        <v>32</v>
      </c>
      <c r="C2375">
        <v>5</v>
      </c>
      <c r="D2375" s="9">
        <v>1090</v>
      </c>
      <c r="E2375" s="9">
        <f>+Tablo3[[#This Row],[Birim Fiyat]]*Tablo3[[#This Row],[Satış Adet]]</f>
        <v>5450</v>
      </c>
      <c r="F2375" s="9">
        <v>1450</v>
      </c>
      <c r="G2375" t="s">
        <v>63</v>
      </c>
      <c r="H2375" t="s">
        <v>39</v>
      </c>
    </row>
    <row r="2376" spans="1:8" x14ac:dyDescent="0.25">
      <c r="A2376" t="s">
        <v>48</v>
      </c>
      <c r="B2376" t="s">
        <v>21</v>
      </c>
      <c r="C2376">
        <v>2</v>
      </c>
      <c r="D2376" s="9">
        <v>2180</v>
      </c>
      <c r="E2376" s="9">
        <f>+Tablo3[[#This Row],[Birim Fiyat]]*Tablo3[[#This Row],[Satış Adet]]</f>
        <v>4360</v>
      </c>
      <c r="F2376" s="9">
        <v>1360</v>
      </c>
      <c r="G2376" t="s">
        <v>63</v>
      </c>
      <c r="H2376" t="s">
        <v>27</v>
      </c>
    </row>
    <row r="2377" spans="1:8" x14ac:dyDescent="0.25">
      <c r="A2377" t="s">
        <v>15</v>
      </c>
      <c r="B2377" t="s">
        <v>54</v>
      </c>
      <c r="C2377">
        <v>2</v>
      </c>
      <c r="D2377" s="9">
        <v>5300</v>
      </c>
      <c r="E2377" s="9">
        <f>+Tablo3[[#This Row],[Birim Fiyat]]*Tablo3[[#This Row],[Satış Adet]]</f>
        <v>10600</v>
      </c>
      <c r="F2377" s="9">
        <v>2600</v>
      </c>
      <c r="G2377" t="s">
        <v>63</v>
      </c>
      <c r="H2377" t="s">
        <v>11</v>
      </c>
    </row>
    <row r="2378" spans="1:8" x14ac:dyDescent="0.25">
      <c r="A2378" t="s">
        <v>48</v>
      </c>
      <c r="B2378" t="s">
        <v>54</v>
      </c>
      <c r="C2378">
        <v>3</v>
      </c>
      <c r="D2378" s="9">
        <v>5300</v>
      </c>
      <c r="E2378" s="9">
        <f>+Tablo3[[#This Row],[Birim Fiyat]]*Tablo3[[#This Row],[Satış Adet]]</f>
        <v>15900</v>
      </c>
      <c r="F2378" s="9">
        <v>3900</v>
      </c>
      <c r="G2378" t="s">
        <v>63</v>
      </c>
      <c r="H2378" t="s">
        <v>27</v>
      </c>
    </row>
    <row r="2379" spans="1:8" x14ac:dyDescent="0.25">
      <c r="A2379" t="s">
        <v>67</v>
      </c>
      <c r="B2379" t="s">
        <v>25</v>
      </c>
      <c r="C2379">
        <v>4</v>
      </c>
      <c r="D2379" s="9">
        <v>7250</v>
      </c>
      <c r="E2379" s="9">
        <f>+Tablo3[[#This Row],[Birim Fiyat]]*Tablo3[[#This Row],[Satış Adet]]</f>
        <v>29000</v>
      </c>
      <c r="F2379" s="9">
        <v>9000</v>
      </c>
      <c r="G2379" t="s">
        <v>63</v>
      </c>
      <c r="H2379" t="s">
        <v>44</v>
      </c>
    </row>
    <row r="2380" spans="1:8" x14ac:dyDescent="0.25">
      <c r="A2380" t="s">
        <v>67</v>
      </c>
      <c r="B2380" t="s">
        <v>51</v>
      </c>
      <c r="C2380">
        <v>3</v>
      </c>
      <c r="D2380" s="9">
        <v>1200</v>
      </c>
      <c r="E2380" s="9">
        <f>+Tablo3[[#This Row],[Birim Fiyat]]*Tablo3[[#This Row],[Satış Adet]]</f>
        <v>3600</v>
      </c>
      <c r="F2380" s="9">
        <v>1200</v>
      </c>
      <c r="G2380" t="s">
        <v>63</v>
      </c>
      <c r="H2380" t="s">
        <v>42</v>
      </c>
    </row>
    <row r="2381" spans="1:8" x14ac:dyDescent="0.25">
      <c r="A2381" t="s">
        <v>18</v>
      </c>
      <c r="B2381" t="s">
        <v>9</v>
      </c>
      <c r="C2381">
        <v>3</v>
      </c>
      <c r="D2381" s="9">
        <v>6000</v>
      </c>
      <c r="E2381" s="9">
        <f>+Tablo3[[#This Row],[Birim Fiyat]]*Tablo3[[#This Row],[Satış Adet]]</f>
        <v>18000</v>
      </c>
      <c r="F2381" s="9">
        <v>6000</v>
      </c>
      <c r="G2381" t="s">
        <v>63</v>
      </c>
      <c r="H2381" t="s">
        <v>39</v>
      </c>
    </row>
    <row r="2382" spans="1:8" x14ac:dyDescent="0.25">
      <c r="A2382" t="s">
        <v>15</v>
      </c>
      <c r="B2382" t="s">
        <v>16</v>
      </c>
      <c r="C2382">
        <v>3</v>
      </c>
      <c r="D2382" s="9">
        <v>8450</v>
      </c>
      <c r="E2382" s="9">
        <f>+Tablo3[[#This Row],[Birim Fiyat]]*Tablo3[[#This Row],[Satış Adet]]</f>
        <v>25350</v>
      </c>
      <c r="F2382" s="9">
        <v>7350</v>
      </c>
      <c r="G2382" t="s">
        <v>63</v>
      </c>
      <c r="H2382" t="s">
        <v>42</v>
      </c>
    </row>
    <row r="2383" spans="1:8" x14ac:dyDescent="0.25">
      <c r="A2383" t="s">
        <v>30</v>
      </c>
      <c r="B2383" t="s">
        <v>43</v>
      </c>
      <c r="C2383">
        <v>4</v>
      </c>
      <c r="D2383" s="9">
        <v>4200</v>
      </c>
      <c r="E2383" s="9">
        <f>+Tablo3[[#This Row],[Birim Fiyat]]*Tablo3[[#This Row],[Satış Adet]]</f>
        <v>16800</v>
      </c>
      <c r="F2383" s="9">
        <v>4800</v>
      </c>
      <c r="G2383" t="s">
        <v>63</v>
      </c>
      <c r="H2383" t="s">
        <v>14</v>
      </c>
    </row>
    <row r="2384" spans="1:8" x14ac:dyDescent="0.25">
      <c r="A2384" t="s">
        <v>30</v>
      </c>
      <c r="B2384" t="s">
        <v>37</v>
      </c>
      <c r="C2384">
        <v>2</v>
      </c>
      <c r="D2384" s="9">
        <v>10590</v>
      </c>
      <c r="E2384" s="9">
        <f>+Tablo3[[#This Row],[Birim Fiyat]]*Tablo3[[#This Row],[Satış Adet]]</f>
        <v>21180</v>
      </c>
      <c r="F2384" s="9">
        <v>9180</v>
      </c>
      <c r="G2384" t="s">
        <v>63</v>
      </c>
      <c r="H2384" t="s">
        <v>52</v>
      </c>
    </row>
    <row r="2385" spans="1:8" x14ac:dyDescent="0.25">
      <c r="A2385" t="s">
        <v>67</v>
      </c>
      <c r="B2385" t="s">
        <v>51</v>
      </c>
      <c r="C2385">
        <v>3</v>
      </c>
      <c r="D2385" s="9">
        <v>1200</v>
      </c>
      <c r="E2385" s="9">
        <f>+Tablo3[[#This Row],[Birim Fiyat]]*Tablo3[[#This Row],[Satış Adet]]</f>
        <v>3600</v>
      </c>
      <c r="F2385" s="9">
        <v>1200</v>
      </c>
      <c r="G2385" t="s">
        <v>63</v>
      </c>
      <c r="H2385" t="s">
        <v>17</v>
      </c>
    </row>
    <row r="2386" spans="1:8" x14ac:dyDescent="0.25">
      <c r="A2386" t="s">
        <v>46</v>
      </c>
      <c r="B2386" t="s">
        <v>26</v>
      </c>
      <c r="C2386">
        <v>4</v>
      </c>
      <c r="D2386" s="9">
        <v>1100</v>
      </c>
      <c r="E2386" s="9">
        <f>+Tablo3[[#This Row],[Birim Fiyat]]*Tablo3[[#This Row],[Satış Adet]]</f>
        <v>4400</v>
      </c>
      <c r="F2386" s="9">
        <v>1200</v>
      </c>
      <c r="G2386" t="s">
        <v>63</v>
      </c>
      <c r="H2386" t="s">
        <v>35</v>
      </c>
    </row>
    <row r="2387" spans="1:8" x14ac:dyDescent="0.25">
      <c r="A2387" t="s">
        <v>38</v>
      </c>
      <c r="B2387" t="s">
        <v>56</v>
      </c>
      <c r="C2387">
        <v>3</v>
      </c>
      <c r="D2387" s="9">
        <v>3700</v>
      </c>
      <c r="E2387" s="9">
        <f>+Tablo3[[#This Row],[Birim Fiyat]]*Tablo3[[#This Row],[Satış Adet]]</f>
        <v>11100</v>
      </c>
      <c r="F2387" s="9">
        <v>2100</v>
      </c>
      <c r="G2387" t="s">
        <v>63</v>
      </c>
      <c r="H2387" t="s">
        <v>14</v>
      </c>
    </row>
    <row r="2388" spans="1:8" x14ac:dyDescent="0.25">
      <c r="A2388" t="s">
        <v>12</v>
      </c>
      <c r="B2388" t="s">
        <v>56</v>
      </c>
      <c r="C2388">
        <v>5</v>
      </c>
      <c r="D2388" s="9">
        <v>3700</v>
      </c>
      <c r="E2388" s="9">
        <f>+Tablo3[[#This Row],[Birim Fiyat]]*Tablo3[[#This Row],[Satış Adet]]</f>
        <v>18500</v>
      </c>
      <c r="F2388" s="9">
        <v>3500</v>
      </c>
      <c r="G2388" t="s">
        <v>63</v>
      </c>
      <c r="H2388" t="s">
        <v>39</v>
      </c>
    </row>
    <row r="2389" spans="1:8" x14ac:dyDescent="0.25">
      <c r="A2389" t="s">
        <v>30</v>
      </c>
      <c r="B2389" t="s">
        <v>26</v>
      </c>
      <c r="C2389">
        <v>4</v>
      </c>
      <c r="D2389" s="9">
        <v>1100</v>
      </c>
      <c r="E2389" s="9">
        <f>+Tablo3[[#This Row],[Birim Fiyat]]*Tablo3[[#This Row],[Satış Adet]]</f>
        <v>4400</v>
      </c>
      <c r="F2389" s="9">
        <v>1200</v>
      </c>
      <c r="G2389" t="s">
        <v>63</v>
      </c>
      <c r="H2389" t="s">
        <v>40</v>
      </c>
    </row>
    <row r="2390" spans="1:8" x14ac:dyDescent="0.25">
      <c r="A2390" t="s">
        <v>67</v>
      </c>
      <c r="B2390" t="s">
        <v>56</v>
      </c>
      <c r="C2390">
        <v>3</v>
      </c>
      <c r="D2390" s="9">
        <v>3700</v>
      </c>
      <c r="E2390" s="9">
        <f>+Tablo3[[#This Row],[Birim Fiyat]]*Tablo3[[#This Row],[Satış Adet]]</f>
        <v>11100</v>
      </c>
      <c r="F2390" s="9">
        <v>2100</v>
      </c>
      <c r="G2390" t="s">
        <v>63</v>
      </c>
      <c r="H2390" t="s">
        <v>27</v>
      </c>
    </row>
    <row r="2391" spans="1:8" x14ac:dyDescent="0.25">
      <c r="A2391" t="s">
        <v>46</v>
      </c>
      <c r="B2391" t="s">
        <v>41</v>
      </c>
      <c r="C2391">
        <v>3</v>
      </c>
      <c r="D2391" s="9">
        <v>1490</v>
      </c>
      <c r="E2391" s="9">
        <f>+Tablo3[[#This Row],[Birim Fiyat]]*Tablo3[[#This Row],[Satış Adet]]</f>
        <v>4470</v>
      </c>
      <c r="F2391" s="9">
        <v>2070</v>
      </c>
      <c r="G2391" t="s">
        <v>63</v>
      </c>
      <c r="H2391" t="s">
        <v>29</v>
      </c>
    </row>
    <row r="2392" spans="1:8" x14ac:dyDescent="0.25">
      <c r="A2392" t="s">
        <v>38</v>
      </c>
      <c r="B2392" t="s">
        <v>55</v>
      </c>
      <c r="C2392">
        <v>2</v>
      </c>
      <c r="D2392" s="9">
        <v>1500</v>
      </c>
      <c r="E2392" s="9">
        <f>+Tablo3[[#This Row],[Birim Fiyat]]*Tablo3[[#This Row],[Satış Adet]]</f>
        <v>3000</v>
      </c>
      <c r="F2392" s="9">
        <v>1400</v>
      </c>
      <c r="G2392" t="s">
        <v>63</v>
      </c>
      <c r="H2392" t="s">
        <v>27</v>
      </c>
    </row>
    <row r="2393" spans="1:8" x14ac:dyDescent="0.25">
      <c r="A2393" t="s">
        <v>36</v>
      </c>
      <c r="B2393" t="s">
        <v>32</v>
      </c>
      <c r="C2393">
        <v>2</v>
      </c>
      <c r="D2393" s="9">
        <v>1090</v>
      </c>
      <c r="E2393" s="9">
        <f>+Tablo3[[#This Row],[Birim Fiyat]]*Tablo3[[#This Row],[Satış Adet]]</f>
        <v>2180</v>
      </c>
      <c r="F2393" s="9">
        <v>580</v>
      </c>
      <c r="G2393" t="s">
        <v>63</v>
      </c>
      <c r="H2393" t="s">
        <v>24</v>
      </c>
    </row>
    <row r="2394" spans="1:8" x14ac:dyDescent="0.25">
      <c r="A2394" t="s">
        <v>46</v>
      </c>
      <c r="B2394" t="s">
        <v>31</v>
      </c>
      <c r="C2394">
        <v>2</v>
      </c>
      <c r="D2394" s="9">
        <v>1800</v>
      </c>
      <c r="E2394" s="9">
        <f>+Tablo3[[#This Row],[Birim Fiyat]]*Tablo3[[#This Row],[Satış Adet]]</f>
        <v>3600</v>
      </c>
      <c r="F2394" s="9">
        <v>2000</v>
      </c>
      <c r="G2394" t="s">
        <v>63</v>
      </c>
      <c r="H2394" t="s">
        <v>14</v>
      </c>
    </row>
    <row r="2395" spans="1:8" x14ac:dyDescent="0.25">
      <c r="A2395" t="s">
        <v>33</v>
      </c>
      <c r="B2395" t="s">
        <v>53</v>
      </c>
      <c r="C2395">
        <v>5</v>
      </c>
      <c r="D2395" s="9">
        <v>7530</v>
      </c>
      <c r="E2395" s="9">
        <f>+Tablo3[[#This Row],[Birim Fiyat]]*Tablo3[[#This Row],[Satış Adet]]</f>
        <v>37650</v>
      </c>
      <c r="F2395" s="9">
        <v>7650</v>
      </c>
      <c r="G2395" t="s">
        <v>63</v>
      </c>
      <c r="H2395" t="s">
        <v>39</v>
      </c>
    </row>
    <row r="2396" spans="1:8" x14ac:dyDescent="0.25">
      <c r="A2396" t="s">
        <v>30</v>
      </c>
      <c r="B2396" t="s">
        <v>26</v>
      </c>
      <c r="C2396">
        <v>3</v>
      </c>
      <c r="D2396" s="9">
        <v>1100</v>
      </c>
      <c r="E2396" s="9">
        <f>+Tablo3[[#This Row],[Birim Fiyat]]*Tablo3[[#This Row],[Satış Adet]]</f>
        <v>3300</v>
      </c>
      <c r="F2396" s="9">
        <v>900</v>
      </c>
      <c r="G2396" t="s">
        <v>63</v>
      </c>
      <c r="H2396" t="s">
        <v>40</v>
      </c>
    </row>
    <row r="2397" spans="1:8" x14ac:dyDescent="0.25">
      <c r="A2397" t="s">
        <v>38</v>
      </c>
      <c r="B2397" t="s">
        <v>19</v>
      </c>
      <c r="C2397">
        <v>3</v>
      </c>
      <c r="D2397" s="9">
        <v>1350</v>
      </c>
      <c r="E2397" s="9">
        <f>+Tablo3[[#This Row],[Birim Fiyat]]*Tablo3[[#This Row],[Satış Adet]]</f>
        <v>4050</v>
      </c>
      <c r="F2397" s="9">
        <v>1650</v>
      </c>
      <c r="G2397" t="s">
        <v>63</v>
      </c>
      <c r="H2397" t="s">
        <v>39</v>
      </c>
    </row>
    <row r="2398" spans="1:8" x14ac:dyDescent="0.25">
      <c r="A2398" t="s">
        <v>36</v>
      </c>
      <c r="B2398" t="s">
        <v>19</v>
      </c>
      <c r="C2398">
        <v>2</v>
      </c>
      <c r="D2398" s="9">
        <v>1350</v>
      </c>
      <c r="E2398" s="9">
        <f>+Tablo3[[#This Row],[Birim Fiyat]]*Tablo3[[#This Row],[Satış Adet]]</f>
        <v>2700</v>
      </c>
      <c r="F2398" s="9">
        <v>1100</v>
      </c>
      <c r="G2398" t="s">
        <v>63</v>
      </c>
      <c r="H2398" t="s">
        <v>20</v>
      </c>
    </row>
    <row r="2399" spans="1:8" x14ac:dyDescent="0.25">
      <c r="A2399" t="s">
        <v>33</v>
      </c>
      <c r="B2399" t="s">
        <v>32</v>
      </c>
      <c r="C2399">
        <v>3</v>
      </c>
      <c r="D2399" s="9">
        <v>1090</v>
      </c>
      <c r="E2399" s="9">
        <f>+Tablo3[[#This Row],[Birim Fiyat]]*Tablo3[[#This Row],[Satış Adet]]</f>
        <v>3270</v>
      </c>
      <c r="F2399" s="9">
        <v>870</v>
      </c>
      <c r="G2399" t="s">
        <v>63</v>
      </c>
      <c r="H2399" t="s">
        <v>44</v>
      </c>
    </row>
    <row r="2400" spans="1:8" x14ac:dyDescent="0.25">
      <c r="A2400" t="s">
        <v>33</v>
      </c>
      <c r="B2400" t="s">
        <v>43</v>
      </c>
      <c r="C2400">
        <v>2</v>
      </c>
      <c r="D2400" s="9">
        <v>4200</v>
      </c>
      <c r="E2400" s="9">
        <f>+Tablo3[[#This Row],[Birim Fiyat]]*Tablo3[[#This Row],[Satış Adet]]</f>
        <v>8400</v>
      </c>
      <c r="F2400" s="9">
        <v>2400</v>
      </c>
      <c r="G2400" t="s">
        <v>63</v>
      </c>
      <c r="H2400" t="s">
        <v>40</v>
      </c>
    </row>
    <row r="2401" spans="1:8" x14ac:dyDescent="0.25">
      <c r="A2401" t="s">
        <v>38</v>
      </c>
      <c r="B2401" t="s">
        <v>31</v>
      </c>
      <c r="C2401">
        <v>2</v>
      </c>
      <c r="D2401" s="9">
        <v>1800</v>
      </c>
      <c r="E2401" s="9">
        <f>+Tablo3[[#This Row],[Birim Fiyat]]*Tablo3[[#This Row],[Satış Adet]]</f>
        <v>3600</v>
      </c>
      <c r="F2401" s="9">
        <v>2000</v>
      </c>
      <c r="G2401" t="s">
        <v>63</v>
      </c>
      <c r="H2401" t="s">
        <v>14</v>
      </c>
    </row>
    <row r="2402" spans="1:8" x14ac:dyDescent="0.25">
      <c r="A2402" t="s">
        <v>48</v>
      </c>
      <c r="B2402" t="s">
        <v>32</v>
      </c>
      <c r="C2402">
        <v>5</v>
      </c>
      <c r="D2402" s="9">
        <v>1090</v>
      </c>
      <c r="E2402" s="9">
        <f>+Tablo3[[#This Row],[Birim Fiyat]]*Tablo3[[#This Row],[Satış Adet]]</f>
        <v>5450</v>
      </c>
      <c r="F2402" s="9">
        <v>1450</v>
      </c>
      <c r="G2402" t="s">
        <v>63</v>
      </c>
      <c r="H2402" t="s">
        <v>44</v>
      </c>
    </row>
    <row r="2403" spans="1:8" x14ac:dyDescent="0.25">
      <c r="A2403" t="s">
        <v>8</v>
      </c>
      <c r="B2403" t="s">
        <v>23</v>
      </c>
      <c r="C2403">
        <v>5</v>
      </c>
      <c r="D2403" s="9">
        <v>7600</v>
      </c>
      <c r="E2403" s="9">
        <f>+Tablo3[[#This Row],[Birim Fiyat]]*Tablo3[[#This Row],[Satış Adet]]</f>
        <v>38000</v>
      </c>
      <c r="F2403" s="9">
        <v>8000</v>
      </c>
      <c r="G2403" t="s">
        <v>63</v>
      </c>
      <c r="H2403" t="s">
        <v>39</v>
      </c>
    </row>
    <row r="2404" spans="1:8" x14ac:dyDescent="0.25">
      <c r="A2404" t="s">
        <v>36</v>
      </c>
      <c r="B2404" t="s">
        <v>23</v>
      </c>
      <c r="C2404">
        <v>3</v>
      </c>
      <c r="D2404" s="9">
        <v>7600</v>
      </c>
      <c r="E2404" s="9">
        <f>+Tablo3[[#This Row],[Birim Fiyat]]*Tablo3[[#This Row],[Satış Adet]]</f>
        <v>22800</v>
      </c>
      <c r="F2404" s="9">
        <v>4800</v>
      </c>
      <c r="G2404" t="s">
        <v>63</v>
      </c>
      <c r="H2404" t="s">
        <v>35</v>
      </c>
    </row>
    <row r="2405" spans="1:8" x14ac:dyDescent="0.25">
      <c r="A2405" t="s">
        <v>15</v>
      </c>
      <c r="B2405" t="s">
        <v>56</v>
      </c>
      <c r="C2405">
        <v>3</v>
      </c>
      <c r="D2405" s="9">
        <v>3700</v>
      </c>
      <c r="E2405" s="9">
        <f>+Tablo3[[#This Row],[Birim Fiyat]]*Tablo3[[#This Row],[Satış Adet]]</f>
        <v>11100</v>
      </c>
      <c r="F2405" s="9">
        <v>2100</v>
      </c>
      <c r="G2405" t="s">
        <v>63</v>
      </c>
      <c r="H2405" t="s">
        <v>44</v>
      </c>
    </row>
    <row r="2406" spans="1:8" x14ac:dyDescent="0.25">
      <c r="A2406" t="s">
        <v>22</v>
      </c>
      <c r="B2406" t="s">
        <v>25</v>
      </c>
      <c r="C2406">
        <v>5</v>
      </c>
      <c r="D2406" s="9">
        <v>7250</v>
      </c>
      <c r="E2406" s="9">
        <f>+Tablo3[[#This Row],[Birim Fiyat]]*Tablo3[[#This Row],[Satış Adet]]</f>
        <v>36250</v>
      </c>
      <c r="F2406" s="9">
        <v>11250</v>
      </c>
      <c r="G2406" t="s">
        <v>63</v>
      </c>
      <c r="H2406" t="s">
        <v>42</v>
      </c>
    </row>
    <row r="2407" spans="1:8" x14ac:dyDescent="0.25">
      <c r="A2407" t="s">
        <v>12</v>
      </c>
      <c r="B2407" t="s">
        <v>23</v>
      </c>
      <c r="C2407">
        <v>5</v>
      </c>
      <c r="D2407" s="9">
        <v>7600</v>
      </c>
      <c r="E2407" s="9">
        <f>+Tablo3[[#This Row],[Birim Fiyat]]*Tablo3[[#This Row],[Satış Adet]]</f>
        <v>38000</v>
      </c>
      <c r="F2407" s="9">
        <v>8000</v>
      </c>
      <c r="G2407" t="s">
        <v>63</v>
      </c>
      <c r="H2407" t="s">
        <v>20</v>
      </c>
    </row>
    <row r="2408" spans="1:8" x14ac:dyDescent="0.25">
      <c r="A2408" t="s">
        <v>46</v>
      </c>
      <c r="B2408" t="s">
        <v>43</v>
      </c>
      <c r="C2408">
        <v>4</v>
      </c>
      <c r="D2408" s="9">
        <v>4200</v>
      </c>
      <c r="E2408" s="9">
        <f>+Tablo3[[#This Row],[Birim Fiyat]]*Tablo3[[#This Row],[Satış Adet]]</f>
        <v>16800</v>
      </c>
      <c r="F2408" s="9">
        <v>4800</v>
      </c>
      <c r="G2408" t="s">
        <v>63</v>
      </c>
      <c r="H2408" t="s">
        <v>52</v>
      </c>
    </row>
    <row r="2409" spans="1:8" x14ac:dyDescent="0.25">
      <c r="A2409" t="s">
        <v>30</v>
      </c>
      <c r="B2409" t="s">
        <v>50</v>
      </c>
      <c r="C2409">
        <v>5</v>
      </c>
      <c r="D2409" s="9">
        <v>1250</v>
      </c>
      <c r="E2409" s="9">
        <f>+Tablo3[[#This Row],[Birim Fiyat]]*Tablo3[[#This Row],[Satış Adet]]</f>
        <v>6250</v>
      </c>
      <c r="F2409" s="9">
        <v>2250</v>
      </c>
      <c r="G2409" t="s">
        <v>63</v>
      </c>
      <c r="H2409" t="s">
        <v>24</v>
      </c>
    </row>
    <row r="2410" spans="1:8" x14ac:dyDescent="0.25">
      <c r="A2410" t="s">
        <v>36</v>
      </c>
      <c r="B2410" t="s">
        <v>32</v>
      </c>
      <c r="C2410">
        <v>2</v>
      </c>
      <c r="D2410" s="9">
        <v>1090</v>
      </c>
      <c r="E2410" s="9">
        <f>+Tablo3[[#This Row],[Birim Fiyat]]*Tablo3[[#This Row],[Satış Adet]]</f>
        <v>2180</v>
      </c>
      <c r="F2410" s="9">
        <v>580</v>
      </c>
      <c r="G2410" t="s">
        <v>63</v>
      </c>
      <c r="H2410" t="s">
        <v>35</v>
      </c>
    </row>
    <row r="2411" spans="1:8" x14ac:dyDescent="0.25">
      <c r="A2411" t="s">
        <v>18</v>
      </c>
      <c r="B2411" t="s">
        <v>21</v>
      </c>
      <c r="C2411">
        <v>3</v>
      </c>
      <c r="D2411" s="9">
        <v>2180</v>
      </c>
      <c r="E2411" s="9">
        <f>+Tablo3[[#This Row],[Birim Fiyat]]*Tablo3[[#This Row],[Satış Adet]]</f>
        <v>6540</v>
      </c>
      <c r="F2411" s="9">
        <v>2040</v>
      </c>
      <c r="G2411" t="s">
        <v>63</v>
      </c>
      <c r="H2411" t="s">
        <v>52</v>
      </c>
    </row>
    <row r="2412" spans="1:8" x14ac:dyDescent="0.25">
      <c r="A2412" t="s">
        <v>48</v>
      </c>
      <c r="B2412" t="s">
        <v>56</v>
      </c>
      <c r="C2412">
        <v>2</v>
      </c>
      <c r="D2412" s="9">
        <v>3700</v>
      </c>
      <c r="E2412" s="9">
        <f>+Tablo3[[#This Row],[Birim Fiyat]]*Tablo3[[#This Row],[Satış Adet]]</f>
        <v>7400</v>
      </c>
      <c r="F2412" s="9">
        <v>1400</v>
      </c>
      <c r="G2412" t="s">
        <v>63</v>
      </c>
      <c r="H2412" t="s">
        <v>24</v>
      </c>
    </row>
    <row r="2413" spans="1:8" x14ac:dyDescent="0.25">
      <c r="A2413" t="s">
        <v>38</v>
      </c>
      <c r="B2413" t="s">
        <v>9</v>
      </c>
      <c r="C2413">
        <v>2</v>
      </c>
      <c r="D2413" s="9">
        <v>6000</v>
      </c>
      <c r="E2413" s="9">
        <f>+Tablo3[[#This Row],[Birim Fiyat]]*Tablo3[[#This Row],[Satış Adet]]</f>
        <v>12000</v>
      </c>
      <c r="F2413" s="9">
        <v>4000</v>
      </c>
      <c r="G2413" t="s">
        <v>63</v>
      </c>
      <c r="H2413" t="s">
        <v>44</v>
      </c>
    </row>
    <row r="2414" spans="1:8" x14ac:dyDescent="0.25">
      <c r="A2414" t="s">
        <v>46</v>
      </c>
      <c r="B2414" t="s">
        <v>50</v>
      </c>
      <c r="C2414">
        <v>2</v>
      </c>
      <c r="D2414" s="9">
        <v>1250</v>
      </c>
      <c r="E2414" s="9">
        <f>+Tablo3[[#This Row],[Birim Fiyat]]*Tablo3[[#This Row],[Satış Adet]]</f>
        <v>2500</v>
      </c>
      <c r="F2414" s="9">
        <v>900</v>
      </c>
      <c r="G2414" t="s">
        <v>63</v>
      </c>
      <c r="H2414" t="s">
        <v>11</v>
      </c>
    </row>
    <row r="2415" spans="1:8" x14ac:dyDescent="0.25">
      <c r="A2415" t="s">
        <v>48</v>
      </c>
      <c r="B2415" t="s">
        <v>23</v>
      </c>
      <c r="C2415">
        <v>2</v>
      </c>
      <c r="D2415" s="9">
        <v>7600</v>
      </c>
      <c r="E2415" s="9">
        <f>+Tablo3[[#This Row],[Birim Fiyat]]*Tablo3[[#This Row],[Satış Adet]]</f>
        <v>15200</v>
      </c>
      <c r="F2415" s="9">
        <v>3200</v>
      </c>
      <c r="G2415" t="s">
        <v>63</v>
      </c>
      <c r="H2415" t="s">
        <v>40</v>
      </c>
    </row>
    <row r="2416" spans="1:8" x14ac:dyDescent="0.25">
      <c r="A2416" t="s">
        <v>8</v>
      </c>
      <c r="B2416" t="s">
        <v>13</v>
      </c>
      <c r="C2416">
        <v>3</v>
      </c>
      <c r="D2416" s="9">
        <v>1400</v>
      </c>
      <c r="E2416" s="9">
        <f>+Tablo3[[#This Row],[Birim Fiyat]]*Tablo3[[#This Row],[Satış Adet]]</f>
        <v>4200</v>
      </c>
      <c r="F2416" s="9">
        <v>1800</v>
      </c>
      <c r="G2416" t="s">
        <v>63</v>
      </c>
      <c r="H2416" t="s">
        <v>40</v>
      </c>
    </row>
    <row r="2417" spans="1:8" x14ac:dyDescent="0.25">
      <c r="A2417" t="s">
        <v>22</v>
      </c>
      <c r="B2417" t="s">
        <v>21</v>
      </c>
      <c r="C2417">
        <v>5</v>
      </c>
      <c r="D2417" s="9">
        <v>2180</v>
      </c>
      <c r="E2417" s="9">
        <f>+Tablo3[[#This Row],[Birim Fiyat]]*Tablo3[[#This Row],[Satış Adet]]</f>
        <v>10900</v>
      </c>
      <c r="F2417" s="9">
        <v>3400</v>
      </c>
      <c r="G2417" t="s">
        <v>63</v>
      </c>
      <c r="H2417" t="s">
        <v>42</v>
      </c>
    </row>
    <row r="2418" spans="1:8" x14ac:dyDescent="0.25">
      <c r="A2418" t="s">
        <v>8</v>
      </c>
      <c r="B2418" t="s">
        <v>31</v>
      </c>
      <c r="C2418">
        <v>3</v>
      </c>
      <c r="D2418" s="9">
        <v>1800</v>
      </c>
      <c r="E2418" s="9">
        <f>+Tablo3[[#This Row],[Birim Fiyat]]*Tablo3[[#This Row],[Satış Adet]]</f>
        <v>5400</v>
      </c>
      <c r="F2418" s="9">
        <v>3000</v>
      </c>
      <c r="G2418" t="s">
        <v>63</v>
      </c>
      <c r="H2418" t="s">
        <v>39</v>
      </c>
    </row>
    <row r="2419" spans="1:8" x14ac:dyDescent="0.25">
      <c r="A2419" t="s">
        <v>15</v>
      </c>
      <c r="B2419" t="s">
        <v>55</v>
      </c>
      <c r="C2419">
        <v>4</v>
      </c>
      <c r="D2419" s="9">
        <v>1500</v>
      </c>
      <c r="E2419" s="9">
        <f>+Tablo3[[#This Row],[Birim Fiyat]]*Tablo3[[#This Row],[Satış Adet]]</f>
        <v>6000</v>
      </c>
      <c r="F2419" s="9">
        <v>2800</v>
      </c>
      <c r="G2419" t="s">
        <v>63</v>
      </c>
      <c r="H2419" t="s">
        <v>35</v>
      </c>
    </row>
    <row r="2420" spans="1:8" x14ac:dyDescent="0.25">
      <c r="A2420" t="s">
        <v>30</v>
      </c>
      <c r="B2420" t="s">
        <v>16</v>
      </c>
      <c r="C2420">
        <v>5</v>
      </c>
      <c r="D2420" s="9">
        <v>8450</v>
      </c>
      <c r="E2420" s="9">
        <f>+Tablo3[[#This Row],[Birim Fiyat]]*Tablo3[[#This Row],[Satış Adet]]</f>
        <v>42250</v>
      </c>
      <c r="F2420" s="9">
        <v>12250</v>
      </c>
      <c r="G2420" t="s">
        <v>63</v>
      </c>
      <c r="H2420" t="s">
        <v>35</v>
      </c>
    </row>
    <row r="2421" spans="1:8" x14ac:dyDescent="0.25">
      <c r="A2421" t="s">
        <v>38</v>
      </c>
      <c r="B2421" t="s">
        <v>55</v>
      </c>
      <c r="C2421">
        <v>4</v>
      </c>
      <c r="D2421" s="9">
        <v>1500</v>
      </c>
      <c r="E2421" s="9">
        <f>+Tablo3[[#This Row],[Birim Fiyat]]*Tablo3[[#This Row],[Satış Adet]]</f>
        <v>6000</v>
      </c>
      <c r="F2421" s="9">
        <v>2800</v>
      </c>
      <c r="G2421" t="s">
        <v>63</v>
      </c>
      <c r="H2421" t="s">
        <v>24</v>
      </c>
    </row>
    <row r="2422" spans="1:8" x14ac:dyDescent="0.25">
      <c r="A2422" t="s">
        <v>67</v>
      </c>
      <c r="B2422" t="s">
        <v>9</v>
      </c>
      <c r="C2422">
        <v>5</v>
      </c>
      <c r="D2422" s="9">
        <v>6000</v>
      </c>
      <c r="E2422" s="9">
        <f>+Tablo3[[#This Row],[Birim Fiyat]]*Tablo3[[#This Row],[Satış Adet]]</f>
        <v>30000</v>
      </c>
      <c r="F2422" s="9">
        <v>10000</v>
      </c>
      <c r="G2422" t="s">
        <v>63</v>
      </c>
      <c r="H2422" t="s">
        <v>52</v>
      </c>
    </row>
    <row r="2423" spans="1:8" x14ac:dyDescent="0.25">
      <c r="A2423" t="s">
        <v>48</v>
      </c>
      <c r="B2423" t="s">
        <v>51</v>
      </c>
      <c r="C2423">
        <v>2</v>
      </c>
      <c r="D2423" s="9">
        <v>1200</v>
      </c>
      <c r="E2423" s="9">
        <f>+Tablo3[[#This Row],[Birim Fiyat]]*Tablo3[[#This Row],[Satış Adet]]</f>
        <v>2400</v>
      </c>
      <c r="F2423" s="9">
        <v>800</v>
      </c>
      <c r="G2423" t="s">
        <v>63</v>
      </c>
      <c r="H2423" t="s">
        <v>20</v>
      </c>
    </row>
    <row r="2424" spans="1:8" x14ac:dyDescent="0.25">
      <c r="A2424" t="s">
        <v>8</v>
      </c>
      <c r="B2424" t="s">
        <v>43</v>
      </c>
      <c r="C2424">
        <v>3</v>
      </c>
      <c r="D2424" s="9">
        <v>4200</v>
      </c>
      <c r="E2424" s="9">
        <f>+Tablo3[[#This Row],[Birim Fiyat]]*Tablo3[[#This Row],[Satış Adet]]</f>
        <v>12600</v>
      </c>
      <c r="F2424" s="9">
        <v>3600</v>
      </c>
      <c r="G2424" t="s">
        <v>63</v>
      </c>
      <c r="H2424" t="s">
        <v>52</v>
      </c>
    </row>
    <row r="2425" spans="1:8" x14ac:dyDescent="0.25">
      <c r="A2425" t="s">
        <v>46</v>
      </c>
      <c r="B2425" t="s">
        <v>23</v>
      </c>
      <c r="C2425">
        <v>5</v>
      </c>
      <c r="D2425" s="9">
        <v>7600</v>
      </c>
      <c r="E2425" s="9">
        <f>+Tablo3[[#This Row],[Birim Fiyat]]*Tablo3[[#This Row],[Satış Adet]]</f>
        <v>38000</v>
      </c>
      <c r="F2425" s="9">
        <v>8000</v>
      </c>
      <c r="G2425" t="s">
        <v>63</v>
      </c>
      <c r="H2425" t="s">
        <v>52</v>
      </c>
    </row>
    <row r="2426" spans="1:8" x14ac:dyDescent="0.25">
      <c r="A2426" t="s">
        <v>67</v>
      </c>
      <c r="B2426" t="s">
        <v>25</v>
      </c>
      <c r="C2426">
        <v>5</v>
      </c>
      <c r="D2426" s="9">
        <v>7250</v>
      </c>
      <c r="E2426" s="9">
        <f>+Tablo3[[#This Row],[Birim Fiyat]]*Tablo3[[#This Row],[Satış Adet]]</f>
        <v>36250</v>
      </c>
      <c r="F2426" s="9">
        <v>11250</v>
      </c>
      <c r="G2426" t="s">
        <v>63</v>
      </c>
      <c r="H2426" t="s">
        <v>40</v>
      </c>
    </row>
    <row r="2427" spans="1:8" x14ac:dyDescent="0.25">
      <c r="A2427" t="s">
        <v>12</v>
      </c>
      <c r="B2427" t="s">
        <v>53</v>
      </c>
      <c r="C2427">
        <v>5</v>
      </c>
      <c r="D2427" s="9">
        <v>7530</v>
      </c>
      <c r="E2427" s="9">
        <f>+Tablo3[[#This Row],[Birim Fiyat]]*Tablo3[[#This Row],[Satış Adet]]</f>
        <v>37650</v>
      </c>
      <c r="F2427" s="9">
        <v>7650</v>
      </c>
      <c r="G2427" t="s">
        <v>63</v>
      </c>
      <c r="H2427" t="s">
        <v>44</v>
      </c>
    </row>
    <row r="2428" spans="1:8" x14ac:dyDescent="0.25">
      <c r="A2428" t="s">
        <v>15</v>
      </c>
      <c r="B2428" t="s">
        <v>25</v>
      </c>
      <c r="C2428">
        <v>3</v>
      </c>
      <c r="D2428" s="9">
        <v>7250</v>
      </c>
      <c r="E2428" s="9">
        <f>+Tablo3[[#This Row],[Birim Fiyat]]*Tablo3[[#This Row],[Satış Adet]]</f>
        <v>21750</v>
      </c>
      <c r="F2428" s="9">
        <v>6750</v>
      </c>
      <c r="G2428" t="s">
        <v>63</v>
      </c>
      <c r="H2428" t="s">
        <v>52</v>
      </c>
    </row>
    <row r="2429" spans="1:8" x14ac:dyDescent="0.25">
      <c r="A2429" t="s">
        <v>12</v>
      </c>
      <c r="B2429" t="s">
        <v>9</v>
      </c>
      <c r="C2429">
        <v>3</v>
      </c>
      <c r="D2429" s="9">
        <v>6000</v>
      </c>
      <c r="E2429" s="9">
        <f>+Tablo3[[#This Row],[Birim Fiyat]]*Tablo3[[#This Row],[Satış Adet]]</f>
        <v>18000</v>
      </c>
      <c r="F2429" s="9">
        <v>6000</v>
      </c>
      <c r="G2429" t="s">
        <v>63</v>
      </c>
      <c r="H2429" t="s">
        <v>17</v>
      </c>
    </row>
    <row r="2430" spans="1:8" x14ac:dyDescent="0.25">
      <c r="A2430" t="s">
        <v>67</v>
      </c>
      <c r="B2430" t="s">
        <v>51</v>
      </c>
      <c r="C2430">
        <v>4</v>
      </c>
      <c r="D2430" s="9">
        <v>1200</v>
      </c>
      <c r="E2430" s="9">
        <f>+Tablo3[[#This Row],[Birim Fiyat]]*Tablo3[[#This Row],[Satış Adet]]</f>
        <v>4800</v>
      </c>
      <c r="F2430" s="9">
        <v>1600</v>
      </c>
      <c r="G2430" t="s">
        <v>63</v>
      </c>
      <c r="H2430" t="s">
        <v>39</v>
      </c>
    </row>
    <row r="2431" spans="1:8" x14ac:dyDescent="0.25">
      <c r="A2431" t="s">
        <v>48</v>
      </c>
      <c r="B2431" t="s">
        <v>54</v>
      </c>
      <c r="C2431">
        <v>5</v>
      </c>
      <c r="D2431" s="9">
        <v>5300</v>
      </c>
      <c r="E2431" s="9">
        <f>+Tablo3[[#This Row],[Birim Fiyat]]*Tablo3[[#This Row],[Satış Adet]]</f>
        <v>26500</v>
      </c>
      <c r="F2431" s="9">
        <v>6500</v>
      </c>
      <c r="G2431" t="s">
        <v>63</v>
      </c>
      <c r="H2431" t="s">
        <v>17</v>
      </c>
    </row>
    <row r="2432" spans="1:8" x14ac:dyDescent="0.25">
      <c r="A2432" t="s">
        <v>36</v>
      </c>
      <c r="B2432" t="s">
        <v>16</v>
      </c>
      <c r="C2432">
        <v>2</v>
      </c>
      <c r="D2432" s="9">
        <v>8450</v>
      </c>
      <c r="E2432" s="9">
        <f>+Tablo3[[#This Row],[Birim Fiyat]]*Tablo3[[#This Row],[Satış Adet]]</f>
        <v>16900</v>
      </c>
      <c r="F2432" s="9">
        <v>4900</v>
      </c>
      <c r="G2432" t="s">
        <v>63</v>
      </c>
      <c r="H2432" t="s">
        <v>17</v>
      </c>
    </row>
    <row r="2433" spans="1:8" x14ac:dyDescent="0.25">
      <c r="A2433" t="s">
        <v>22</v>
      </c>
      <c r="B2433" t="s">
        <v>19</v>
      </c>
      <c r="C2433">
        <v>2</v>
      </c>
      <c r="D2433" s="9">
        <v>1350</v>
      </c>
      <c r="E2433" s="9">
        <f>+Tablo3[[#This Row],[Birim Fiyat]]*Tablo3[[#This Row],[Satış Adet]]</f>
        <v>2700</v>
      </c>
      <c r="F2433" s="9">
        <v>1100</v>
      </c>
      <c r="G2433" t="s">
        <v>63</v>
      </c>
      <c r="H2433" t="s">
        <v>20</v>
      </c>
    </row>
    <row r="2434" spans="1:8" x14ac:dyDescent="0.25">
      <c r="A2434" t="s">
        <v>30</v>
      </c>
      <c r="B2434" t="s">
        <v>32</v>
      </c>
      <c r="C2434">
        <v>4</v>
      </c>
      <c r="D2434" s="9">
        <v>1090</v>
      </c>
      <c r="E2434" s="9">
        <f>+Tablo3[[#This Row],[Birim Fiyat]]*Tablo3[[#This Row],[Satış Adet]]</f>
        <v>4360</v>
      </c>
      <c r="F2434" s="9">
        <v>1160</v>
      </c>
      <c r="G2434" t="s">
        <v>63</v>
      </c>
      <c r="H2434" t="s">
        <v>17</v>
      </c>
    </row>
    <row r="2435" spans="1:8" x14ac:dyDescent="0.25">
      <c r="A2435" t="s">
        <v>22</v>
      </c>
      <c r="B2435" t="s">
        <v>21</v>
      </c>
      <c r="C2435">
        <v>2</v>
      </c>
      <c r="D2435" s="9">
        <v>2180</v>
      </c>
      <c r="E2435" s="9">
        <f>+Tablo3[[#This Row],[Birim Fiyat]]*Tablo3[[#This Row],[Satış Adet]]</f>
        <v>4360</v>
      </c>
      <c r="F2435" s="9">
        <v>1360</v>
      </c>
      <c r="G2435" t="s">
        <v>63</v>
      </c>
      <c r="H2435" t="s">
        <v>40</v>
      </c>
    </row>
    <row r="2436" spans="1:8" x14ac:dyDescent="0.25">
      <c r="A2436" t="s">
        <v>12</v>
      </c>
      <c r="B2436" t="s">
        <v>56</v>
      </c>
      <c r="C2436">
        <v>5</v>
      </c>
      <c r="D2436" s="9">
        <v>3700</v>
      </c>
      <c r="E2436" s="9">
        <f>+Tablo3[[#This Row],[Birim Fiyat]]*Tablo3[[#This Row],[Satış Adet]]</f>
        <v>18500</v>
      </c>
      <c r="F2436" s="9">
        <v>3500</v>
      </c>
      <c r="G2436" t="s">
        <v>63</v>
      </c>
      <c r="H2436" t="s">
        <v>52</v>
      </c>
    </row>
    <row r="2437" spans="1:8" x14ac:dyDescent="0.25">
      <c r="A2437" t="s">
        <v>30</v>
      </c>
      <c r="B2437" t="s">
        <v>26</v>
      </c>
      <c r="C2437">
        <v>3</v>
      </c>
      <c r="D2437" s="9">
        <v>1100</v>
      </c>
      <c r="E2437" s="9">
        <f>+Tablo3[[#This Row],[Birim Fiyat]]*Tablo3[[#This Row],[Satış Adet]]</f>
        <v>3300</v>
      </c>
      <c r="F2437" s="9">
        <v>900</v>
      </c>
      <c r="G2437" t="s">
        <v>63</v>
      </c>
      <c r="H2437" t="s">
        <v>17</v>
      </c>
    </row>
    <row r="2438" spans="1:8" x14ac:dyDescent="0.25">
      <c r="A2438" t="s">
        <v>67</v>
      </c>
      <c r="B2438" t="s">
        <v>56</v>
      </c>
      <c r="C2438">
        <v>3</v>
      </c>
      <c r="D2438" s="9">
        <v>3700</v>
      </c>
      <c r="E2438" s="9">
        <f>+Tablo3[[#This Row],[Birim Fiyat]]*Tablo3[[#This Row],[Satış Adet]]</f>
        <v>11100</v>
      </c>
      <c r="F2438" s="9">
        <v>2100</v>
      </c>
      <c r="G2438" t="s">
        <v>63</v>
      </c>
      <c r="H2438" t="s">
        <v>40</v>
      </c>
    </row>
    <row r="2439" spans="1:8" x14ac:dyDescent="0.25">
      <c r="A2439" t="s">
        <v>46</v>
      </c>
      <c r="B2439" t="s">
        <v>41</v>
      </c>
      <c r="C2439">
        <v>4</v>
      </c>
      <c r="D2439" s="9">
        <v>1490</v>
      </c>
      <c r="E2439" s="9">
        <f>+Tablo3[[#This Row],[Birim Fiyat]]*Tablo3[[#This Row],[Satış Adet]]</f>
        <v>5960</v>
      </c>
      <c r="F2439" s="9">
        <v>2760</v>
      </c>
      <c r="G2439" t="s">
        <v>63</v>
      </c>
      <c r="H2439" t="s">
        <v>29</v>
      </c>
    </row>
    <row r="2440" spans="1:8" x14ac:dyDescent="0.25">
      <c r="A2440" t="s">
        <v>38</v>
      </c>
      <c r="B2440" t="s">
        <v>55</v>
      </c>
      <c r="C2440">
        <v>2</v>
      </c>
      <c r="D2440" s="9">
        <v>1500</v>
      </c>
      <c r="E2440" s="9">
        <f>+Tablo3[[#This Row],[Birim Fiyat]]*Tablo3[[#This Row],[Satış Adet]]</f>
        <v>3000</v>
      </c>
      <c r="F2440" s="9">
        <v>1400</v>
      </c>
      <c r="G2440" t="s">
        <v>63</v>
      </c>
      <c r="H2440" t="s">
        <v>29</v>
      </c>
    </row>
    <row r="2441" spans="1:8" x14ac:dyDescent="0.25">
      <c r="A2441" t="s">
        <v>36</v>
      </c>
      <c r="B2441" t="s">
        <v>32</v>
      </c>
      <c r="C2441">
        <v>3</v>
      </c>
      <c r="D2441" s="9">
        <v>1090</v>
      </c>
      <c r="E2441" s="9">
        <f>+Tablo3[[#This Row],[Birim Fiyat]]*Tablo3[[#This Row],[Satış Adet]]</f>
        <v>3270</v>
      </c>
      <c r="F2441" s="9">
        <v>870</v>
      </c>
      <c r="G2441" t="s">
        <v>63</v>
      </c>
      <c r="H2441" t="s">
        <v>35</v>
      </c>
    </row>
    <row r="2442" spans="1:8" x14ac:dyDescent="0.25">
      <c r="A2442" t="s">
        <v>46</v>
      </c>
      <c r="B2442" t="s">
        <v>31</v>
      </c>
      <c r="C2442">
        <v>3</v>
      </c>
      <c r="D2442" s="9">
        <v>1800</v>
      </c>
      <c r="E2442" s="9">
        <f>+Tablo3[[#This Row],[Birim Fiyat]]*Tablo3[[#This Row],[Satış Adet]]</f>
        <v>5400</v>
      </c>
      <c r="F2442" s="9">
        <v>3000</v>
      </c>
      <c r="G2442" t="s">
        <v>63</v>
      </c>
      <c r="H2442" t="s">
        <v>35</v>
      </c>
    </row>
    <row r="2443" spans="1:8" x14ac:dyDescent="0.25">
      <c r="A2443" t="s">
        <v>33</v>
      </c>
      <c r="B2443" t="s">
        <v>53</v>
      </c>
      <c r="C2443">
        <v>3</v>
      </c>
      <c r="D2443" s="9">
        <v>7530</v>
      </c>
      <c r="E2443" s="9">
        <f>+Tablo3[[#This Row],[Birim Fiyat]]*Tablo3[[#This Row],[Satış Adet]]</f>
        <v>22590</v>
      </c>
      <c r="F2443" s="9">
        <v>4590</v>
      </c>
      <c r="G2443" t="s">
        <v>63</v>
      </c>
      <c r="H2443" t="s">
        <v>24</v>
      </c>
    </row>
    <row r="2444" spans="1:8" x14ac:dyDescent="0.25">
      <c r="A2444" t="s">
        <v>30</v>
      </c>
      <c r="B2444" t="s">
        <v>26</v>
      </c>
      <c r="C2444">
        <v>3</v>
      </c>
      <c r="D2444" s="9">
        <v>1100</v>
      </c>
      <c r="E2444" s="9">
        <f>+Tablo3[[#This Row],[Birim Fiyat]]*Tablo3[[#This Row],[Satış Adet]]</f>
        <v>3300</v>
      </c>
      <c r="F2444" s="9">
        <v>900</v>
      </c>
      <c r="G2444" t="s">
        <v>63</v>
      </c>
      <c r="H2444" t="s">
        <v>17</v>
      </c>
    </row>
    <row r="2445" spans="1:8" x14ac:dyDescent="0.25">
      <c r="A2445" t="s">
        <v>38</v>
      </c>
      <c r="B2445" t="s">
        <v>19</v>
      </c>
      <c r="C2445">
        <v>3</v>
      </c>
      <c r="D2445" s="9">
        <v>1350</v>
      </c>
      <c r="E2445" s="9">
        <f>+Tablo3[[#This Row],[Birim Fiyat]]*Tablo3[[#This Row],[Satış Adet]]</f>
        <v>4050</v>
      </c>
      <c r="F2445" s="9">
        <v>1650</v>
      </c>
      <c r="G2445" t="s">
        <v>63</v>
      </c>
      <c r="H2445" t="s">
        <v>39</v>
      </c>
    </row>
    <row r="2446" spans="1:8" x14ac:dyDescent="0.25">
      <c r="A2446" t="s">
        <v>36</v>
      </c>
      <c r="B2446" t="s">
        <v>19</v>
      </c>
      <c r="C2446">
        <v>2</v>
      </c>
      <c r="D2446" s="9">
        <v>1350</v>
      </c>
      <c r="E2446" s="9">
        <f>+Tablo3[[#This Row],[Birim Fiyat]]*Tablo3[[#This Row],[Satış Adet]]</f>
        <v>2700</v>
      </c>
      <c r="F2446" s="9">
        <v>1100</v>
      </c>
      <c r="G2446" t="s">
        <v>63</v>
      </c>
      <c r="H2446" t="s">
        <v>11</v>
      </c>
    </row>
    <row r="2447" spans="1:8" x14ac:dyDescent="0.25">
      <c r="A2447" t="s">
        <v>33</v>
      </c>
      <c r="B2447" t="s">
        <v>32</v>
      </c>
      <c r="C2447">
        <v>3</v>
      </c>
      <c r="D2447" s="9">
        <v>1090</v>
      </c>
      <c r="E2447" s="9">
        <f>+Tablo3[[#This Row],[Birim Fiyat]]*Tablo3[[#This Row],[Satış Adet]]</f>
        <v>3270</v>
      </c>
      <c r="F2447" s="9">
        <v>870</v>
      </c>
      <c r="G2447" t="s">
        <v>63</v>
      </c>
      <c r="H2447" t="s">
        <v>20</v>
      </c>
    </row>
    <row r="2448" spans="1:8" x14ac:dyDescent="0.25">
      <c r="A2448" t="s">
        <v>33</v>
      </c>
      <c r="B2448" t="s">
        <v>43</v>
      </c>
      <c r="C2448">
        <v>3</v>
      </c>
      <c r="D2448" s="9">
        <v>4200</v>
      </c>
      <c r="E2448" s="9">
        <f>+Tablo3[[#This Row],[Birim Fiyat]]*Tablo3[[#This Row],[Satış Adet]]</f>
        <v>12600</v>
      </c>
      <c r="F2448" s="9">
        <v>3600</v>
      </c>
      <c r="G2448" t="s">
        <v>63</v>
      </c>
      <c r="H2448" t="s">
        <v>29</v>
      </c>
    </row>
    <row r="2449" spans="1:8" x14ac:dyDescent="0.25">
      <c r="A2449" t="s">
        <v>38</v>
      </c>
      <c r="B2449" t="s">
        <v>31</v>
      </c>
      <c r="C2449">
        <v>4</v>
      </c>
      <c r="D2449" s="9">
        <v>1800</v>
      </c>
      <c r="E2449" s="9">
        <f>+Tablo3[[#This Row],[Birim Fiyat]]*Tablo3[[#This Row],[Satış Adet]]</f>
        <v>7200</v>
      </c>
      <c r="F2449" s="9">
        <v>4000</v>
      </c>
      <c r="G2449" t="s">
        <v>63</v>
      </c>
      <c r="H2449" t="s">
        <v>52</v>
      </c>
    </row>
    <row r="2450" spans="1:8" x14ac:dyDescent="0.25">
      <c r="A2450" t="s">
        <v>48</v>
      </c>
      <c r="B2450" t="s">
        <v>32</v>
      </c>
      <c r="C2450">
        <v>2</v>
      </c>
      <c r="D2450" s="9">
        <v>1090</v>
      </c>
      <c r="E2450" s="9">
        <f>+Tablo3[[#This Row],[Birim Fiyat]]*Tablo3[[#This Row],[Satış Adet]]</f>
        <v>2180</v>
      </c>
      <c r="F2450" s="9">
        <v>580</v>
      </c>
      <c r="G2450" t="s">
        <v>63</v>
      </c>
      <c r="H2450" t="s">
        <v>42</v>
      </c>
    </row>
    <row r="2451" spans="1:8" x14ac:dyDescent="0.25">
      <c r="A2451" t="s">
        <v>8</v>
      </c>
      <c r="B2451" t="s">
        <v>23</v>
      </c>
      <c r="C2451">
        <v>4</v>
      </c>
      <c r="D2451" s="9">
        <v>7600</v>
      </c>
      <c r="E2451" s="9">
        <f>+Tablo3[[#This Row],[Birim Fiyat]]*Tablo3[[#This Row],[Satış Adet]]</f>
        <v>30400</v>
      </c>
      <c r="F2451" s="9">
        <v>6400</v>
      </c>
      <c r="G2451" t="s">
        <v>63</v>
      </c>
      <c r="H2451" t="s">
        <v>44</v>
      </c>
    </row>
    <row r="2452" spans="1:8" x14ac:dyDescent="0.25">
      <c r="A2452" t="s">
        <v>36</v>
      </c>
      <c r="B2452" t="s">
        <v>23</v>
      </c>
      <c r="C2452">
        <v>3</v>
      </c>
      <c r="D2452" s="9">
        <v>7600</v>
      </c>
      <c r="E2452" s="9">
        <f>+Tablo3[[#This Row],[Birim Fiyat]]*Tablo3[[#This Row],[Satış Adet]]</f>
        <v>22800</v>
      </c>
      <c r="F2452" s="9">
        <v>4800</v>
      </c>
      <c r="G2452" t="s">
        <v>63</v>
      </c>
      <c r="H2452" t="s">
        <v>42</v>
      </c>
    </row>
    <row r="2453" spans="1:8" x14ac:dyDescent="0.25">
      <c r="A2453" t="s">
        <v>15</v>
      </c>
      <c r="B2453" t="s">
        <v>56</v>
      </c>
      <c r="C2453">
        <v>5</v>
      </c>
      <c r="D2453" s="9">
        <v>3700</v>
      </c>
      <c r="E2453" s="9">
        <f>+Tablo3[[#This Row],[Birim Fiyat]]*Tablo3[[#This Row],[Satış Adet]]</f>
        <v>18500</v>
      </c>
      <c r="F2453" s="9">
        <v>3500</v>
      </c>
      <c r="G2453" t="s">
        <v>63</v>
      </c>
      <c r="H2453" t="s">
        <v>20</v>
      </c>
    </row>
    <row r="2454" spans="1:8" x14ac:dyDescent="0.25">
      <c r="A2454" t="s">
        <v>22</v>
      </c>
      <c r="B2454" t="s">
        <v>25</v>
      </c>
      <c r="C2454">
        <v>2</v>
      </c>
      <c r="D2454" s="9">
        <v>7250</v>
      </c>
      <c r="E2454" s="9">
        <f>+Tablo3[[#This Row],[Birim Fiyat]]*Tablo3[[#This Row],[Satış Adet]]</f>
        <v>14500</v>
      </c>
      <c r="F2454" s="9">
        <v>4500</v>
      </c>
      <c r="G2454" t="s">
        <v>63</v>
      </c>
      <c r="H2454" t="s">
        <v>14</v>
      </c>
    </row>
    <row r="2455" spans="1:8" x14ac:dyDescent="0.25">
      <c r="A2455" t="s">
        <v>12</v>
      </c>
      <c r="B2455" t="s">
        <v>23</v>
      </c>
      <c r="C2455">
        <v>4</v>
      </c>
      <c r="D2455" s="9">
        <v>7600</v>
      </c>
      <c r="E2455" s="9">
        <f>+Tablo3[[#This Row],[Birim Fiyat]]*Tablo3[[#This Row],[Satış Adet]]</f>
        <v>30400</v>
      </c>
      <c r="F2455" s="9">
        <v>6400</v>
      </c>
      <c r="G2455" t="s">
        <v>63</v>
      </c>
      <c r="H2455" t="s">
        <v>35</v>
      </c>
    </row>
    <row r="2456" spans="1:8" x14ac:dyDescent="0.25">
      <c r="A2456" t="s">
        <v>46</v>
      </c>
      <c r="B2456" t="s">
        <v>43</v>
      </c>
      <c r="C2456">
        <v>3</v>
      </c>
      <c r="D2456" s="9">
        <v>4200</v>
      </c>
      <c r="E2456" s="9">
        <f>+Tablo3[[#This Row],[Birim Fiyat]]*Tablo3[[#This Row],[Satış Adet]]</f>
        <v>12600</v>
      </c>
      <c r="F2456" s="9">
        <v>3600</v>
      </c>
      <c r="G2456" t="s">
        <v>63</v>
      </c>
      <c r="H2456" t="s">
        <v>24</v>
      </c>
    </row>
    <row r="2457" spans="1:8" x14ac:dyDescent="0.25">
      <c r="A2457" t="s">
        <v>30</v>
      </c>
      <c r="B2457" t="s">
        <v>50</v>
      </c>
      <c r="C2457">
        <v>2</v>
      </c>
      <c r="D2457" s="9">
        <v>1250</v>
      </c>
      <c r="E2457" s="9">
        <f>+Tablo3[[#This Row],[Birim Fiyat]]*Tablo3[[#This Row],[Satış Adet]]</f>
        <v>2500</v>
      </c>
      <c r="F2457" s="9">
        <v>900</v>
      </c>
      <c r="G2457" t="s">
        <v>63</v>
      </c>
      <c r="H2457" t="s">
        <v>14</v>
      </c>
    </row>
    <row r="2458" spans="1:8" x14ac:dyDescent="0.25">
      <c r="A2458" t="s">
        <v>36</v>
      </c>
      <c r="B2458" t="s">
        <v>32</v>
      </c>
      <c r="C2458">
        <v>5</v>
      </c>
      <c r="D2458" s="9">
        <v>1090</v>
      </c>
      <c r="E2458" s="9">
        <f>+Tablo3[[#This Row],[Birim Fiyat]]*Tablo3[[#This Row],[Satış Adet]]</f>
        <v>5450</v>
      </c>
      <c r="F2458" s="9">
        <v>1450</v>
      </c>
      <c r="G2458" t="s">
        <v>63</v>
      </c>
      <c r="H2458" t="s">
        <v>42</v>
      </c>
    </row>
    <row r="2459" spans="1:8" x14ac:dyDescent="0.25">
      <c r="A2459" t="s">
        <v>18</v>
      </c>
      <c r="B2459" t="s">
        <v>21</v>
      </c>
      <c r="C2459">
        <v>2</v>
      </c>
      <c r="D2459" s="9">
        <v>2180</v>
      </c>
      <c r="E2459" s="9">
        <f>+Tablo3[[#This Row],[Birim Fiyat]]*Tablo3[[#This Row],[Satış Adet]]</f>
        <v>4360</v>
      </c>
      <c r="F2459" s="9">
        <v>1360</v>
      </c>
      <c r="G2459" t="s">
        <v>63</v>
      </c>
      <c r="H2459" t="s">
        <v>24</v>
      </c>
    </row>
    <row r="2460" spans="1:8" x14ac:dyDescent="0.25">
      <c r="A2460" t="s">
        <v>48</v>
      </c>
      <c r="B2460" t="s">
        <v>56</v>
      </c>
      <c r="C2460">
        <v>3</v>
      </c>
      <c r="D2460" s="9">
        <v>3700</v>
      </c>
      <c r="E2460" s="9">
        <f>+Tablo3[[#This Row],[Birim Fiyat]]*Tablo3[[#This Row],[Satış Adet]]</f>
        <v>11100</v>
      </c>
      <c r="F2460" s="9">
        <v>2100</v>
      </c>
      <c r="G2460" t="s">
        <v>63</v>
      </c>
      <c r="H2460" t="s">
        <v>29</v>
      </c>
    </row>
    <row r="2461" spans="1:8" x14ac:dyDescent="0.25">
      <c r="A2461" t="s">
        <v>38</v>
      </c>
      <c r="B2461" t="s">
        <v>9</v>
      </c>
      <c r="C2461">
        <v>5</v>
      </c>
      <c r="D2461" s="9">
        <v>6000</v>
      </c>
      <c r="E2461" s="9">
        <f>+Tablo3[[#This Row],[Birim Fiyat]]*Tablo3[[#This Row],[Satış Adet]]</f>
        <v>30000</v>
      </c>
      <c r="F2461" s="9">
        <v>10000</v>
      </c>
      <c r="G2461" t="s">
        <v>63</v>
      </c>
      <c r="H2461" t="s">
        <v>27</v>
      </c>
    </row>
    <row r="2462" spans="1:8" x14ac:dyDescent="0.25">
      <c r="A2462" t="s">
        <v>46</v>
      </c>
      <c r="B2462" t="s">
        <v>50</v>
      </c>
      <c r="C2462">
        <v>2</v>
      </c>
      <c r="D2462" s="9">
        <v>1250</v>
      </c>
      <c r="E2462" s="9">
        <f>+Tablo3[[#This Row],[Birim Fiyat]]*Tablo3[[#This Row],[Satış Adet]]</f>
        <v>2500</v>
      </c>
      <c r="F2462" s="9">
        <v>900</v>
      </c>
      <c r="G2462" t="s">
        <v>63</v>
      </c>
      <c r="H2462" t="s">
        <v>24</v>
      </c>
    </row>
    <row r="2463" spans="1:8" x14ac:dyDescent="0.25">
      <c r="A2463" t="s">
        <v>48</v>
      </c>
      <c r="B2463" t="s">
        <v>23</v>
      </c>
      <c r="C2463">
        <v>2</v>
      </c>
      <c r="D2463" s="9">
        <v>7600</v>
      </c>
      <c r="E2463" s="9">
        <f>+Tablo3[[#This Row],[Birim Fiyat]]*Tablo3[[#This Row],[Satış Adet]]</f>
        <v>15200</v>
      </c>
      <c r="F2463" s="9">
        <v>3200</v>
      </c>
      <c r="G2463" t="s">
        <v>63</v>
      </c>
      <c r="H2463" t="s">
        <v>39</v>
      </c>
    </row>
    <row r="2464" spans="1:8" x14ac:dyDescent="0.25">
      <c r="A2464" t="s">
        <v>8</v>
      </c>
      <c r="B2464" t="s">
        <v>13</v>
      </c>
      <c r="C2464">
        <v>5</v>
      </c>
      <c r="D2464" s="9">
        <v>1400</v>
      </c>
      <c r="E2464" s="9">
        <f>+Tablo3[[#This Row],[Birim Fiyat]]*Tablo3[[#This Row],[Satış Adet]]</f>
        <v>7000</v>
      </c>
      <c r="F2464" s="9">
        <v>3000</v>
      </c>
      <c r="G2464" t="s">
        <v>63</v>
      </c>
      <c r="H2464" t="s">
        <v>20</v>
      </c>
    </row>
    <row r="2465" spans="1:8" x14ac:dyDescent="0.25">
      <c r="A2465" t="s">
        <v>22</v>
      </c>
      <c r="B2465" t="s">
        <v>21</v>
      </c>
      <c r="C2465">
        <v>3</v>
      </c>
      <c r="D2465" s="9">
        <v>2180</v>
      </c>
      <c r="E2465" s="9">
        <f>+Tablo3[[#This Row],[Birim Fiyat]]*Tablo3[[#This Row],[Satış Adet]]</f>
        <v>6540</v>
      </c>
      <c r="F2465" s="9">
        <v>2040</v>
      </c>
      <c r="G2465" t="s">
        <v>63</v>
      </c>
      <c r="H2465" t="s">
        <v>39</v>
      </c>
    </row>
    <row r="2466" spans="1:8" x14ac:dyDescent="0.25">
      <c r="A2466" t="s">
        <v>8</v>
      </c>
      <c r="B2466" t="s">
        <v>31</v>
      </c>
      <c r="C2466">
        <v>5</v>
      </c>
      <c r="D2466" s="9">
        <v>1800</v>
      </c>
      <c r="E2466" s="9">
        <f>+Tablo3[[#This Row],[Birim Fiyat]]*Tablo3[[#This Row],[Satış Adet]]</f>
        <v>9000</v>
      </c>
      <c r="F2466" s="9">
        <v>5000</v>
      </c>
      <c r="G2466" t="s">
        <v>63</v>
      </c>
      <c r="H2466" t="s">
        <v>42</v>
      </c>
    </row>
    <row r="2467" spans="1:8" x14ac:dyDescent="0.25">
      <c r="A2467" t="s">
        <v>15</v>
      </c>
      <c r="B2467" t="s">
        <v>55</v>
      </c>
      <c r="C2467">
        <v>5</v>
      </c>
      <c r="D2467" s="9">
        <v>1500</v>
      </c>
      <c r="E2467" s="9">
        <f>+Tablo3[[#This Row],[Birim Fiyat]]*Tablo3[[#This Row],[Satış Adet]]</f>
        <v>7500</v>
      </c>
      <c r="F2467" s="9">
        <v>3500</v>
      </c>
      <c r="G2467" t="s">
        <v>63</v>
      </c>
      <c r="H2467" t="s">
        <v>17</v>
      </c>
    </row>
    <row r="2468" spans="1:8" x14ac:dyDescent="0.25">
      <c r="A2468" t="s">
        <v>30</v>
      </c>
      <c r="B2468" t="s">
        <v>16</v>
      </c>
      <c r="C2468">
        <v>4</v>
      </c>
      <c r="D2468" s="9">
        <v>8450</v>
      </c>
      <c r="E2468" s="9">
        <f>+Tablo3[[#This Row],[Birim Fiyat]]*Tablo3[[#This Row],[Satış Adet]]</f>
        <v>33800</v>
      </c>
      <c r="F2468" s="9">
        <v>9800</v>
      </c>
      <c r="G2468" t="s">
        <v>63</v>
      </c>
      <c r="H2468" t="s">
        <v>14</v>
      </c>
    </row>
    <row r="2469" spans="1:8" x14ac:dyDescent="0.25">
      <c r="A2469" t="s">
        <v>38</v>
      </c>
      <c r="B2469" t="s">
        <v>55</v>
      </c>
      <c r="C2469">
        <v>3</v>
      </c>
      <c r="D2469" s="9">
        <v>1500</v>
      </c>
      <c r="E2469" s="9">
        <f>+Tablo3[[#This Row],[Birim Fiyat]]*Tablo3[[#This Row],[Satış Adet]]</f>
        <v>4500</v>
      </c>
      <c r="F2469" s="9">
        <v>2100</v>
      </c>
      <c r="G2469" t="s">
        <v>63</v>
      </c>
      <c r="H2469" t="s">
        <v>20</v>
      </c>
    </row>
    <row r="2470" spans="1:8" x14ac:dyDescent="0.25">
      <c r="A2470" t="s">
        <v>67</v>
      </c>
      <c r="B2470" t="s">
        <v>9</v>
      </c>
      <c r="C2470">
        <v>3</v>
      </c>
      <c r="D2470" s="9">
        <v>6000</v>
      </c>
      <c r="E2470" s="9">
        <f>+Tablo3[[#This Row],[Birim Fiyat]]*Tablo3[[#This Row],[Satış Adet]]</f>
        <v>18000</v>
      </c>
      <c r="F2470" s="9">
        <v>6000</v>
      </c>
      <c r="G2470" t="s">
        <v>63</v>
      </c>
      <c r="H2470" t="s">
        <v>44</v>
      </c>
    </row>
    <row r="2471" spans="1:8" x14ac:dyDescent="0.25">
      <c r="A2471" t="s">
        <v>48</v>
      </c>
      <c r="B2471" t="s">
        <v>51</v>
      </c>
      <c r="C2471">
        <v>5</v>
      </c>
      <c r="D2471" s="9">
        <v>1200</v>
      </c>
      <c r="E2471" s="9">
        <f>+Tablo3[[#This Row],[Birim Fiyat]]*Tablo3[[#This Row],[Satış Adet]]</f>
        <v>6000</v>
      </c>
      <c r="F2471" s="9">
        <v>2000</v>
      </c>
      <c r="G2471" t="s">
        <v>63</v>
      </c>
      <c r="H2471" t="s">
        <v>35</v>
      </c>
    </row>
    <row r="2472" spans="1:8" x14ac:dyDescent="0.25">
      <c r="A2472" t="s">
        <v>8</v>
      </c>
      <c r="B2472" t="s">
        <v>43</v>
      </c>
      <c r="C2472">
        <v>2</v>
      </c>
      <c r="D2472" s="9">
        <v>4200</v>
      </c>
      <c r="E2472" s="9">
        <f>+Tablo3[[#This Row],[Birim Fiyat]]*Tablo3[[#This Row],[Satış Adet]]</f>
        <v>8400</v>
      </c>
      <c r="F2472" s="9">
        <v>2400</v>
      </c>
      <c r="G2472" t="s">
        <v>63</v>
      </c>
      <c r="H2472" t="s">
        <v>20</v>
      </c>
    </row>
    <row r="2473" spans="1:8" x14ac:dyDescent="0.25">
      <c r="A2473" t="s">
        <v>46</v>
      </c>
      <c r="B2473" t="s">
        <v>23</v>
      </c>
      <c r="C2473">
        <v>4</v>
      </c>
      <c r="D2473" s="9">
        <v>7600</v>
      </c>
      <c r="E2473" s="9">
        <f>+Tablo3[[#This Row],[Birim Fiyat]]*Tablo3[[#This Row],[Satış Adet]]</f>
        <v>30400</v>
      </c>
      <c r="F2473" s="9">
        <v>6400</v>
      </c>
      <c r="G2473" t="s">
        <v>63</v>
      </c>
      <c r="H2473" t="s">
        <v>27</v>
      </c>
    </row>
    <row r="2474" spans="1:8" x14ac:dyDescent="0.25">
      <c r="A2474" t="s">
        <v>67</v>
      </c>
      <c r="B2474" t="s">
        <v>25</v>
      </c>
      <c r="C2474">
        <v>2</v>
      </c>
      <c r="D2474" s="9">
        <v>7250</v>
      </c>
      <c r="E2474" s="9">
        <f>+Tablo3[[#This Row],[Birim Fiyat]]*Tablo3[[#This Row],[Satış Adet]]</f>
        <v>14500</v>
      </c>
      <c r="F2474" s="9">
        <v>4500</v>
      </c>
      <c r="G2474" t="s">
        <v>63</v>
      </c>
      <c r="H2474" t="s">
        <v>39</v>
      </c>
    </row>
    <row r="2475" spans="1:8" x14ac:dyDescent="0.25">
      <c r="A2475" t="s">
        <v>12</v>
      </c>
      <c r="B2475" t="s">
        <v>53</v>
      </c>
      <c r="C2475">
        <v>3</v>
      </c>
      <c r="D2475" s="9">
        <v>7530</v>
      </c>
      <c r="E2475" s="9">
        <f>+Tablo3[[#This Row],[Birim Fiyat]]*Tablo3[[#This Row],[Satış Adet]]</f>
        <v>22590</v>
      </c>
      <c r="F2475" s="9">
        <v>4590</v>
      </c>
      <c r="G2475" t="s">
        <v>63</v>
      </c>
      <c r="H2475" t="s">
        <v>11</v>
      </c>
    </row>
    <row r="2476" spans="1:8" x14ac:dyDescent="0.25">
      <c r="A2476" t="s">
        <v>15</v>
      </c>
      <c r="B2476" t="s">
        <v>25</v>
      </c>
      <c r="C2476">
        <v>5</v>
      </c>
      <c r="D2476" s="9">
        <v>7250</v>
      </c>
      <c r="E2476" s="9">
        <f>+Tablo3[[#This Row],[Birim Fiyat]]*Tablo3[[#This Row],[Satış Adet]]</f>
        <v>36250</v>
      </c>
      <c r="F2476" s="9">
        <v>11250</v>
      </c>
      <c r="G2476" t="s">
        <v>64</v>
      </c>
      <c r="H2476" t="s">
        <v>11</v>
      </c>
    </row>
    <row r="2477" spans="1:8" x14ac:dyDescent="0.25">
      <c r="A2477" t="s">
        <v>12</v>
      </c>
      <c r="B2477" t="s">
        <v>9</v>
      </c>
      <c r="C2477">
        <v>5</v>
      </c>
      <c r="D2477" s="9">
        <v>6000</v>
      </c>
      <c r="E2477" s="9">
        <f>+Tablo3[[#This Row],[Birim Fiyat]]*Tablo3[[#This Row],[Satış Adet]]</f>
        <v>30000</v>
      </c>
      <c r="F2477" s="9">
        <v>10000</v>
      </c>
      <c r="G2477" t="s">
        <v>64</v>
      </c>
      <c r="H2477" t="s">
        <v>27</v>
      </c>
    </row>
    <row r="2478" spans="1:8" x14ac:dyDescent="0.25">
      <c r="A2478" t="s">
        <v>67</v>
      </c>
      <c r="B2478" t="s">
        <v>51</v>
      </c>
      <c r="C2478">
        <v>2</v>
      </c>
      <c r="D2478" s="9">
        <v>1200</v>
      </c>
      <c r="E2478" s="9">
        <f>+Tablo3[[#This Row],[Birim Fiyat]]*Tablo3[[#This Row],[Satış Adet]]</f>
        <v>2400</v>
      </c>
      <c r="F2478" s="9">
        <v>800</v>
      </c>
      <c r="G2478" t="s">
        <v>64</v>
      </c>
      <c r="H2478" t="s">
        <v>39</v>
      </c>
    </row>
    <row r="2479" spans="1:8" x14ac:dyDescent="0.25">
      <c r="A2479" t="s">
        <v>48</v>
      </c>
      <c r="B2479" t="s">
        <v>54</v>
      </c>
      <c r="C2479">
        <v>5</v>
      </c>
      <c r="D2479" s="9">
        <v>5300</v>
      </c>
      <c r="E2479" s="9">
        <f>+Tablo3[[#This Row],[Birim Fiyat]]*Tablo3[[#This Row],[Satış Adet]]</f>
        <v>26500</v>
      </c>
      <c r="F2479" s="9">
        <v>6500</v>
      </c>
      <c r="G2479" t="s">
        <v>64</v>
      </c>
      <c r="H2479" t="s">
        <v>35</v>
      </c>
    </row>
    <row r="2480" spans="1:8" x14ac:dyDescent="0.25">
      <c r="A2480" t="s">
        <v>36</v>
      </c>
      <c r="B2480" t="s">
        <v>16</v>
      </c>
      <c r="C2480">
        <v>5</v>
      </c>
      <c r="D2480" s="9">
        <v>8450</v>
      </c>
      <c r="E2480" s="9">
        <f>+Tablo3[[#This Row],[Birim Fiyat]]*Tablo3[[#This Row],[Satış Adet]]</f>
        <v>42250</v>
      </c>
      <c r="F2480" s="9">
        <v>12250</v>
      </c>
      <c r="G2480" t="s">
        <v>64</v>
      </c>
      <c r="H2480" t="s">
        <v>29</v>
      </c>
    </row>
    <row r="2481" spans="1:8" x14ac:dyDescent="0.25">
      <c r="A2481" t="s">
        <v>22</v>
      </c>
      <c r="B2481" t="s">
        <v>19</v>
      </c>
      <c r="C2481">
        <v>2</v>
      </c>
      <c r="D2481" s="9">
        <v>1350</v>
      </c>
      <c r="E2481" s="9">
        <f>+Tablo3[[#This Row],[Birim Fiyat]]*Tablo3[[#This Row],[Satış Adet]]</f>
        <v>2700</v>
      </c>
      <c r="F2481" s="9">
        <v>1100</v>
      </c>
      <c r="G2481" t="s">
        <v>64</v>
      </c>
      <c r="H2481" t="s">
        <v>40</v>
      </c>
    </row>
    <row r="2482" spans="1:8" x14ac:dyDescent="0.25">
      <c r="A2482" t="s">
        <v>30</v>
      </c>
      <c r="B2482" t="s">
        <v>32</v>
      </c>
      <c r="C2482">
        <v>5</v>
      </c>
      <c r="D2482" s="9">
        <v>1090</v>
      </c>
      <c r="E2482" s="9">
        <f>+Tablo3[[#This Row],[Birim Fiyat]]*Tablo3[[#This Row],[Satış Adet]]</f>
        <v>5450</v>
      </c>
      <c r="F2482" s="9">
        <v>1450</v>
      </c>
      <c r="G2482" t="s">
        <v>64</v>
      </c>
      <c r="H2482" t="s">
        <v>20</v>
      </c>
    </row>
    <row r="2483" spans="1:8" x14ac:dyDescent="0.25">
      <c r="A2483" t="s">
        <v>22</v>
      </c>
      <c r="B2483" t="s">
        <v>21</v>
      </c>
      <c r="C2483">
        <v>5</v>
      </c>
      <c r="D2483" s="9">
        <v>2180</v>
      </c>
      <c r="E2483" s="9">
        <f>+Tablo3[[#This Row],[Birim Fiyat]]*Tablo3[[#This Row],[Satış Adet]]</f>
        <v>10900</v>
      </c>
      <c r="F2483" s="9">
        <v>3400</v>
      </c>
      <c r="G2483" t="s">
        <v>64</v>
      </c>
      <c r="H2483" t="s">
        <v>40</v>
      </c>
    </row>
    <row r="2484" spans="1:8" x14ac:dyDescent="0.25">
      <c r="A2484" t="s">
        <v>8</v>
      </c>
      <c r="B2484" t="s">
        <v>9</v>
      </c>
      <c r="C2484">
        <v>2</v>
      </c>
      <c r="D2484" s="9">
        <v>6000</v>
      </c>
      <c r="E2484" s="9">
        <f>+Tablo3[[#This Row],[Birim Fiyat]]*Tablo3[[#This Row],[Satış Adet]]</f>
        <v>12000</v>
      </c>
      <c r="F2484" s="9">
        <v>4000</v>
      </c>
      <c r="G2484" t="s">
        <v>64</v>
      </c>
      <c r="H2484" t="s">
        <v>11</v>
      </c>
    </row>
    <row r="2485" spans="1:8" x14ac:dyDescent="0.25">
      <c r="A2485" t="s">
        <v>12</v>
      </c>
      <c r="B2485" t="s">
        <v>13</v>
      </c>
      <c r="C2485">
        <v>3</v>
      </c>
      <c r="D2485" s="9">
        <v>1400</v>
      </c>
      <c r="E2485" s="9">
        <f>+Tablo3[[#This Row],[Birim Fiyat]]*Tablo3[[#This Row],[Satış Adet]]</f>
        <v>4200</v>
      </c>
      <c r="F2485" s="9">
        <v>1800</v>
      </c>
      <c r="G2485" t="s">
        <v>64</v>
      </c>
      <c r="H2485" t="s">
        <v>39</v>
      </c>
    </row>
    <row r="2486" spans="1:8" x14ac:dyDescent="0.25">
      <c r="A2486" t="s">
        <v>15</v>
      </c>
      <c r="B2486" t="s">
        <v>16</v>
      </c>
      <c r="C2486">
        <v>5</v>
      </c>
      <c r="D2486" s="9">
        <v>8450</v>
      </c>
      <c r="E2486" s="9">
        <f>+Tablo3[[#This Row],[Birim Fiyat]]*Tablo3[[#This Row],[Satış Adet]]</f>
        <v>42250</v>
      </c>
      <c r="F2486" s="9">
        <v>12250</v>
      </c>
      <c r="G2486" t="s">
        <v>64</v>
      </c>
      <c r="H2486" t="s">
        <v>29</v>
      </c>
    </row>
    <row r="2487" spans="1:8" x14ac:dyDescent="0.25">
      <c r="A2487" t="s">
        <v>18</v>
      </c>
      <c r="B2487" t="s">
        <v>19</v>
      </c>
      <c r="C2487">
        <v>5</v>
      </c>
      <c r="D2487" s="9">
        <v>1350</v>
      </c>
      <c r="E2487" s="9">
        <f>+Tablo3[[#This Row],[Birim Fiyat]]*Tablo3[[#This Row],[Satış Adet]]</f>
        <v>6750</v>
      </c>
      <c r="F2487" s="9">
        <v>2750</v>
      </c>
      <c r="G2487" t="s">
        <v>64</v>
      </c>
      <c r="H2487" t="s">
        <v>24</v>
      </c>
    </row>
    <row r="2488" spans="1:8" x14ac:dyDescent="0.25">
      <c r="A2488" t="s">
        <v>8</v>
      </c>
      <c r="B2488" t="s">
        <v>21</v>
      </c>
      <c r="C2488">
        <v>2</v>
      </c>
      <c r="D2488" s="9">
        <v>2180</v>
      </c>
      <c r="E2488" s="9">
        <f>+Tablo3[[#This Row],[Birim Fiyat]]*Tablo3[[#This Row],[Satış Adet]]</f>
        <v>4360</v>
      </c>
      <c r="F2488" s="9">
        <v>1360</v>
      </c>
      <c r="G2488" t="s">
        <v>64</v>
      </c>
      <c r="H2488" t="s">
        <v>24</v>
      </c>
    </row>
    <row r="2489" spans="1:8" x14ac:dyDescent="0.25">
      <c r="A2489" t="s">
        <v>22</v>
      </c>
      <c r="B2489" t="s">
        <v>23</v>
      </c>
      <c r="C2489">
        <v>5</v>
      </c>
      <c r="D2489" s="9">
        <v>7600</v>
      </c>
      <c r="E2489" s="9">
        <f>+Tablo3[[#This Row],[Birim Fiyat]]*Tablo3[[#This Row],[Satış Adet]]</f>
        <v>38000</v>
      </c>
      <c r="F2489" s="9">
        <v>8000</v>
      </c>
      <c r="G2489" t="s">
        <v>64</v>
      </c>
      <c r="H2489" t="s">
        <v>29</v>
      </c>
    </row>
    <row r="2490" spans="1:8" x14ac:dyDescent="0.25">
      <c r="A2490" t="s">
        <v>12</v>
      </c>
      <c r="B2490" t="s">
        <v>25</v>
      </c>
      <c r="C2490">
        <v>4</v>
      </c>
      <c r="D2490" s="9">
        <v>7250</v>
      </c>
      <c r="E2490" s="9">
        <f>+Tablo3[[#This Row],[Birim Fiyat]]*Tablo3[[#This Row],[Satış Adet]]</f>
        <v>29000</v>
      </c>
      <c r="F2490" s="9">
        <v>9000</v>
      </c>
      <c r="G2490" t="s">
        <v>64</v>
      </c>
      <c r="H2490" t="s">
        <v>44</v>
      </c>
    </row>
    <row r="2491" spans="1:8" x14ac:dyDescent="0.25">
      <c r="A2491" t="s">
        <v>18</v>
      </c>
      <c r="B2491" t="s">
        <v>26</v>
      </c>
      <c r="C2491">
        <v>2</v>
      </c>
      <c r="D2491" s="9">
        <v>1100</v>
      </c>
      <c r="E2491" s="9">
        <f>+Tablo3[[#This Row],[Birim Fiyat]]*Tablo3[[#This Row],[Satış Adet]]</f>
        <v>2200</v>
      </c>
      <c r="F2491" s="9">
        <v>600</v>
      </c>
      <c r="G2491" t="s">
        <v>64</v>
      </c>
      <c r="H2491" t="s">
        <v>24</v>
      </c>
    </row>
    <row r="2492" spans="1:8" x14ac:dyDescent="0.25">
      <c r="A2492" t="s">
        <v>67</v>
      </c>
      <c r="B2492" t="s">
        <v>9</v>
      </c>
      <c r="C2492">
        <v>5</v>
      </c>
      <c r="D2492" s="9">
        <v>6000</v>
      </c>
      <c r="E2492" s="9">
        <f>+Tablo3[[#This Row],[Birim Fiyat]]*Tablo3[[#This Row],[Satış Adet]]</f>
        <v>30000</v>
      </c>
      <c r="F2492" s="9">
        <v>10000</v>
      </c>
      <c r="G2492" t="s">
        <v>64</v>
      </c>
      <c r="H2492" t="s">
        <v>39</v>
      </c>
    </row>
    <row r="2493" spans="1:8" x14ac:dyDescent="0.25">
      <c r="A2493" t="s">
        <v>8</v>
      </c>
      <c r="B2493" t="s">
        <v>28</v>
      </c>
      <c r="C2493">
        <v>3</v>
      </c>
      <c r="D2493" s="9">
        <v>1200</v>
      </c>
      <c r="E2493" s="9">
        <f>+Tablo3[[#This Row],[Birim Fiyat]]*Tablo3[[#This Row],[Satış Adet]]</f>
        <v>3600</v>
      </c>
      <c r="F2493" s="9">
        <v>1200</v>
      </c>
      <c r="G2493" t="s">
        <v>64</v>
      </c>
      <c r="H2493" t="s">
        <v>35</v>
      </c>
    </row>
    <row r="2494" spans="1:8" x14ac:dyDescent="0.25">
      <c r="A2494" t="s">
        <v>30</v>
      </c>
      <c r="B2494" t="s">
        <v>31</v>
      </c>
      <c r="C2494">
        <v>3</v>
      </c>
      <c r="D2494" s="9">
        <v>1800</v>
      </c>
      <c r="E2494" s="9">
        <f>+Tablo3[[#This Row],[Birim Fiyat]]*Tablo3[[#This Row],[Satış Adet]]</f>
        <v>5400</v>
      </c>
      <c r="F2494" s="9">
        <v>3000</v>
      </c>
      <c r="G2494" t="s">
        <v>64</v>
      </c>
      <c r="H2494" t="s">
        <v>11</v>
      </c>
    </row>
    <row r="2495" spans="1:8" x14ac:dyDescent="0.25">
      <c r="A2495" t="s">
        <v>30</v>
      </c>
      <c r="B2495" t="s">
        <v>32</v>
      </c>
      <c r="C2495">
        <v>3</v>
      </c>
      <c r="D2495" s="9">
        <v>1090</v>
      </c>
      <c r="E2495" s="9">
        <f>+Tablo3[[#This Row],[Birim Fiyat]]*Tablo3[[#This Row],[Satış Adet]]</f>
        <v>3270</v>
      </c>
      <c r="F2495" s="9">
        <v>870</v>
      </c>
      <c r="G2495" t="s">
        <v>64</v>
      </c>
      <c r="H2495" t="s">
        <v>11</v>
      </c>
    </row>
    <row r="2496" spans="1:8" x14ac:dyDescent="0.25">
      <c r="A2496" t="s">
        <v>67</v>
      </c>
      <c r="B2496" t="s">
        <v>21</v>
      </c>
      <c r="C2496">
        <v>2</v>
      </c>
      <c r="D2496" s="9">
        <v>2180</v>
      </c>
      <c r="E2496" s="9">
        <f>+Tablo3[[#This Row],[Birim Fiyat]]*Tablo3[[#This Row],[Satış Adet]]</f>
        <v>4360</v>
      </c>
      <c r="F2496" s="9">
        <v>1360</v>
      </c>
      <c r="G2496" t="s">
        <v>64</v>
      </c>
      <c r="H2496" t="s">
        <v>52</v>
      </c>
    </row>
    <row r="2497" spans="1:8" x14ac:dyDescent="0.25">
      <c r="A2497" t="s">
        <v>33</v>
      </c>
      <c r="B2497" t="s">
        <v>31</v>
      </c>
      <c r="C2497">
        <v>4</v>
      </c>
      <c r="D2497" s="9">
        <v>1800</v>
      </c>
      <c r="E2497" s="9">
        <f>+Tablo3[[#This Row],[Birim Fiyat]]*Tablo3[[#This Row],[Satış Adet]]</f>
        <v>7200</v>
      </c>
      <c r="F2497" s="9">
        <v>4000</v>
      </c>
      <c r="G2497" t="s">
        <v>64</v>
      </c>
      <c r="H2497" t="s">
        <v>14</v>
      </c>
    </row>
    <row r="2498" spans="1:8" x14ac:dyDescent="0.25">
      <c r="A2498" t="s">
        <v>22</v>
      </c>
      <c r="B2498" t="s">
        <v>34</v>
      </c>
      <c r="C2498">
        <v>2</v>
      </c>
      <c r="D2498" s="9">
        <v>8000</v>
      </c>
      <c r="E2498" s="9">
        <f>+Tablo3[[#This Row],[Birim Fiyat]]*Tablo3[[#This Row],[Satış Adet]]</f>
        <v>16000</v>
      </c>
      <c r="F2498" s="9">
        <v>4000</v>
      </c>
      <c r="G2498" t="s">
        <v>64</v>
      </c>
      <c r="H2498" t="s">
        <v>35</v>
      </c>
    </row>
    <row r="2499" spans="1:8" x14ac:dyDescent="0.25">
      <c r="A2499" t="s">
        <v>67</v>
      </c>
      <c r="B2499" t="s">
        <v>13</v>
      </c>
      <c r="C2499">
        <v>5</v>
      </c>
      <c r="D2499" s="9">
        <v>1400</v>
      </c>
      <c r="E2499" s="9">
        <f>+Tablo3[[#This Row],[Birim Fiyat]]*Tablo3[[#This Row],[Satış Adet]]</f>
        <v>7000</v>
      </c>
      <c r="F2499" s="9">
        <v>3000</v>
      </c>
      <c r="G2499" t="s">
        <v>64</v>
      </c>
      <c r="H2499" t="s">
        <v>35</v>
      </c>
    </row>
    <row r="2500" spans="1:8" x14ac:dyDescent="0.25">
      <c r="A2500" t="s">
        <v>36</v>
      </c>
      <c r="B2500" t="s">
        <v>37</v>
      </c>
      <c r="C2500">
        <v>3</v>
      </c>
      <c r="D2500" s="9">
        <v>10590</v>
      </c>
      <c r="E2500" s="9">
        <f>+Tablo3[[#This Row],[Birim Fiyat]]*Tablo3[[#This Row],[Satış Adet]]</f>
        <v>31770</v>
      </c>
      <c r="F2500" s="9">
        <v>13770</v>
      </c>
      <c r="G2500" t="s">
        <v>64</v>
      </c>
      <c r="H2500" t="s">
        <v>17</v>
      </c>
    </row>
    <row r="2501" spans="1:8" x14ac:dyDescent="0.25">
      <c r="A2501" t="s">
        <v>38</v>
      </c>
      <c r="B2501" t="s">
        <v>19</v>
      </c>
      <c r="C2501">
        <v>5</v>
      </c>
      <c r="D2501" s="9">
        <v>1350</v>
      </c>
      <c r="E2501" s="9">
        <f>+Tablo3[[#This Row],[Birim Fiyat]]*Tablo3[[#This Row],[Satış Adet]]</f>
        <v>6750</v>
      </c>
      <c r="F2501" s="9">
        <v>2750</v>
      </c>
      <c r="G2501" t="s">
        <v>64</v>
      </c>
      <c r="H2501" t="s">
        <v>29</v>
      </c>
    </row>
    <row r="2502" spans="1:8" x14ac:dyDescent="0.25">
      <c r="A2502" t="s">
        <v>30</v>
      </c>
      <c r="B2502" t="s">
        <v>13</v>
      </c>
      <c r="C2502">
        <v>5</v>
      </c>
      <c r="D2502" s="9">
        <v>1400</v>
      </c>
      <c r="E2502" s="9">
        <f>+Tablo3[[#This Row],[Birim Fiyat]]*Tablo3[[#This Row],[Satış Adet]]</f>
        <v>7000</v>
      </c>
      <c r="F2502" s="9">
        <v>3000</v>
      </c>
      <c r="G2502" t="s">
        <v>64</v>
      </c>
      <c r="H2502" t="s">
        <v>29</v>
      </c>
    </row>
    <row r="2503" spans="1:8" x14ac:dyDescent="0.25">
      <c r="A2503" t="s">
        <v>18</v>
      </c>
      <c r="B2503" t="s">
        <v>9</v>
      </c>
      <c r="C2503">
        <v>2</v>
      </c>
      <c r="D2503" s="9">
        <v>6000</v>
      </c>
      <c r="E2503" s="9">
        <f>+Tablo3[[#This Row],[Birim Fiyat]]*Tablo3[[#This Row],[Satış Adet]]</f>
        <v>12000</v>
      </c>
      <c r="F2503" s="9">
        <v>4000</v>
      </c>
      <c r="G2503" t="s">
        <v>64</v>
      </c>
      <c r="H2503" t="s">
        <v>27</v>
      </c>
    </row>
    <row r="2504" spans="1:8" x14ac:dyDescent="0.25">
      <c r="A2504" t="s">
        <v>36</v>
      </c>
      <c r="B2504" t="s">
        <v>26</v>
      </c>
      <c r="C2504">
        <v>4</v>
      </c>
      <c r="D2504" s="9">
        <v>1100</v>
      </c>
      <c r="E2504" s="9">
        <f>+Tablo3[[#This Row],[Birim Fiyat]]*Tablo3[[#This Row],[Satış Adet]]</f>
        <v>4400</v>
      </c>
      <c r="F2504" s="9">
        <v>1200</v>
      </c>
      <c r="G2504" t="s">
        <v>64</v>
      </c>
      <c r="H2504" t="s">
        <v>40</v>
      </c>
    </row>
    <row r="2505" spans="1:8" x14ac:dyDescent="0.25">
      <c r="A2505" t="s">
        <v>15</v>
      </c>
      <c r="B2505" t="s">
        <v>9</v>
      </c>
      <c r="C2505">
        <v>5</v>
      </c>
      <c r="D2505" s="9">
        <v>6000</v>
      </c>
      <c r="E2505" s="9">
        <f>+Tablo3[[#This Row],[Birim Fiyat]]*Tablo3[[#This Row],[Satış Adet]]</f>
        <v>30000</v>
      </c>
      <c r="F2505" s="9">
        <v>10000</v>
      </c>
      <c r="G2505" t="s">
        <v>64</v>
      </c>
      <c r="H2505" t="s">
        <v>17</v>
      </c>
    </row>
    <row r="2506" spans="1:8" x14ac:dyDescent="0.25">
      <c r="A2506" t="s">
        <v>38</v>
      </c>
      <c r="B2506" t="s">
        <v>41</v>
      </c>
      <c r="C2506">
        <v>3</v>
      </c>
      <c r="D2506" s="9">
        <v>1490</v>
      </c>
      <c r="E2506" s="9">
        <f>+Tablo3[[#This Row],[Birim Fiyat]]*Tablo3[[#This Row],[Satış Adet]]</f>
        <v>4470</v>
      </c>
      <c r="F2506" s="9">
        <v>2070</v>
      </c>
      <c r="G2506" t="s">
        <v>64</v>
      </c>
      <c r="H2506" t="s">
        <v>11</v>
      </c>
    </row>
    <row r="2507" spans="1:8" x14ac:dyDescent="0.25">
      <c r="A2507" t="s">
        <v>36</v>
      </c>
      <c r="B2507" t="s">
        <v>37</v>
      </c>
      <c r="C2507">
        <v>2</v>
      </c>
      <c r="D2507" s="9">
        <v>10590</v>
      </c>
      <c r="E2507" s="9">
        <f>+Tablo3[[#This Row],[Birim Fiyat]]*Tablo3[[#This Row],[Satış Adet]]</f>
        <v>21180</v>
      </c>
      <c r="F2507" s="9">
        <v>9180</v>
      </c>
      <c r="G2507" t="s">
        <v>64</v>
      </c>
      <c r="H2507" t="s">
        <v>39</v>
      </c>
    </row>
    <row r="2508" spans="1:8" x14ac:dyDescent="0.25">
      <c r="A2508" t="s">
        <v>15</v>
      </c>
      <c r="B2508" t="s">
        <v>34</v>
      </c>
      <c r="C2508">
        <v>5</v>
      </c>
      <c r="D2508" s="9">
        <v>8000</v>
      </c>
      <c r="E2508" s="9">
        <f>+Tablo3[[#This Row],[Birim Fiyat]]*Tablo3[[#This Row],[Satış Adet]]</f>
        <v>40000</v>
      </c>
      <c r="F2508" s="9">
        <v>10000</v>
      </c>
      <c r="G2508" t="s">
        <v>64</v>
      </c>
      <c r="H2508" t="s">
        <v>17</v>
      </c>
    </row>
    <row r="2509" spans="1:8" x14ac:dyDescent="0.25">
      <c r="A2509" t="s">
        <v>30</v>
      </c>
      <c r="B2509" t="s">
        <v>26</v>
      </c>
      <c r="C2509">
        <v>5</v>
      </c>
      <c r="D2509" s="9">
        <v>1100</v>
      </c>
      <c r="E2509" s="9">
        <f>+Tablo3[[#This Row],[Birim Fiyat]]*Tablo3[[#This Row],[Satış Adet]]</f>
        <v>5500</v>
      </c>
      <c r="F2509" s="9">
        <v>1500</v>
      </c>
      <c r="G2509" t="s">
        <v>64</v>
      </c>
      <c r="H2509" t="s">
        <v>27</v>
      </c>
    </row>
    <row r="2510" spans="1:8" x14ac:dyDescent="0.25">
      <c r="A2510" t="s">
        <v>38</v>
      </c>
      <c r="B2510" t="s">
        <v>28</v>
      </c>
      <c r="C2510">
        <v>4</v>
      </c>
      <c r="D2510" s="9">
        <v>1200</v>
      </c>
      <c r="E2510" s="9">
        <f>+Tablo3[[#This Row],[Birim Fiyat]]*Tablo3[[#This Row],[Satış Adet]]</f>
        <v>4800</v>
      </c>
      <c r="F2510" s="9">
        <v>1600</v>
      </c>
      <c r="G2510" t="s">
        <v>64</v>
      </c>
      <c r="H2510" t="s">
        <v>11</v>
      </c>
    </row>
    <row r="2511" spans="1:8" x14ac:dyDescent="0.25">
      <c r="A2511" t="s">
        <v>22</v>
      </c>
      <c r="B2511" t="s">
        <v>43</v>
      </c>
      <c r="C2511">
        <v>3</v>
      </c>
      <c r="D2511" s="9">
        <v>4200</v>
      </c>
      <c r="E2511" s="9">
        <f>+Tablo3[[#This Row],[Birim Fiyat]]*Tablo3[[#This Row],[Satış Adet]]</f>
        <v>12600</v>
      </c>
      <c r="F2511" s="9">
        <v>3600</v>
      </c>
      <c r="G2511" t="s">
        <v>64</v>
      </c>
      <c r="H2511" t="s">
        <v>24</v>
      </c>
    </row>
    <row r="2512" spans="1:8" x14ac:dyDescent="0.25">
      <c r="A2512" t="s">
        <v>12</v>
      </c>
      <c r="B2512" t="s">
        <v>45</v>
      </c>
      <c r="C2512">
        <v>2</v>
      </c>
      <c r="D2512" s="9">
        <v>5775</v>
      </c>
      <c r="E2512" s="9">
        <f>+Tablo3[[#This Row],[Birim Fiyat]]*Tablo3[[#This Row],[Satış Adet]]</f>
        <v>11550</v>
      </c>
      <c r="F2512" s="9">
        <v>3550</v>
      </c>
      <c r="G2512" t="s">
        <v>64</v>
      </c>
      <c r="H2512" t="s">
        <v>24</v>
      </c>
    </row>
    <row r="2513" spans="1:8" x14ac:dyDescent="0.25">
      <c r="A2513" t="s">
        <v>46</v>
      </c>
      <c r="B2513" t="s">
        <v>23</v>
      </c>
      <c r="C2513">
        <v>4</v>
      </c>
      <c r="D2513" s="9">
        <v>7600</v>
      </c>
      <c r="E2513" s="9">
        <f>+Tablo3[[#This Row],[Birim Fiyat]]*Tablo3[[#This Row],[Satış Adet]]</f>
        <v>30400</v>
      </c>
      <c r="F2513" s="9">
        <v>6400</v>
      </c>
      <c r="G2513" t="s">
        <v>64</v>
      </c>
      <c r="H2513" t="s">
        <v>52</v>
      </c>
    </row>
    <row r="2514" spans="1:8" x14ac:dyDescent="0.25">
      <c r="A2514" t="s">
        <v>12</v>
      </c>
      <c r="B2514" t="s">
        <v>25</v>
      </c>
      <c r="C2514">
        <v>2</v>
      </c>
      <c r="D2514" s="9">
        <v>7250</v>
      </c>
      <c r="E2514" s="9">
        <f>+Tablo3[[#This Row],[Birim Fiyat]]*Tablo3[[#This Row],[Satış Adet]]</f>
        <v>14500</v>
      </c>
      <c r="F2514" s="9">
        <v>4500</v>
      </c>
      <c r="G2514" t="s">
        <v>64</v>
      </c>
      <c r="H2514" t="s">
        <v>40</v>
      </c>
    </row>
    <row r="2515" spans="1:8" x14ac:dyDescent="0.25">
      <c r="A2515" t="s">
        <v>8</v>
      </c>
      <c r="B2515" t="s">
        <v>25</v>
      </c>
      <c r="C2515">
        <v>3</v>
      </c>
      <c r="D2515" s="9">
        <v>7250</v>
      </c>
      <c r="E2515" s="9">
        <f>+Tablo3[[#This Row],[Birim Fiyat]]*Tablo3[[#This Row],[Satış Adet]]</f>
        <v>21750</v>
      </c>
      <c r="F2515" s="9">
        <v>6750</v>
      </c>
      <c r="G2515" t="s">
        <v>64</v>
      </c>
      <c r="H2515" t="s">
        <v>40</v>
      </c>
    </row>
    <row r="2516" spans="1:8" x14ac:dyDescent="0.25">
      <c r="A2516" t="s">
        <v>36</v>
      </c>
      <c r="B2516" t="s">
        <v>25</v>
      </c>
      <c r="C2516">
        <v>3</v>
      </c>
      <c r="D2516" s="9">
        <v>7250</v>
      </c>
      <c r="E2516" s="9">
        <f>+Tablo3[[#This Row],[Birim Fiyat]]*Tablo3[[#This Row],[Satış Adet]]</f>
        <v>21750</v>
      </c>
      <c r="F2516" s="9">
        <v>6750</v>
      </c>
      <c r="G2516" t="s">
        <v>64</v>
      </c>
      <c r="H2516" t="s">
        <v>20</v>
      </c>
    </row>
    <row r="2517" spans="1:8" x14ac:dyDescent="0.25">
      <c r="A2517" t="s">
        <v>67</v>
      </c>
      <c r="B2517" t="s">
        <v>19</v>
      </c>
      <c r="C2517">
        <v>3</v>
      </c>
      <c r="D2517" s="9">
        <v>1350</v>
      </c>
      <c r="E2517" s="9">
        <f>+Tablo3[[#This Row],[Birim Fiyat]]*Tablo3[[#This Row],[Satış Adet]]</f>
        <v>4050</v>
      </c>
      <c r="F2517" s="9">
        <v>1650</v>
      </c>
      <c r="G2517" t="s">
        <v>64</v>
      </c>
      <c r="H2517" t="s">
        <v>27</v>
      </c>
    </row>
    <row r="2518" spans="1:8" x14ac:dyDescent="0.25">
      <c r="A2518" t="s">
        <v>12</v>
      </c>
      <c r="B2518" t="s">
        <v>25</v>
      </c>
      <c r="C2518">
        <v>2</v>
      </c>
      <c r="D2518" s="9">
        <v>7250</v>
      </c>
      <c r="E2518" s="9">
        <f>+Tablo3[[#This Row],[Birim Fiyat]]*Tablo3[[#This Row],[Satış Adet]]</f>
        <v>14500</v>
      </c>
      <c r="F2518" s="9">
        <v>4500</v>
      </c>
      <c r="G2518" t="s">
        <v>64</v>
      </c>
      <c r="H2518" t="s">
        <v>29</v>
      </c>
    </row>
    <row r="2519" spans="1:8" x14ac:dyDescent="0.25">
      <c r="A2519" t="s">
        <v>30</v>
      </c>
      <c r="B2519" t="s">
        <v>23</v>
      </c>
      <c r="C2519">
        <v>5</v>
      </c>
      <c r="D2519" s="9">
        <v>7600</v>
      </c>
      <c r="E2519" s="9">
        <f>+Tablo3[[#This Row],[Birim Fiyat]]*Tablo3[[#This Row],[Satış Adet]]</f>
        <v>38000</v>
      </c>
      <c r="F2519" s="9">
        <v>8000</v>
      </c>
      <c r="G2519" t="s">
        <v>64</v>
      </c>
      <c r="H2519" t="s">
        <v>24</v>
      </c>
    </row>
    <row r="2520" spans="1:8" x14ac:dyDescent="0.25">
      <c r="A2520" t="s">
        <v>48</v>
      </c>
      <c r="B2520" t="s">
        <v>23</v>
      </c>
      <c r="C2520">
        <v>4</v>
      </c>
      <c r="D2520" s="9">
        <v>7600</v>
      </c>
      <c r="E2520" s="9">
        <f>+Tablo3[[#This Row],[Birim Fiyat]]*Tablo3[[#This Row],[Satış Adet]]</f>
        <v>30400</v>
      </c>
      <c r="F2520" s="9">
        <v>6400</v>
      </c>
      <c r="G2520" t="s">
        <v>64</v>
      </c>
      <c r="H2520" t="s">
        <v>27</v>
      </c>
    </row>
    <row r="2521" spans="1:8" x14ac:dyDescent="0.25">
      <c r="A2521" t="s">
        <v>12</v>
      </c>
      <c r="B2521" t="s">
        <v>41</v>
      </c>
      <c r="C2521">
        <v>3</v>
      </c>
      <c r="D2521" s="9">
        <v>1490</v>
      </c>
      <c r="E2521" s="9">
        <f>+Tablo3[[#This Row],[Birim Fiyat]]*Tablo3[[#This Row],[Satış Adet]]</f>
        <v>4470</v>
      </c>
      <c r="F2521" s="9">
        <v>2070</v>
      </c>
      <c r="G2521" t="s">
        <v>64</v>
      </c>
      <c r="H2521" t="s">
        <v>29</v>
      </c>
    </row>
    <row r="2522" spans="1:8" x14ac:dyDescent="0.25">
      <c r="A2522" t="s">
        <v>67</v>
      </c>
      <c r="B2522" t="s">
        <v>49</v>
      </c>
      <c r="C2522">
        <v>5</v>
      </c>
      <c r="D2522" s="9">
        <v>2900</v>
      </c>
      <c r="E2522" s="9">
        <f>+Tablo3[[#This Row],[Birim Fiyat]]*Tablo3[[#This Row],[Satış Adet]]</f>
        <v>14500</v>
      </c>
      <c r="F2522" s="9">
        <v>4500</v>
      </c>
      <c r="G2522" t="s">
        <v>64</v>
      </c>
      <c r="H2522" t="s">
        <v>42</v>
      </c>
    </row>
    <row r="2523" spans="1:8" x14ac:dyDescent="0.25">
      <c r="A2523" t="s">
        <v>38</v>
      </c>
      <c r="B2523" t="s">
        <v>41</v>
      </c>
      <c r="C2523">
        <v>4</v>
      </c>
      <c r="D2523" s="9">
        <v>1490</v>
      </c>
      <c r="E2523" s="9">
        <f>+Tablo3[[#This Row],[Birim Fiyat]]*Tablo3[[#This Row],[Satış Adet]]</f>
        <v>5960</v>
      </c>
      <c r="F2523" s="9">
        <v>2760</v>
      </c>
      <c r="G2523" t="s">
        <v>64</v>
      </c>
      <c r="H2523" t="s">
        <v>39</v>
      </c>
    </row>
    <row r="2524" spans="1:8" x14ac:dyDescent="0.25">
      <c r="A2524" t="s">
        <v>38</v>
      </c>
      <c r="B2524" t="s">
        <v>32</v>
      </c>
      <c r="C2524">
        <v>2</v>
      </c>
      <c r="D2524" s="9">
        <v>1090</v>
      </c>
      <c r="E2524" s="9">
        <f>+Tablo3[[#This Row],[Birim Fiyat]]*Tablo3[[#This Row],[Satış Adet]]</f>
        <v>2180</v>
      </c>
      <c r="F2524" s="9">
        <v>580</v>
      </c>
      <c r="G2524" t="s">
        <v>64</v>
      </c>
      <c r="H2524" t="s">
        <v>35</v>
      </c>
    </row>
    <row r="2525" spans="1:8" x14ac:dyDescent="0.25">
      <c r="A2525" t="s">
        <v>67</v>
      </c>
      <c r="B2525" t="s">
        <v>28</v>
      </c>
      <c r="C2525">
        <v>2</v>
      </c>
      <c r="D2525" s="9">
        <v>1200</v>
      </c>
      <c r="E2525" s="9">
        <f>+Tablo3[[#This Row],[Birim Fiyat]]*Tablo3[[#This Row],[Satış Adet]]</f>
        <v>2400</v>
      </c>
      <c r="F2525" s="9">
        <v>800</v>
      </c>
      <c r="G2525" t="s">
        <v>64</v>
      </c>
      <c r="H2525" t="s">
        <v>11</v>
      </c>
    </row>
    <row r="2526" spans="1:8" x14ac:dyDescent="0.25">
      <c r="A2526" t="s">
        <v>36</v>
      </c>
      <c r="B2526" t="s">
        <v>37</v>
      </c>
      <c r="C2526">
        <v>4</v>
      </c>
      <c r="D2526" s="9">
        <v>10590</v>
      </c>
      <c r="E2526" s="9">
        <f>+Tablo3[[#This Row],[Birim Fiyat]]*Tablo3[[#This Row],[Satış Adet]]</f>
        <v>42360</v>
      </c>
      <c r="F2526" s="9">
        <v>18360</v>
      </c>
      <c r="G2526" t="s">
        <v>64</v>
      </c>
      <c r="H2526" t="s">
        <v>39</v>
      </c>
    </row>
    <row r="2527" spans="1:8" x14ac:dyDescent="0.25">
      <c r="A2527" t="s">
        <v>30</v>
      </c>
      <c r="B2527" t="s">
        <v>43</v>
      </c>
      <c r="C2527">
        <v>2</v>
      </c>
      <c r="D2527" s="9">
        <v>4200</v>
      </c>
      <c r="E2527" s="9">
        <f>+Tablo3[[#This Row],[Birim Fiyat]]*Tablo3[[#This Row],[Satış Adet]]</f>
        <v>8400</v>
      </c>
      <c r="F2527" s="9">
        <v>2400</v>
      </c>
      <c r="G2527" t="s">
        <v>64</v>
      </c>
      <c r="H2527" t="s">
        <v>11</v>
      </c>
    </row>
    <row r="2528" spans="1:8" x14ac:dyDescent="0.25">
      <c r="A2528" t="s">
        <v>18</v>
      </c>
      <c r="B2528" t="s">
        <v>43</v>
      </c>
      <c r="C2528">
        <v>2</v>
      </c>
      <c r="D2528" s="9">
        <v>4200</v>
      </c>
      <c r="E2528" s="9">
        <f>+Tablo3[[#This Row],[Birim Fiyat]]*Tablo3[[#This Row],[Satış Adet]]</f>
        <v>8400</v>
      </c>
      <c r="F2528" s="9">
        <v>2400</v>
      </c>
      <c r="G2528" t="s">
        <v>64</v>
      </c>
      <c r="H2528" t="s">
        <v>42</v>
      </c>
    </row>
    <row r="2529" spans="1:8" x14ac:dyDescent="0.25">
      <c r="A2529" t="s">
        <v>33</v>
      </c>
      <c r="B2529" t="s">
        <v>37</v>
      </c>
      <c r="C2529">
        <v>4</v>
      </c>
      <c r="D2529" s="9">
        <v>10590</v>
      </c>
      <c r="E2529" s="9">
        <f>+Tablo3[[#This Row],[Birim Fiyat]]*Tablo3[[#This Row],[Satış Adet]]</f>
        <v>42360</v>
      </c>
      <c r="F2529" s="9">
        <v>18360</v>
      </c>
      <c r="G2529" t="s">
        <v>64</v>
      </c>
      <c r="H2529" t="s">
        <v>39</v>
      </c>
    </row>
    <row r="2530" spans="1:8" x14ac:dyDescent="0.25">
      <c r="A2530" t="s">
        <v>48</v>
      </c>
      <c r="B2530" t="s">
        <v>50</v>
      </c>
      <c r="C2530">
        <v>3</v>
      </c>
      <c r="D2530" s="9">
        <v>1250</v>
      </c>
      <c r="E2530" s="9">
        <f>+Tablo3[[#This Row],[Birim Fiyat]]*Tablo3[[#This Row],[Satış Adet]]</f>
        <v>3750</v>
      </c>
      <c r="F2530" s="9">
        <v>1350</v>
      </c>
      <c r="G2530" t="s">
        <v>64</v>
      </c>
      <c r="H2530" t="s">
        <v>40</v>
      </c>
    </row>
    <row r="2531" spans="1:8" x14ac:dyDescent="0.25">
      <c r="A2531" t="s">
        <v>8</v>
      </c>
      <c r="B2531" t="s">
        <v>41</v>
      </c>
      <c r="C2531">
        <v>5</v>
      </c>
      <c r="D2531" s="9">
        <v>1490</v>
      </c>
      <c r="E2531" s="9">
        <f>+Tablo3[[#This Row],[Birim Fiyat]]*Tablo3[[#This Row],[Satış Adet]]</f>
        <v>7450</v>
      </c>
      <c r="F2531" s="9">
        <v>3450</v>
      </c>
      <c r="G2531" t="s">
        <v>64</v>
      </c>
      <c r="H2531" t="s">
        <v>42</v>
      </c>
    </row>
    <row r="2532" spans="1:8" x14ac:dyDescent="0.25">
      <c r="A2532" t="s">
        <v>30</v>
      </c>
      <c r="B2532" t="s">
        <v>28</v>
      </c>
      <c r="C2532">
        <v>5</v>
      </c>
      <c r="D2532" s="9">
        <v>1200</v>
      </c>
      <c r="E2532" s="9">
        <f>+Tablo3[[#This Row],[Birim Fiyat]]*Tablo3[[#This Row],[Satış Adet]]</f>
        <v>6000</v>
      </c>
      <c r="F2532" s="9">
        <v>2000</v>
      </c>
      <c r="G2532" t="s">
        <v>64</v>
      </c>
      <c r="H2532" t="s">
        <v>24</v>
      </c>
    </row>
    <row r="2533" spans="1:8" x14ac:dyDescent="0.25">
      <c r="A2533" t="s">
        <v>15</v>
      </c>
      <c r="B2533" t="s">
        <v>21</v>
      </c>
      <c r="C2533">
        <v>5</v>
      </c>
      <c r="D2533" s="9">
        <v>2180</v>
      </c>
      <c r="E2533" s="9">
        <f>+Tablo3[[#This Row],[Birim Fiyat]]*Tablo3[[#This Row],[Satış Adet]]</f>
        <v>10900</v>
      </c>
      <c r="F2533" s="9">
        <v>3400</v>
      </c>
      <c r="G2533" t="s">
        <v>64</v>
      </c>
      <c r="H2533" t="s">
        <v>11</v>
      </c>
    </row>
    <row r="2534" spans="1:8" x14ac:dyDescent="0.25">
      <c r="A2534" t="s">
        <v>38</v>
      </c>
      <c r="B2534" t="s">
        <v>51</v>
      </c>
      <c r="C2534">
        <v>2</v>
      </c>
      <c r="D2534" s="9">
        <v>1200</v>
      </c>
      <c r="E2534" s="9">
        <f>+Tablo3[[#This Row],[Birim Fiyat]]*Tablo3[[#This Row],[Satış Adet]]</f>
        <v>2400</v>
      </c>
      <c r="F2534" s="9">
        <v>800</v>
      </c>
      <c r="G2534" t="s">
        <v>64</v>
      </c>
      <c r="H2534" t="s">
        <v>17</v>
      </c>
    </row>
    <row r="2535" spans="1:8" x14ac:dyDescent="0.25">
      <c r="A2535" t="s">
        <v>8</v>
      </c>
      <c r="B2535" t="s">
        <v>31</v>
      </c>
      <c r="C2535">
        <v>2</v>
      </c>
      <c r="D2535" s="9">
        <v>1800</v>
      </c>
      <c r="E2535" s="9">
        <f>+Tablo3[[#This Row],[Birim Fiyat]]*Tablo3[[#This Row],[Satış Adet]]</f>
        <v>3600</v>
      </c>
      <c r="F2535" s="9">
        <v>2000</v>
      </c>
      <c r="G2535" t="s">
        <v>64</v>
      </c>
      <c r="H2535" t="s">
        <v>14</v>
      </c>
    </row>
    <row r="2536" spans="1:8" x14ac:dyDescent="0.25">
      <c r="A2536" t="s">
        <v>15</v>
      </c>
      <c r="B2536" t="s">
        <v>23</v>
      </c>
      <c r="C2536">
        <v>4</v>
      </c>
      <c r="D2536" s="9">
        <v>7600</v>
      </c>
      <c r="E2536" s="9">
        <f>+Tablo3[[#This Row],[Birim Fiyat]]*Tablo3[[#This Row],[Satış Adet]]</f>
        <v>30400</v>
      </c>
      <c r="F2536" s="9">
        <v>6400</v>
      </c>
      <c r="G2536" t="s">
        <v>64</v>
      </c>
      <c r="H2536" t="s">
        <v>40</v>
      </c>
    </row>
    <row r="2537" spans="1:8" x14ac:dyDescent="0.25">
      <c r="A2537" t="s">
        <v>33</v>
      </c>
      <c r="B2537" t="s">
        <v>53</v>
      </c>
      <c r="C2537">
        <v>5</v>
      </c>
      <c r="D2537" s="9">
        <v>7530</v>
      </c>
      <c r="E2537" s="9">
        <f>+Tablo3[[#This Row],[Birim Fiyat]]*Tablo3[[#This Row],[Satış Adet]]</f>
        <v>37650</v>
      </c>
      <c r="F2537" s="9">
        <v>7650</v>
      </c>
      <c r="G2537" t="s">
        <v>64</v>
      </c>
      <c r="H2537" t="s">
        <v>42</v>
      </c>
    </row>
    <row r="2538" spans="1:8" x14ac:dyDescent="0.25">
      <c r="A2538" t="s">
        <v>48</v>
      </c>
      <c r="B2538" t="s">
        <v>41</v>
      </c>
      <c r="C2538">
        <v>2</v>
      </c>
      <c r="D2538" s="9">
        <v>1490</v>
      </c>
      <c r="E2538" s="9">
        <f>+Tablo3[[#This Row],[Birim Fiyat]]*Tablo3[[#This Row],[Satış Adet]]</f>
        <v>2980</v>
      </c>
      <c r="F2538" s="9">
        <v>1380</v>
      </c>
      <c r="G2538" t="s">
        <v>64</v>
      </c>
      <c r="H2538" t="s">
        <v>27</v>
      </c>
    </row>
    <row r="2539" spans="1:8" x14ac:dyDescent="0.25">
      <c r="A2539" t="s">
        <v>8</v>
      </c>
      <c r="B2539" t="s">
        <v>54</v>
      </c>
      <c r="C2539">
        <v>5</v>
      </c>
      <c r="D2539" s="9">
        <v>5300</v>
      </c>
      <c r="E2539" s="9">
        <f>+Tablo3[[#This Row],[Birim Fiyat]]*Tablo3[[#This Row],[Satış Adet]]</f>
        <v>26500</v>
      </c>
      <c r="F2539" s="9">
        <v>6500</v>
      </c>
      <c r="G2539" t="s">
        <v>64</v>
      </c>
      <c r="H2539" t="s">
        <v>35</v>
      </c>
    </row>
    <row r="2540" spans="1:8" x14ac:dyDescent="0.25">
      <c r="A2540" t="s">
        <v>22</v>
      </c>
      <c r="B2540" t="s">
        <v>28</v>
      </c>
      <c r="C2540">
        <v>2</v>
      </c>
      <c r="D2540" s="9">
        <v>1200</v>
      </c>
      <c r="E2540" s="9">
        <f>+Tablo3[[#This Row],[Birim Fiyat]]*Tablo3[[#This Row],[Satış Adet]]</f>
        <v>2400</v>
      </c>
      <c r="F2540" s="9">
        <v>800</v>
      </c>
      <c r="G2540" t="s">
        <v>64</v>
      </c>
      <c r="H2540" t="s">
        <v>11</v>
      </c>
    </row>
    <row r="2541" spans="1:8" x14ac:dyDescent="0.25">
      <c r="A2541" t="s">
        <v>38</v>
      </c>
      <c r="B2541" t="s">
        <v>32</v>
      </c>
      <c r="C2541">
        <v>3</v>
      </c>
      <c r="D2541" s="9">
        <v>1090</v>
      </c>
      <c r="E2541" s="9">
        <f>+Tablo3[[#This Row],[Birim Fiyat]]*Tablo3[[#This Row],[Satış Adet]]</f>
        <v>3270</v>
      </c>
      <c r="F2541" s="9">
        <v>870</v>
      </c>
      <c r="G2541" t="s">
        <v>64</v>
      </c>
      <c r="H2541" t="s">
        <v>27</v>
      </c>
    </row>
    <row r="2542" spans="1:8" x14ac:dyDescent="0.25">
      <c r="A2542" t="s">
        <v>22</v>
      </c>
      <c r="B2542" t="s">
        <v>25</v>
      </c>
      <c r="C2542">
        <v>5</v>
      </c>
      <c r="D2542" s="9">
        <v>7250</v>
      </c>
      <c r="E2542" s="9">
        <f>+Tablo3[[#This Row],[Birim Fiyat]]*Tablo3[[#This Row],[Satış Adet]]</f>
        <v>36250</v>
      </c>
      <c r="F2542" s="9">
        <v>11250</v>
      </c>
      <c r="G2542" t="s">
        <v>64</v>
      </c>
      <c r="H2542" t="s">
        <v>11</v>
      </c>
    </row>
    <row r="2543" spans="1:8" x14ac:dyDescent="0.25">
      <c r="A2543" t="s">
        <v>46</v>
      </c>
      <c r="B2543" t="s">
        <v>13</v>
      </c>
      <c r="C2543">
        <v>2</v>
      </c>
      <c r="D2543" s="9">
        <v>1400</v>
      </c>
      <c r="E2543" s="9">
        <f>+Tablo3[[#This Row],[Birim Fiyat]]*Tablo3[[#This Row],[Satış Adet]]</f>
        <v>2800</v>
      </c>
      <c r="F2543" s="9">
        <v>1200</v>
      </c>
      <c r="G2543" t="s">
        <v>64</v>
      </c>
      <c r="H2543" t="s">
        <v>52</v>
      </c>
    </row>
    <row r="2544" spans="1:8" x14ac:dyDescent="0.25">
      <c r="A2544" t="s">
        <v>15</v>
      </c>
      <c r="B2544" t="s">
        <v>55</v>
      </c>
      <c r="C2544">
        <v>4</v>
      </c>
      <c r="D2544" s="9">
        <v>1500</v>
      </c>
      <c r="E2544" s="9">
        <f>+Tablo3[[#This Row],[Birim Fiyat]]*Tablo3[[#This Row],[Satış Adet]]</f>
        <v>6000</v>
      </c>
      <c r="F2544" s="9">
        <v>2800</v>
      </c>
      <c r="G2544" t="s">
        <v>64</v>
      </c>
      <c r="H2544" t="s">
        <v>44</v>
      </c>
    </row>
    <row r="2545" spans="1:8" x14ac:dyDescent="0.25">
      <c r="A2545" t="s">
        <v>33</v>
      </c>
      <c r="B2545" t="s">
        <v>19</v>
      </c>
      <c r="C2545">
        <v>5</v>
      </c>
      <c r="D2545" s="9">
        <v>1350</v>
      </c>
      <c r="E2545" s="9">
        <f>+Tablo3[[#This Row],[Birim Fiyat]]*Tablo3[[#This Row],[Satış Adet]]</f>
        <v>6750</v>
      </c>
      <c r="F2545" s="9">
        <v>2750</v>
      </c>
      <c r="G2545" t="s">
        <v>64</v>
      </c>
      <c r="H2545" t="s">
        <v>17</v>
      </c>
    </row>
    <row r="2546" spans="1:8" x14ac:dyDescent="0.25">
      <c r="A2546" t="s">
        <v>33</v>
      </c>
      <c r="B2546" t="s">
        <v>28</v>
      </c>
      <c r="C2546">
        <v>2</v>
      </c>
      <c r="D2546" s="9">
        <v>1200</v>
      </c>
      <c r="E2546" s="9">
        <f>+Tablo3[[#This Row],[Birim Fiyat]]*Tablo3[[#This Row],[Satış Adet]]</f>
        <v>2400</v>
      </c>
      <c r="F2546" s="9">
        <v>800</v>
      </c>
      <c r="G2546" t="s">
        <v>64</v>
      </c>
      <c r="H2546" t="s">
        <v>24</v>
      </c>
    </row>
    <row r="2547" spans="1:8" x14ac:dyDescent="0.25">
      <c r="A2547" t="s">
        <v>12</v>
      </c>
      <c r="B2547" t="s">
        <v>53</v>
      </c>
      <c r="C2547">
        <v>2</v>
      </c>
      <c r="D2547" s="9">
        <v>7530</v>
      </c>
      <c r="E2547" s="9">
        <f>+Tablo3[[#This Row],[Birim Fiyat]]*Tablo3[[#This Row],[Satış Adet]]</f>
        <v>15060</v>
      </c>
      <c r="F2547" s="9">
        <v>3060</v>
      </c>
      <c r="G2547" t="s">
        <v>64</v>
      </c>
      <c r="H2547" t="s">
        <v>27</v>
      </c>
    </row>
    <row r="2548" spans="1:8" x14ac:dyDescent="0.25">
      <c r="A2548" t="s">
        <v>46</v>
      </c>
      <c r="B2548" t="s">
        <v>28</v>
      </c>
      <c r="C2548">
        <v>2</v>
      </c>
      <c r="D2548" s="9">
        <v>1200</v>
      </c>
      <c r="E2548" s="9">
        <f>+Tablo3[[#This Row],[Birim Fiyat]]*Tablo3[[#This Row],[Satış Adet]]</f>
        <v>2400</v>
      </c>
      <c r="F2548" s="9">
        <v>800</v>
      </c>
      <c r="G2548" t="s">
        <v>64</v>
      </c>
      <c r="H2548" t="s">
        <v>42</v>
      </c>
    </row>
    <row r="2549" spans="1:8" x14ac:dyDescent="0.25">
      <c r="A2549" t="s">
        <v>36</v>
      </c>
      <c r="B2549" t="s">
        <v>31</v>
      </c>
      <c r="C2549">
        <v>3</v>
      </c>
      <c r="D2549" s="9">
        <v>1800</v>
      </c>
      <c r="E2549" s="9">
        <f>+Tablo3[[#This Row],[Birim Fiyat]]*Tablo3[[#This Row],[Satış Adet]]</f>
        <v>5400</v>
      </c>
      <c r="F2549" s="9">
        <v>3000</v>
      </c>
      <c r="G2549" t="s">
        <v>64</v>
      </c>
      <c r="H2549" t="s">
        <v>44</v>
      </c>
    </row>
    <row r="2550" spans="1:8" x14ac:dyDescent="0.25">
      <c r="A2550" t="s">
        <v>8</v>
      </c>
      <c r="B2550" t="s">
        <v>25</v>
      </c>
      <c r="C2550">
        <v>2</v>
      </c>
      <c r="D2550" s="9">
        <v>7250</v>
      </c>
      <c r="E2550" s="9">
        <f>+Tablo3[[#This Row],[Birim Fiyat]]*Tablo3[[#This Row],[Satış Adet]]</f>
        <v>14500</v>
      </c>
      <c r="F2550" s="9">
        <v>4500</v>
      </c>
      <c r="G2550" t="s">
        <v>64</v>
      </c>
      <c r="H2550" t="s">
        <v>11</v>
      </c>
    </row>
    <row r="2551" spans="1:8" x14ac:dyDescent="0.25">
      <c r="A2551" t="s">
        <v>38</v>
      </c>
      <c r="B2551" t="s">
        <v>41</v>
      </c>
      <c r="C2551">
        <v>3</v>
      </c>
      <c r="D2551" s="9">
        <v>1490</v>
      </c>
      <c r="E2551" s="9">
        <f>+Tablo3[[#This Row],[Birim Fiyat]]*Tablo3[[#This Row],[Satış Adet]]</f>
        <v>4470</v>
      </c>
      <c r="F2551" s="9">
        <v>2070</v>
      </c>
      <c r="G2551" t="s">
        <v>64</v>
      </c>
      <c r="H2551" t="s">
        <v>42</v>
      </c>
    </row>
    <row r="2552" spans="1:8" x14ac:dyDescent="0.25">
      <c r="A2552" t="s">
        <v>38</v>
      </c>
      <c r="B2552" t="s">
        <v>51</v>
      </c>
      <c r="C2552">
        <v>4</v>
      </c>
      <c r="D2552" s="9">
        <v>1200</v>
      </c>
      <c r="E2552" s="9">
        <f>+Tablo3[[#This Row],[Birim Fiyat]]*Tablo3[[#This Row],[Satış Adet]]</f>
        <v>4800</v>
      </c>
      <c r="F2552" s="9">
        <v>1600</v>
      </c>
      <c r="G2552" t="s">
        <v>64</v>
      </c>
      <c r="H2552" t="s">
        <v>42</v>
      </c>
    </row>
    <row r="2553" spans="1:8" x14ac:dyDescent="0.25">
      <c r="A2553" t="s">
        <v>12</v>
      </c>
      <c r="B2553" t="s">
        <v>34</v>
      </c>
      <c r="C2553">
        <v>4</v>
      </c>
      <c r="D2553" s="9">
        <v>8000</v>
      </c>
      <c r="E2553" s="9">
        <f>+Tablo3[[#This Row],[Birim Fiyat]]*Tablo3[[#This Row],[Satış Adet]]</f>
        <v>32000</v>
      </c>
      <c r="F2553" s="9">
        <v>8000</v>
      </c>
      <c r="G2553" t="s">
        <v>64</v>
      </c>
      <c r="H2553" t="s">
        <v>44</v>
      </c>
    </row>
    <row r="2554" spans="1:8" x14ac:dyDescent="0.25">
      <c r="A2554" t="s">
        <v>30</v>
      </c>
      <c r="B2554" t="s">
        <v>13</v>
      </c>
      <c r="C2554">
        <v>4</v>
      </c>
      <c r="D2554" s="9">
        <v>1400</v>
      </c>
      <c r="E2554" s="9">
        <f>+Tablo3[[#This Row],[Birim Fiyat]]*Tablo3[[#This Row],[Satış Adet]]</f>
        <v>5600</v>
      </c>
      <c r="F2554" s="9">
        <v>2400</v>
      </c>
      <c r="G2554" t="s">
        <v>64</v>
      </c>
      <c r="H2554" t="s">
        <v>29</v>
      </c>
    </row>
    <row r="2555" spans="1:8" x14ac:dyDescent="0.25">
      <c r="A2555" t="s">
        <v>67</v>
      </c>
      <c r="B2555" t="s">
        <v>19</v>
      </c>
      <c r="C2555">
        <v>4</v>
      </c>
      <c r="D2555" s="9">
        <v>1350</v>
      </c>
      <c r="E2555" s="9">
        <f>+Tablo3[[#This Row],[Birim Fiyat]]*Tablo3[[#This Row],[Satış Adet]]</f>
        <v>5400</v>
      </c>
      <c r="F2555" s="9">
        <v>2200</v>
      </c>
      <c r="G2555" t="s">
        <v>64</v>
      </c>
      <c r="H2555" t="s">
        <v>14</v>
      </c>
    </row>
    <row r="2556" spans="1:8" x14ac:dyDescent="0.25">
      <c r="A2556" t="s">
        <v>36</v>
      </c>
      <c r="B2556" t="s">
        <v>51</v>
      </c>
      <c r="C2556">
        <v>3</v>
      </c>
      <c r="D2556" s="9">
        <v>1200</v>
      </c>
      <c r="E2556" s="9">
        <f>+Tablo3[[#This Row],[Birim Fiyat]]*Tablo3[[#This Row],[Satış Adet]]</f>
        <v>3600</v>
      </c>
      <c r="F2556" s="9">
        <v>1200</v>
      </c>
      <c r="G2556" t="s">
        <v>64</v>
      </c>
      <c r="H2556" t="s">
        <v>20</v>
      </c>
    </row>
    <row r="2557" spans="1:8" x14ac:dyDescent="0.25">
      <c r="A2557" t="s">
        <v>30</v>
      </c>
      <c r="B2557" t="s">
        <v>54</v>
      </c>
      <c r="C2557">
        <v>5</v>
      </c>
      <c r="D2557" s="9">
        <v>5300</v>
      </c>
      <c r="E2557" s="9">
        <f>+Tablo3[[#This Row],[Birim Fiyat]]*Tablo3[[#This Row],[Satış Adet]]</f>
        <v>26500</v>
      </c>
      <c r="F2557" s="9">
        <v>6500</v>
      </c>
      <c r="G2557" t="s">
        <v>64</v>
      </c>
      <c r="H2557" t="s">
        <v>40</v>
      </c>
    </row>
    <row r="2558" spans="1:8" x14ac:dyDescent="0.25">
      <c r="A2558" t="s">
        <v>38</v>
      </c>
      <c r="B2558" t="s">
        <v>37</v>
      </c>
      <c r="C2558">
        <v>5</v>
      </c>
      <c r="D2558" s="9">
        <v>10590</v>
      </c>
      <c r="E2558" s="9">
        <f>+Tablo3[[#This Row],[Birim Fiyat]]*Tablo3[[#This Row],[Satış Adet]]</f>
        <v>52950</v>
      </c>
      <c r="F2558" s="9">
        <v>22950</v>
      </c>
      <c r="G2558" t="s">
        <v>64</v>
      </c>
      <c r="H2558" t="s">
        <v>52</v>
      </c>
    </row>
    <row r="2559" spans="1:8" x14ac:dyDescent="0.25">
      <c r="A2559" t="s">
        <v>22</v>
      </c>
      <c r="B2559" t="s">
        <v>50</v>
      </c>
      <c r="C2559">
        <v>2</v>
      </c>
      <c r="D2559" s="9">
        <v>1250</v>
      </c>
      <c r="E2559" s="9">
        <f>+Tablo3[[#This Row],[Birim Fiyat]]*Tablo3[[#This Row],[Satış Adet]]</f>
        <v>2500</v>
      </c>
      <c r="F2559" s="9">
        <v>900</v>
      </c>
      <c r="G2559" t="s">
        <v>64</v>
      </c>
      <c r="H2559" t="s">
        <v>24</v>
      </c>
    </row>
    <row r="2560" spans="1:8" x14ac:dyDescent="0.25">
      <c r="A2560" t="s">
        <v>48</v>
      </c>
      <c r="B2560" t="s">
        <v>51</v>
      </c>
      <c r="C2560">
        <v>3</v>
      </c>
      <c r="D2560" s="9">
        <v>1200</v>
      </c>
      <c r="E2560" s="9">
        <f>+Tablo3[[#This Row],[Birim Fiyat]]*Tablo3[[#This Row],[Satış Adet]]</f>
        <v>3600</v>
      </c>
      <c r="F2560" s="9">
        <v>1200</v>
      </c>
      <c r="G2560" t="s">
        <v>64</v>
      </c>
      <c r="H2560" t="s">
        <v>35</v>
      </c>
    </row>
    <row r="2561" spans="1:8" x14ac:dyDescent="0.25">
      <c r="A2561" t="s">
        <v>22</v>
      </c>
      <c r="B2561" t="s">
        <v>13</v>
      </c>
      <c r="C2561">
        <v>4</v>
      </c>
      <c r="D2561" s="9">
        <v>1400</v>
      </c>
      <c r="E2561" s="9">
        <f>+Tablo3[[#This Row],[Birim Fiyat]]*Tablo3[[#This Row],[Satış Adet]]</f>
        <v>5600</v>
      </c>
      <c r="F2561" s="9">
        <v>2400</v>
      </c>
      <c r="G2561" t="s">
        <v>64</v>
      </c>
      <c r="H2561" t="s">
        <v>40</v>
      </c>
    </row>
    <row r="2562" spans="1:8" x14ac:dyDescent="0.25">
      <c r="A2562" t="s">
        <v>48</v>
      </c>
      <c r="B2562" t="s">
        <v>53</v>
      </c>
      <c r="C2562">
        <v>2</v>
      </c>
      <c r="D2562" s="9">
        <v>7530</v>
      </c>
      <c r="E2562" s="9">
        <f>+Tablo3[[#This Row],[Birim Fiyat]]*Tablo3[[#This Row],[Satış Adet]]</f>
        <v>15060</v>
      </c>
      <c r="F2562" s="9">
        <v>3060</v>
      </c>
      <c r="G2562" t="s">
        <v>64</v>
      </c>
      <c r="H2562" t="s">
        <v>29</v>
      </c>
    </row>
    <row r="2563" spans="1:8" x14ac:dyDescent="0.25">
      <c r="A2563" t="s">
        <v>30</v>
      </c>
      <c r="B2563" t="s">
        <v>23</v>
      </c>
      <c r="C2563">
        <v>4</v>
      </c>
      <c r="D2563" s="9">
        <v>7600</v>
      </c>
      <c r="E2563" s="9">
        <f>+Tablo3[[#This Row],[Birim Fiyat]]*Tablo3[[#This Row],[Satış Adet]]</f>
        <v>30400</v>
      </c>
      <c r="F2563" s="9">
        <v>6400</v>
      </c>
      <c r="G2563" t="s">
        <v>64</v>
      </c>
      <c r="H2563" t="s">
        <v>35</v>
      </c>
    </row>
    <row r="2564" spans="1:8" x14ac:dyDescent="0.25">
      <c r="A2564" t="s">
        <v>48</v>
      </c>
      <c r="B2564" t="s">
        <v>55</v>
      </c>
      <c r="C2564">
        <v>5</v>
      </c>
      <c r="D2564" s="9">
        <v>1500</v>
      </c>
      <c r="E2564" s="9">
        <f>+Tablo3[[#This Row],[Birim Fiyat]]*Tablo3[[#This Row],[Satış Adet]]</f>
        <v>7500</v>
      </c>
      <c r="F2564" s="9">
        <v>3500</v>
      </c>
      <c r="G2564" t="s">
        <v>64</v>
      </c>
      <c r="H2564" t="s">
        <v>17</v>
      </c>
    </row>
    <row r="2565" spans="1:8" x14ac:dyDescent="0.25">
      <c r="A2565" t="s">
        <v>38</v>
      </c>
      <c r="B2565" t="s">
        <v>21</v>
      </c>
      <c r="C2565">
        <v>3</v>
      </c>
      <c r="D2565" s="9">
        <v>2180</v>
      </c>
      <c r="E2565" s="9">
        <f>+Tablo3[[#This Row],[Birim Fiyat]]*Tablo3[[#This Row],[Satış Adet]]</f>
        <v>6540</v>
      </c>
      <c r="F2565" s="9">
        <v>2040</v>
      </c>
      <c r="G2565" t="s">
        <v>64</v>
      </c>
      <c r="H2565" t="s">
        <v>20</v>
      </c>
    </row>
    <row r="2566" spans="1:8" x14ac:dyDescent="0.25">
      <c r="A2566" t="s">
        <v>18</v>
      </c>
      <c r="B2566" t="s">
        <v>21</v>
      </c>
      <c r="C2566">
        <v>4</v>
      </c>
      <c r="D2566" s="9">
        <v>2180</v>
      </c>
      <c r="E2566" s="9">
        <f>+Tablo3[[#This Row],[Birim Fiyat]]*Tablo3[[#This Row],[Satış Adet]]</f>
        <v>8720</v>
      </c>
      <c r="F2566" s="9">
        <v>2720</v>
      </c>
      <c r="G2566" t="s">
        <v>64</v>
      </c>
      <c r="H2566" t="s">
        <v>11</v>
      </c>
    </row>
    <row r="2567" spans="1:8" x14ac:dyDescent="0.25">
      <c r="A2567" t="s">
        <v>38</v>
      </c>
      <c r="B2567" t="s">
        <v>45</v>
      </c>
      <c r="C2567">
        <v>3</v>
      </c>
      <c r="D2567" s="9">
        <v>5775</v>
      </c>
      <c r="E2567" s="9">
        <f>+Tablo3[[#This Row],[Birim Fiyat]]*Tablo3[[#This Row],[Satış Adet]]</f>
        <v>17325</v>
      </c>
      <c r="F2567" s="9">
        <v>5325</v>
      </c>
      <c r="G2567" t="s">
        <v>64</v>
      </c>
      <c r="H2567" t="s">
        <v>20</v>
      </c>
    </row>
    <row r="2568" spans="1:8" x14ac:dyDescent="0.25">
      <c r="A2568" t="s">
        <v>38</v>
      </c>
      <c r="B2568" t="s">
        <v>26</v>
      </c>
      <c r="C2568">
        <v>2</v>
      </c>
      <c r="D2568" s="9">
        <v>1100</v>
      </c>
      <c r="E2568" s="9">
        <f>+Tablo3[[#This Row],[Birim Fiyat]]*Tablo3[[#This Row],[Satış Adet]]</f>
        <v>2200</v>
      </c>
      <c r="F2568" s="9">
        <v>600</v>
      </c>
      <c r="G2568" t="s">
        <v>64</v>
      </c>
      <c r="H2568" t="s">
        <v>11</v>
      </c>
    </row>
    <row r="2569" spans="1:8" x14ac:dyDescent="0.25">
      <c r="A2569" t="s">
        <v>46</v>
      </c>
      <c r="B2569" t="s">
        <v>45</v>
      </c>
      <c r="C2569">
        <v>5</v>
      </c>
      <c r="D2569" s="9">
        <v>5775</v>
      </c>
      <c r="E2569" s="9">
        <f>+Tablo3[[#This Row],[Birim Fiyat]]*Tablo3[[#This Row],[Satış Adet]]</f>
        <v>28875</v>
      </c>
      <c r="F2569" s="9">
        <v>8875</v>
      </c>
      <c r="G2569" t="s">
        <v>64</v>
      </c>
      <c r="H2569" t="s">
        <v>20</v>
      </c>
    </row>
    <row r="2570" spans="1:8" x14ac:dyDescent="0.25">
      <c r="A2570" t="s">
        <v>33</v>
      </c>
      <c r="B2570" t="s">
        <v>19</v>
      </c>
      <c r="C2570">
        <v>5</v>
      </c>
      <c r="D2570" s="9">
        <v>1350</v>
      </c>
      <c r="E2570" s="9">
        <f>+Tablo3[[#This Row],[Birim Fiyat]]*Tablo3[[#This Row],[Satış Adet]]</f>
        <v>6750</v>
      </c>
      <c r="F2570" s="9">
        <v>2750</v>
      </c>
      <c r="G2570" t="s">
        <v>64</v>
      </c>
      <c r="H2570" t="s">
        <v>39</v>
      </c>
    </row>
    <row r="2571" spans="1:8" x14ac:dyDescent="0.25">
      <c r="A2571" t="s">
        <v>8</v>
      </c>
      <c r="B2571" t="s">
        <v>23</v>
      </c>
      <c r="C2571">
        <v>3</v>
      </c>
      <c r="D2571" s="9">
        <v>7600</v>
      </c>
      <c r="E2571" s="9">
        <f>+Tablo3[[#This Row],[Birim Fiyat]]*Tablo3[[#This Row],[Satış Adet]]</f>
        <v>22800</v>
      </c>
      <c r="F2571" s="9">
        <v>4800</v>
      </c>
      <c r="G2571" t="s">
        <v>64</v>
      </c>
      <c r="H2571" t="s">
        <v>17</v>
      </c>
    </row>
    <row r="2572" spans="1:8" x14ac:dyDescent="0.25">
      <c r="A2572" t="s">
        <v>15</v>
      </c>
      <c r="B2572" t="s">
        <v>25</v>
      </c>
      <c r="C2572">
        <v>3</v>
      </c>
      <c r="D2572" s="9">
        <v>7250</v>
      </c>
      <c r="E2572" s="9">
        <f>+Tablo3[[#This Row],[Birim Fiyat]]*Tablo3[[#This Row],[Satış Adet]]</f>
        <v>21750</v>
      </c>
      <c r="F2572" s="9">
        <v>6750</v>
      </c>
      <c r="G2572" t="s">
        <v>64</v>
      </c>
      <c r="H2572" t="s">
        <v>40</v>
      </c>
    </row>
    <row r="2573" spans="1:8" x14ac:dyDescent="0.25">
      <c r="A2573" t="s">
        <v>48</v>
      </c>
      <c r="B2573" t="s">
        <v>41</v>
      </c>
      <c r="C2573">
        <v>5</v>
      </c>
      <c r="D2573" s="9">
        <v>1490</v>
      </c>
      <c r="E2573" s="9">
        <f>+Tablo3[[#This Row],[Birim Fiyat]]*Tablo3[[#This Row],[Satış Adet]]</f>
        <v>7450</v>
      </c>
      <c r="F2573" s="9">
        <v>3450</v>
      </c>
      <c r="G2573" t="s">
        <v>64</v>
      </c>
      <c r="H2573" t="s">
        <v>14</v>
      </c>
    </row>
    <row r="2574" spans="1:8" x14ac:dyDescent="0.25">
      <c r="A2574" t="s">
        <v>18</v>
      </c>
      <c r="B2574" t="s">
        <v>41</v>
      </c>
      <c r="C2574">
        <v>3</v>
      </c>
      <c r="D2574" s="9">
        <v>1490</v>
      </c>
      <c r="E2574" s="9">
        <f>+Tablo3[[#This Row],[Birim Fiyat]]*Tablo3[[#This Row],[Satış Adet]]</f>
        <v>4470</v>
      </c>
      <c r="F2574" s="9">
        <v>2070</v>
      </c>
      <c r="G2574" t="s">
        <v>64</v>
      </c>
      <c r="H2574" t="s">
        <v>42</v>
      </c>
    </row>
    <row r="2575" spans="1:8" x14ac:dyDescent="0.25">
      <c r="A2575" t="s">
        <v>36</v>
      </c>
      <c r="B2575" t="s">
        <v>32</v>
      </c>
      <c r="C2575">
        <v>4</v>
      </c>
      <c r="D2575" s="9">
        <v>1090</v>
      </c>
      <c r="E2575" s="9">
        <f>+Tablo3[[#This Row],[Birim Fiyat]]*Tablo3[[#This Row],[Satış Adet]]</f>
        <v>4360</v>
      </c>
      <c r="F2575" s="9">
        <v>1160</v>
      </c>
      <c r="G2575" t="s">
        <v>64</v>
      </c>
      <c r="H2575" t="s">
        <v>40</v>
      </c>
    </row>
    <row r="2576" spans="1:8" x14ac:dyDescent="0.25">
      <c r="A2576" t="s">
        <v>36</v>
      </c>
      <c r="B2576" t="s">
        <v>28</v>
      </c>
      <c r="C2576">
        <v>5</v>
      </c>
      <c r="D2576" s="9">
        <v>1200</v>
      </c>
      <c r="E2576" s="9">
        <f>+Tablo3[[#This Row],[Birim Fiyat]]*Tablo3[[#This Row],[Satış Adet]]</f>
        <v>6000</v>
      </c>
      <c r="F2576" s="9">
        <v>2000</v>
      </c>
      <c r="G2576" t="s">
        <v>64</v>
      </c>
      <c r="H2576" t="s">
        <v>40</v>
      </c>
    </row>
    <row r="2577" spans="1:8" x14ac:dyDescent="0.25">
      <c r="A2577" t="s">
        <v>48</v>
      </c>
      <c r="B2577" t="s">
        <v>32</v>
      </c>
      <c r="C2577">
        <v>3</v>
      </c>
      <c r="D2577" s="9">
        <v>1090</v>
      </c>
      <c r="E2577" s="9">
        <f>+Tablo3[[#This Row],[Birim Fiyat]]*Tablo3[[#This Row],[Satış Adet]]</f>
        <v>3270</v>
      </c>
      <c r="F2577" s="9">
        <v>870</v>
      </c>
      <c r="G2577" t="s">
        <v>64</v>
      </c>
      <c r="H2577" t="s">
        <v>44</v>
      </c>
    </row>
    <row r="2578" spans="1:8" x14ac:dyDescent="0.25">
      <c r="A2578" t="s">
        <v>48</v>
      </c>
      <c r="B2578" t="s">
        <v>21</v>
      </c>
      <c r="C2578">
        <v>2</v>
      </c>
      <c r="D2578" s="9">
        <v>2180</v>
      </c>
      <c r="E2578" s="9">
        <f>+Tablo3[[#This Row],[Birim Fiyat]]*Tablo3[[#This Row],[Satış Adet]]</f>
        <v>4360</v>
      </c>
      <c r="F2578" s="9">
        <v>1360</v>
      </c>
      <c r="G2578" t="s">
        <v>64</v>
      </c>
      <c r="H2578" t="s">
        <v>39</v>
      </c>
    </row>
    <row r="2579" spans="1:8" x14ac:dyDescent="0.25">
      <c r="A2579" t="s">
        <v>15</v>
      </c>
      <c r="B2579" t="s">
        <v>54</v>
      </c>
      <c r="C2579">
        <v>5</v>
      </c>
      <c r="D2579" s="9">
        <v>5300</v>
      </c>
      <c r="E2579" s="9">
        <f>+Tablo3[[#This Row],[Birim Fiyat]]*Tablo3[[#This Row],[Satış Adet]]</f>
        <v>26500</v>
      </c>
      <c r="F2579" s="9">
        <v>6500</v>
      </c>
      <c r="G2579" t="s">
        <v>64</v>
      </c>
      <c r="H2579" t="s">
        <v>14</v>
      </c>
    </row>
    <row r="2580" spans="1:8" x14ac:dyDescent="0.25">
      <c r="A2580" t="s">
        <v>48</v>
      </c>
      <c r="B2580" t="s">
        <v>54</v>
      </c>
      <c r="C2580">
        <v>3</v>
      </c>
      <c r="D2580" s="9">
        <v>5300</v>
      </c>
      <c r="E2580" s="9">
        <f>+Tablo3[[#This Row],[Birim Fiyat]]*Tablo3[[#This Row],[Satış Adet]]</f>
        <v>15900</v>
      </c>
      <c r="F2580" s="9">
        <v>3900</v>
      </c>
      <c r="G2580" t="s">
        <v>64</v>
      </c>
      <c r="H2580" t="s">
        <v>35</v>
      </c>
    </row>
    <row r="2581" spans="1:8" x14ac:dyDescent="0.25">
      <c r="A2581" t="s">
        <v>67</v>
      </c>
      <c r="B2581" t="s">
        <v>25</v>
      </c>
      <c r="C2581">
        <v>5</v>
      </c>
      <c r="D2581" s="9">
        <v>7250</v>
      </c>
      <c r="E2581" s="9">
        <f>+Tablo3[[#This Row],[Birim Fiyat]]*Tablo3[[#This Row],[Satış Adet]]</f>
        <v>36250</v>
      </c>
      <c r="F2581" s="9">
        <v>11250</v>
      </c>
      <c r="G2581" t="s">
        <v>64</v>
      </c>
      <c r="H2581" t="s">
        <v>40</v>
      </c>
    </row>
    <row r="2582" spans="1:8" x14ac:dyDescent="0.25">
      <c r="A2582" t="s">
        <v>67</v>
      </c>
      <c r="B2582" t="s">
        <v>51</v>
      </c>
      <c r="C2582">
        <v>3</v>
      </c>
      <c r="D2582" s="9">
        <v>1200</v>
      </c>
      <c r="E2582" s="9">
        <f>+Tablo3[[#This Row],[Birim Fiyat]]*Tablo3[[#This Row],[Satış Adet]]</f>
        <v>3600</v>
      </c>
      <c r="F2582" s="9">
        <v>1200</v>
      </c>
      <c r="G2582" t="s">
        <v>64</v>
      </c>
      <c r="H2582" t="s">
        <v>44</v>
      </c>
    </row>
    <row r="2583" spans="1:8" x14ac:dyDescent="0.25">
      <c r="A2583" t="s">
        <v>18</v>
      </c>
      <c r="B2583" t="s">
        <v>9</v>
      </c>
      <c r="C2583">
        <v>4</v>
      </c>
      <c r="D2583" s="9">
        <v>6000</v>
      </c>
      <c r="E2583" s="9">
        <f>+Tablo3[[#This Row],[Birim Fiyat]]*Tablo3[[#This Row],[Satış Adet]]</f>
        <v>24000</v>
      </c>
      <c r="F2583" s="9">
        <v>8000</v>
      </c>
      <c r="G2583" t="s">
        <v>64</v>
      </c>
      <c r="H2583" t="s">
        <v>29</v>
      </c>
    </row>
    <row r="2584" spans="1:8" x14ac:dyDescent="0.25">
      <c r="A2584" t="s">
        <v>15</v>
      </c>
      <c r="B2584" t="s">
        <v>16</v>
      </c>
      <c r="C2584">
        <v>3</v>
      </c>
      <c r="D2584" s="9">
        <v>8450</v>
      </c>
      <c r="E2584" s="9">
        <f>+Tablo3[[#This Row],[Birim Fiyat]]*Tablo3[[#This Row],[Satış Adet]]</f>
        <v>25350</v>
      </c>
      <c r="F2584" s="9">
        <v>7350</v>
      </c>
      <c r="G2584" t="s">
        <v>64</v>
      </c>
      <c r="H2584" t="s">
        <v>11</v>
      </c>
    </row>
    <row r="2585" spans="1:8" x14ac:dyDescent="0.25">
      <c r="A2585" t="s">
        <v>30</v>
      </c>
      <c r="B2585" t="s">
        <v>43</v>
      </c>
      <c r="C2585">
        <v>3</v>
      </c>
      <c r="D2585" s="9">
        <v>4200</v>
      </c>
      <c r="E2585" s="9">
        <f>+Tablo3[[#This Row],[Birim Fiyat]]*Tablo3[[#This Row],[Satış Adet]]</f>
        <v>12600</v>
      </c>
      <c r="F2585" s="9">
        <v>3600</v>
      </c>
      <c r="G2585" t="s">
        <v>64</v>
      </c>
      <c r="H2585" t="s">
        <v>11</v>
      </c>
    </row>
    <row r="2586" spans="1:8" x14ac:dyDescent="0.25">
      <c r="A2586" t="s">
        <v>30</v>
      </c>
      <c r="B2586" t="s">
        <v>37</v>
      </c>
      <c r="C2586">
        <v>2</v>
      </c>
      <c r="D2586" s="9">
        <v>10590</v>
      </c>
      <c r="E2586" s="9">
        <f>+Tablo3[[#This Row],[Birim Fiyat]]*Tablo3[[#This Row],[Satış Adet]]</f>
        <v>21180</v>
      </c>
      <c r="F2586" s="9">
        <v>9180</v>
      </c>
      <c r="G2586" t="s">
        <v>64</v>
      </c>
      <c r="H2586" t="s">
        <v>40</v>
      </c>
    </row>
    <row r="2587" spans="1:8" x14ac:dyDescent="0.25">
      <c r="A2587" t="s">
        <v>67</v>
      </c>
      <c r="B2587" t="s">
        <v>51</v>
      </c>
      <c r="C2587">
        <v>4</v>
      </c>
      <c r="D2587" s="9">
        <v>1200</v>
      </c>
      <c r="E2587" s="9">
        <f>+Tablo3[[#This Row],[Birim Fiyat]]*Tablo3[[#This Row],[Satış Adet]]</f>
        <v>4800</v>
      </c>
      <c r="F2587" s="9">
        <v>1600</v>
      </c>
      <c r="G2587" t="s">
        <v>64</v>
      </c>
      <c r="H2587" t="s">
        <v>39</v>
      </c>
    </row>
    <row r="2588" spans="1:8" x14ac:dyDescent="0.25">
      <c r="A2588" t="s">
        <v>46</v>
      </c>
      <c r="B2588" t="s">
        <v>26</v>
      </c>
      <c r="C2588">
        <v>4</v>
      </c>
      <c r="D2588" s="9">
        <v>1100</v>
      </c>
      <c r="E2588" s="9">
        <f>+Tablo3[[#This Row],[Birim Fiyat]]*Tablo3[[#This Row],[Satış Adet]]</f>
        <v>4400</v>
      </c>
      <c r="F2588" s="9">
        <v>1200</v>
      </c>
      <c r="G2588" t="s">
        <v>64</v>
      </c>
      <c r="H2588" t="s">
        <v>24</v>
      </c>
    </row>
    <row r="2589" spans="1:8" x14ac:dyDescent="0.25">
      <c r="A2589" t="s">
        <v>38</v>
      </c>
      <c r="B2589" t="s">
        <v>56</v>
      </c>
      <c r="C2589">
        <v>5</v>
      </c>
      <c r="D2589" s="9">
        <v>3700</v>
      </c>
      <c r="E2589" s="9">
        <f>+Tablo3[[#This Row],[Birim Fiyat]]*Tablo3[[#This Row],[Satış Adet]]</f>
        <v>18500</v>
      </c>
      <c r="F2589" s="9">
        <v>3500</v>
      </c>
      <c r="G2589" t="s">
        <v>64</v>
      </c>
      <c r="H2589" t="s">
        <v>14</v>
      </c>
    </row>
    <row r="2590" spans="1:8" x14ac:dyDescent="0.25">
      <c r="A2590" t="s">
        <v>12</v>
      </c>
      <c r="B2590" t="s">
        <v>56</v>
      </c>
      <c r="C2590">
        <v>5</v>
      </c>
      <c r="D2590" s="9">
        <v>3700</v>
      </c>
      <c r="E2590" s="9">
        <f>+Tablo3[[#This Row],[Birim Fiyat]]*Tablo3[[#This Row],[Satış Adet]]</f>
        <v>18500</v>
      </c>
      <c r="F2590" s="9">
        <v>3500</v>
      </c>
      <c r="G2590" t="s">
        <v>64</v>
      </c>
      <c r="H2590" t="s">
        <v>29</v>
      </c>
    </row>
    <row r="2591" spans="1:8" x14ac:dyDescent="0.25">
      <c r="A2591" t="s">
        <v>30</v>
      </c>
      <c r="B2591" t="s">
        <v>26</v>
      </c>
      <c r="C2591">
        <v>5</v>
      </c>
      <c r="D2591" s="9">
        <v>1100</v>
      </c>
      <c r="E2591" s="9">
        <f>+Tablo3[[#This Row],[Birim Fiyat]]*Tablo3[[#This Row],[Satış Adet]]</f>
        <v>5500</v>
      </c>
      <c r="F2591" s="9">
        <v>1500</v>
      </c>
      <c r="G2591" t="s">
        <v>65</v>
      </c>
      <c r="H2591" t="s">
        <v>24</v>
      </c>
    </row>
    <row r="2592" spans="1:8" x14ac:dyDescent="0.25">
      <c r="A2592" t="s">
        <v>67</v>
      </c>
      <c r="B2592" t="s">
        <v>56</v>
      </c>
      <c r="C2592">
        <v>5</v>
      </c>
      <c r="D2592" s="9">
        <v>3700</v>
      </c>
      <c r="E2592" s="9">
        <f>+Tablo3[[#This Row],[Birim Fiyat]]*Tablo3[[#This Row],[Satış Adet]]</f>
        <v>18500</v>
      </c>
      <c r="F2592" s="9">
        <v>3500</v>
      </c>
      <c r="G2592" t="s">
        <v>65</v>
      </c>
      <c r="H2592" t="s">
        <v>39</v>
      </c>
    </row>
    <row r="2593" spans="1:8" x14ac:dyDescent="0.25">
      <c r="A2593" t="s">
        <v>46</v>
      </c>
      <c r="B2593" t="s">
        <v>41</v>
      </c>
      <c r="C2593">
        <v>4</v>
      </c>
      <c r="D2593" s="9">
        <v>1490</v>
      </c>
      <c r="E2593" s="9">
        <f>+Tablo3[[#This Row],[Birim Fiyat]]*Tablo3[[#This Row],[Satış Adet]]</f>
        <v>5960</v>
      </c>
      <c r="F2593" s="9">
        <v>2760</v>
      </c>
      <c r="G2593" t="s">
        <v>65</v>
      </c>
      <c r="H2593" t="s">
        <v>27</v>
      </c>
    </row>
    <row r="2594" spans="1:8" x14ac:dyDescent="0.25">
      <c r="A2594" t="s">
        <v>38</v>
      </c>
      <c r="B2594" t="s">
        <v>55</v>
      </c>
      <c r="C2594">
        <v>2</v>
      </c>
      <c r="D2594" s="9">
        <v>1500</v>
      </c>
      <c r="E2594" s="9">
        <f>+Tablo3[[#This Row],[Birim Fiyat]]*Tablo3[[#This Row],[Satış Adet]]</f>
        <v>3000</v>
      </c>
      <c r="F2594" s="9">
        <v>1400</v>
      </c>
      <c r="G2594" t="s">
        <v>65</v>
      </c>
      <c r="H2594" t="s">
        <v>27</v>
      </c>
    </row>
    <row r="2595" spans="1:8" x14ac:dyDescent="0.25">
      <c r="A2595" t="s">
        <v>36</v>
      </c>
      <c r="B2595" t="s">
        <v>32</v>
      </c>
      <c r="C2595">
        <v>4</v>
      </c>
      <c r="D2595" s="9">
        <v>1090</v>
      </c>
      <c r="E2595" s="9">
        <f>+Tablo3[[#This Row],[Birim Fiyat]]*Tablo3[[#This Row],[Satış Adet]]</f>
        <v>4360</v>
      </c>
      <c r="F2595" s="9">
        <v>1160</v>
      </c>
      <c r="G2595" t="s">
        <v>65</v>
      </c>
      <c r="H2595" t="s">
        <v>52</v>
      </c>
    </row>
    <row r="2596" spans="1:8" x14ac:dyDescent="0.25">
      <c r="A2596" t="s">
        <v>46</v>
      </c>
      <c r="B2596" t="s">
        <v>31</v>
      </c>
      <c r="C2596">
        <v>3</v>
      </c>
      <c r="D2596" s="9">
        <v>1800</v>
      </c>
      <c r="E2596" s="9">
        <f>+Tablo3[[#This Row],[Birim Fiyat]]*Tablo3[[#This Row],[Satış Adet]]</f>
        <v>5400</v>
      </c>
      <c r="F2596" s="9">
        <v>3000</v>
      </c>
      <c r="G2596" t="s">
        <v>65</v>
      </c>
      <c r="H2596" t="s">
        <v>52</v>
      </c>
    </row>
    <row r="2597" spans="1:8" x14ac:dyDescent="0.25">
      <c r="A2597" t="s">
        <v>33</v>
      </c>
      <c r="B2597" t="s">
        <v>53</v>
      </c>
      <c r="C2597">
        <v>2</v>
      </c>
      <c r="D2597" s="9">
        <v>7530</v>
      </c>
      <c r="E2597" s="9">
        <f>+Tablo3[[#This Row],[Birim Fiyat]]*Tablo3[[#This Row],[Satış Adet]]</f>
        <v>15060</v>
      </c>
      <c r="F2597" s="9">
        <v>3060</v>
      </c>
      <c r="G2597" t="s">
        <v>65</v>
      </c>
      <c r="H2597" t="s">
        <v>35</v>
      </c>
    </row>
    <row r="2598" spans="1:8" x14ac:dyDescent="0.25">
      <c r="A2598" t="s">
        <v>30</v>
      </c>
      <c r="B2598" t="s">
        <v>26</v>
      </c>
      <c r="C2598">
        <v>2</v>
      </c>
      <c r="D2598" s="9">
        <v>1100</v>
      </c>
      <c r="E2598" s="9">
        <f>+Tablo3[[#This Row],[Birim Fiyat]]*Tablo3[[#This Row],[Satış Adet]]</f>
        <v>2200</v>
      </c>
      <c r="F2598" s="9">
        <v>600</v>
      </c>
      <c r="G2598" t="s">
        <v>65</v>
      </c>
      <c r="H2598" t="s">
        <v>29</v>
      </c>
    </row>
    <row r="2599" spans="1:8" x14ac:dyDescent="0.25">
      <c r="A2599" t="s">
        <v>38</v>
      </c>
      <c r="B2599" t="s">
        <v>19</v>
      </c>
      <c r="C2599">
        <v>4</v>
      </c>
      <c r="D2599" s="9">
        <v>1350</v>
      </c>
      <c r="E2599" s="9">
        <f>+Tablo3[[#This Row],[Birim Fiyat]]*Tablo3[[#This Row],[Satış Adet]]</f>
        <v>5400</v>
      </c>
      <c r="F2599" s="9">
        <v>2200</v>
      </c>
      <c r="G2599" t="s">
        <v>65</v>
      </c>
      <c r="H2599" t="s">
        <v>42</v>
      </c>
    </row>
    <row r="2600" spans="1:8" x14ac:dyDescent="0.25">
      <c r="A2600" t="s">
        <v>36</v>
      </c>
      <c r="B2600" t="s">
        <v>19</v>
      </c>
      <c r="C2600">
        <v>3</v>
      </c>
      <c r="D2600" s="9">
        <v>1350</v>
      </c>
      <c r="E2600" s="9">
        <f>+Tablo3[[#This Row],[Birim Fiyat]]*Tablo3[[#This Row],[Satış Adet]]</f>
        <v>4050</v>
      </c>
      <c r="F2600" s="9">
        <v>1650</v>
      </c>
      <c r="G2600" t="s">
        <v>65</v>
      </c>
      <c r="H2600" t="s">
        <v>42</v>
      </c>
    </row>
    <row r="2601" spans="1:8" x14ac:dyDescent="0.25">
      <c r="A2601" t="s">
        <v>33</v>
      </c>
      <c r="B2601" t="s">
        <v>32</v>
      </c>
      <c r="C2601">
        <v>5</v>
      </c>
      <c r="D2601" s="9">
        <v>1090</v>
      </c>
      <c r="E2601" s="9">
        <f>+Tablo3[[#This Row],[Birim Fiyat]]*Tablo3[[#This Row],[Satış Adet]]</f>
        <v>5450</v>
      </c>
      <c r="F2601" s="9">
        <v>1450</v>
      </c>
      <c r="G2601" t="s">
        <v>65</v>
      </c>
      <c r="H2601" t="s">
        <v>14</v>
      </c>
    </row>
    <row r="2602" spans="1:8" x14ac:dyDescent="0.25">
      <c r="A2602" t="s">
        <v>33</v>
      </c>
      <c r="B2602" t="s">
        <v>43</v>
      </c>
      <c r="C2602">
        <v>5</v>
      </c>
      <c r="D2602" s="9">
        <v>4200</v>
      </c>
      <c r="E2602" s="9">
        <f>+Tablo3[[#This Row],[Birim Fiyat]]*Tablo3[[#This Row],[Satış Adet]]</f>
        <v>21000</v>
      </c>
      <c r="F2602" s="9">
        <v>6000</v>
      </c>
      <c r="G2602" t="s">
        <v>65</v>
      </c>
      <c r="H2602" t="s">
        <v>42</v>
      </c>
    </row>
    <row r="2603" spans="1:8" x14ac:dyDescent="0.25">
      <c r="A2603" t="s">
        <v>38</v>
      </c>
      <c r="B2603" t="s">
        <v>31</v>
      </c>
      <c r="C2603">
        <v>3</v>
      </c>
      <c r="D2603" s="9">
        <v>1800</v>
      </c>
      <c r="E2603" s="9">
        <f>+Tablo3[[#This Row],[Birim Fiyat]]*Tablo3[[#This Row],[Satış Adet]]</f>
        <v>5400</v>
      </c>
      <c r="F2603" s="9">
        <v>3000</v>
      </c>
      <c r="G2603" t="s">
        <v>65</v>
      </c>
      <c r="H2603" t="s">
        <v>14</v>
      </c>
    </row>
    <row r="2604" spans="1:8" x14ac:dyDescent="0.25">
      <c r="A2604" t="s">
        <v>48</v>
      </c>
      <c r="B2604" t="s">
        <v>32</v>
      </c>
      <c r="C2604">
        <v>5</v>
      </c>
      <c r="D2604" s="9">
        <v>1090</v>
      </c>
      <c r="E2604" s="9">
        <f>+Tablo3[[#This Row],[Birim Fiyat]]*Tablo3[[#This Row],[Satış Adet]]</f>
        <v>5450</v>
      </c>
      <c r="F2604" s="9">
        <v>1450</v>
      </c>
      <c r="G2604" t="s">
        <v>65</v>
      </c>
      <c r="H2604" t="s">
        <v>40</v>
      </c>
    </row>
    <row r="2605" spans="1:8" x14ac:dyDescent="0.25">
      <c r="A2605" t="s">
        <v>8</v>
      </c>
      <c r="B2605" t="s">
        <v>23</v>
      </c>
      <c r="C2605">
        <v>3</v>
      </c>
      <c r="D2605" s="9">
        <v>7600</v>
      </c>
      <c r="E2605" s="9">
        <f>+Tablo3[[#This Row],[Birim Fiyat]]*Tablo3[[#This Row],[Satış Adet]]</f>
        <v>22800</v>
      </c>
      <c r="F2605" s="9">
        <v>4800</v>
      </c>
      <c r="G2605" t="s">
        <v>65</v>
      </c>
      <c r="H2605" t="s">
        <v>14</v>
      </c>
    </row>
    <row r="2606" spans="1:8" x14ac:dyDescent="0.25">
      <c r="A2606" t="s">
        <v>36</v>
      </c>
      <c r="B2606" t="s">
        <v>23</v>
      </c>
      <c r="C2606">
        <v>4</v>
      </c>
      <c r="D2606" s="9">
        <v>7600</v>
      </c>
      <c r="E2606" s="9">
        <f>+Tablo3[[#This Row],[Birim Fiyat]]*Tablo3[[#This Row],[Satış Adet]]</f>
        <v>30400</v>
      </c>
      <c r="F2606" s="9">
        <v>6400</v>
      </c>
      <c r="G2606" t="s">
        <v>65</v>
      </c>
      <c r="H2606" t="s">
        <v>20</v>
      </c>
    </row>
    <row r="2607" spans="1:8" x14ac:dyDescent="0.25">
      <c r="A2607" t="s">
        <v>15</v>
      </c>
      <c r="B2607" t="s">
        <v>56</v>
      </c>
      <c r="C2607">
        <v>4</v>
      </c>
      <c r="D2607" s="9">
        <v>3700</v>
      </c>
      <c r="E2607" s="9">
        <f>+Tablo3[[#This Row],[Birim Fiyat]]*Tablo3[[#This Row],[Satış Adet]]</f>
        <v>14800</v>
      </c>
      <c r="F2607" s="9">
        <v>2800</v>
      </c>
      <c r="G2607" t="s">
        <v>65</v>
      </c>
      <c r="H2607" t="s">
        <v>40</v>
      </c>
    </row>
    <row r="2608" spans="1:8" x14ac:dyDescent="0.25">
      <c r="A2608" t="s">
        <v>22</v>
      </c>
      <c r="B2608" t="s">
        <v>25</v>
      </c>
      <c r="C2608">
        <v>5</v>
      </c>
      <c r="D2608" s="9">
        <v>7250</v>
      </c>
      <c r="E2608" s="9">
        <f>+Tablo3[[#This Row],[Birim Fiyat]]*Tablo3[[#This Row],[Satış Adet]]</f>
        <v>36250</v>
      </c>
      <c r="F2608" s="9">
        <v>11250</v>
      </c>
      <c r="G2608" t="s">
        <v>65</v>
      </c>
      <c r="H2608" t="s">
        <v>27</v>
      </c>
    </row>
    <row r="2609" spans="1:8" x14ac:dyDescent="0.25">
      <c r="A2609" t="s">
        <v>12</v>
      </c>
      <c r="B2609" t="s">
        <v>23</v>
      </c>
      <c r="C2609">
        <v>3</v>
      </c>
      <c r="D2609" s="9">
        <v>7600</v>
      </c>
      <c r="E2609" s="9">
        <f>+Tablo3[[#This Row],[Birim Fiyat]]*Tablo3[[#This Row],[Satış Adet]]</f>
        <v>22800</v>
      </c>
      <c r="F2609" s="9">
        <v>4800</v>
      </c>
      <c r="G2609" t="s">
        <v>65</v>
      </c>
      <c r="H2609" t="s">
        <v>27</v>
      </c>
    </row>
    <row r="2610" spans="1:8" x14ac:dyDescent="0.25">
      <c r="A2610" t="s">
        <v>46</v>
      </c>
      <c r="B2610" t="s">
        <v>43</v>
      </c>
      <c r="C2610">
        <v>3</v>
      </c>
      <c r="D2610" s="9">
        <v>4200</v>
      </c>
      <c r="E2610" s="9">
        <f>+Tablo3[[#This Row],[Birim Fiyat]]*Tablo3[[#This Row],[Satış Adet]]</f>
        <v>12600</v>
      </c>
      <c r="F2610" s="9">
        <v>3600</v>
      </c>
      <c r="G2610" t="s">
        <v>65</v>
      </c>
      <c r="H2610" t="s">
        <v>44</v>
      </c>
    </row>
    <row r="2611" spans="1:8" x14ac:dyDescent="0.25">
      <c r="A2611" t="s">
        <v>30</v>
      </c>
      <c r="B2611" t="s">
        <v>50</v>
      </c>
      <c r="C2611">
        <v>3</v>
      </c>
      <c r="D2611" s="9">
        <v>1250</v>
      </c>
      <c r="E2611" s="9">
        <f>+Tablo3[[#This Row],[Birim Fiyat]]*Tablo3[[#This Row],[Satış Adet]]</f>
        <v>3750</v>
      </c>
      <c r="F2611" s="9">
        <v>1350</v>
      </c>
      <c r="G2611" t="s">
        <v>65</v>
      </c>
      <c r="H2611" t="s">
        <v>11</v>
      </c>
    </row>
    <row r="2612" spans="1:8" x14ac:dyDescent="0.25">
      <c r="A2612" t="s">
        <v>36</v>
      </c>
      <c r="B2612" t="s">
        <v>32</v>
      </c>
      <c r="C2612">
        <v>3</v>
      </c>
      <c r="D2612" s="9">
        <v>1090</v>
      </c>
      <c r="E2612" s="9">
        <f>+Tablo3[[#This Row],[Birim Fiyat]]*Tablo3[[#This Row],[Satış Adet]]</f>
        <v>3270</v>
      </c>
      <c r="F2612" s="9">
        <v>870</v>
      </c>
      <c r="G2612" t="s">
        <v>65</v>
      </c>
      <c r="H2612" t="s">
        <v>40</v>
      </c>
    </row>
    <row r="2613" spans="1:8" x14ac:dyDescent="0.25">
      <c r="A2613" t="s">
        <v>18</v>
      </c>
      <c r="B2613" t="s">
        <v>21</v>
      </c>
      <c r="C2613">
        <v>5</v>
      </c>
      <c r="D2613" s="9">
        <v>2180</v>
      </c>
      <c r="E2613" s="9">
        <f>+Tablo3[[#This Row],[Birim Fiyat]]*Tablo3[[#This Row],[Satış Adet]]</f>
        <v>10900</v>
      </c>
      <c r="F2613" s="9">
        <v>3400</v>
      </c>
      <c r="G2613" t="s">
        <v>65</v>
      </c>
      <c r="H2613" t="s">
        <v>35</v>
      </c>
    </row>
    <row r="2614" spans="1:8" x14ac:dyDescent="0.25">
      <c r="A2614" t="s">
        <v>48</v>
      </c>
      <c r="B2614" t="s">
        <v>56</v>
      </c>
      <c r="C2614">
        <v>2</v>
      </c>
      <c r="D2614" s="9">
        <v>3700</v>
      </c>
      <c r="E2614" s="9">
        <f>+Tablo3[[#This Row],[Birim Fiyat]]*Tablo3[[#This Row],[Satış Adet]]</f>
        <v>7400</v>
      </c>
      <c r="F2614" s="9">
        <v>1400</v>
      </c>
      <c r="G2614" t="s">
        <v>65</v>
      </c>
      <c r="H2614" t="s">
        <v>29</v>
      </c>
    </row>
    <row r="2615" spans="1:8" x14ac:dyDescent="0.25">
      <c r="A2615" t="s">
        <v>38</v>
      </c>
      <c r="B2615" t="s">
        <v>9</v>
      </c>
      <c r="C2615">
        <v>5</v>
      </c>
      <c r="D2615" s="9">
        <v>6000</v>
      </c>
      <c r="E2615" s="9">
        <f>+Tablo3[[#This Row],[Birim Fiyat]]*Tablo3[[#This Row],[Satış Adet]]</f>
        <v>30000</v>
      </c>
      <c r="F2615" s="9">
        <v>10000</v>
      </c>
      <c r="G2615" t="s">
        <v>65</v>
      </c>
      <c r="H2615" t="s">
        <v>24</v>
      </c>
    </row>
    <row r="2616" spans="1:8" x14ac:dyDescent="0.25">
      <c r="A2616" t="s">
        <v>46</v>
      </c>
      <c r="B2616" t="s">
        <v>50</v>
      </c>
      <c r="C2616">
        <v>3</v>
      </c>
      <c r="D2616" s="9">
        <v>1250</v>
      </c>
      <c r="E2616" s="9">
        <f>+Tablo3[[#This Row],[Birim Fiyat]]*Tablo3[[#This Row],[Satış Adet]]</f>
        <v>3750</v>
      </c>
      <c r="F2616" s="9">
        <v>1350</v>
      </c>
      <c r="G2616" t="s">
        <v>65</v>
      </c>
      <c r="H2616" t="s">
        <v>40</v>
      </c>
    </row>
    <row r="2617" spans="1:8" x14ac:dyDescent="0.25">
      <c r="A2617" t="s">
        <v>48</v>
      </c>
      <c r="B2617" t="s">
        <v>23</v>
      </c>
      <c r="C2617">
        <v>2</v>
      </c>
      <c r="D2617" s="9">
        <v>7600</v>
      </c>
      <c r="E2617" s="9">
        <f>+Tablo3[[#This Row],[Birim Fiyat]]*Tablo3[[#This Row],[Satış Adet]]</f>
        <v>15200</v>
      </c>
      <c r="F2617" s="9">
        <v>3200</v>
      </c>
      <c r="G2617" t="s">
        <v>65</v>
      </c>
      <c r="H2617" t="s">
        <v>29</v>
      </c>
    </row>
    <row r="2618" spans="1:8" x14ac:dyDescent="0.25">
      <c r="A2618" t="s">
        <v>8</v>
      </c>
      <c r="B2618" t="s">
        <v>13</v>
      </c>
      <c r="C2618">
        <v>2</v>
      </c>
      <c r="D2618" s="9">
        <v>1400</v>
      </c>
      <c r="E2618" s="9">
        <f>+Tablo3[[#This Row],[Birim Fiyat]]*Tablo3[[#This Row],[Satış Adet]]</f>
        <v>2800</v>
      </c>
      <c r="F2618" s="9">
        <v>1200</v>
      </c>
      <c r="G2618" t="s">
        <v>65</v>
      </c>
      <c r="H2618" t="s">
        <v>17</v>
      </c>
    </row>
    <row r="2619" spans="1:8" x14ac:dyDescent="0.25">
      <c r="A2619" t="s">
        <v>22</v>
      </c>
      <c r="B2619" t="s">
        <v>21</v>
      </c>
      <c r="C2619">
        <v>4</v>
      </c>
      <c r="D2619" s="9">
        <v>2180</v>
      </c>
      <c r="E2619" s="9">
        <f>+Tablo3[[#This Row],[Birim Fiyat]]*Tablo3[[#This Row],[Satış Adet]]</f>
        <v>8720</v>
      </c>
      <c r="F2619" s="9">
        <v>2720</v>
      </c>
      <c r="G2619" t="s">
        <v>65</v>
      </c>
      <c r="H2619" t="s">
        <v>42</v>
      </c>
    </row>
    <row r="2620" spans="1:8" x14ac:dyDescent="0.25">
      <c r="A2620" t="s">
        <v>8</v>
      </c>
      <c r="B2620" t="s">
        <v>31</v>
      </c>
      <c r="C2620">
        <v>4</v>
      </c>
      <c r="D2620" s="9">
        <v>1800</v>
      </c>
      <c r="E2620" s="9">
        <f>+Tablo3[[#This Row],[Birim Fiyat]]*Tablo3[[#This Row],[Satış Adet]]</f>
        <v>7200</v>
      </c>
      <c r="F2620" s="9">
        <v>4000</v>
      </c>
      <c r="G2620" t="s">
        <v>65</v>
      </c>
      <c r="H2620" t="s">
        <v>40</v>
      </c>
    </row>
    <row r="2621" spans="1:8" x14ac:dyDescent="0.25">
      <c r="A2621" t="s">
        <v>15</v>
      </c>
      <c r="B2621" t="s">
        <v>55</v>
      </c>
      <c r="C2621">
        <v>4</v>
      </c>
      <c r="D2621" s="9">
        <v>1500</v>
      </c>
      <c r="E2621" s="9">
        <f>+Tablo3[[#This Row],[Birim Fiyat]]*Tablo3[[#This Row],[Satış Adet]]</f>
        <v>6000</v>
      </c>
      <c r="F2621" s="9">
        <v>2800</v>
      </c>
      <c r="G2621" t="s">
        <v>65</v>
      </c>
      <c r="H2621" t="s">
        <v>20</v>
      </c>
    </row>
    <row r="2622" spans="1:8" x14ac:dyDescent="0.25">
      <c r="A2622" t="s">
        <v>30</v>
      </c>
      <c r="B2622" t="s">
        <v>16</v>
      </c>
      <c r="C2622">
        <v>2</v>
      </c>
      <c r="D2622" s="9">
        <v>8450</v>
      </c>
      <c r="E2622" s="9">
        <f>+Tablo3[[#This Row],[Birim Fiyat]]*Tablo3[[#This Row],[Satış Adet]]</f>
        <v>16900</v>
      </c>
      <c r="F2622" s="9">
        <v>4900</v>
      </c>
      <c r="G2622" t="s">
        <v>65</v>
      </c>
      <c r="H2622" t="s">
        <v>52</v>
      </c>
    </row>
    <row r="2623" spans="1:8" x14ac:dyDescent="0.25">
      <c r="A2623" t="s">
        <v>38</v>
      </c>
      <c r="B2623" t="s">
        <v>55</v>
      </c>
      <c r="C2623">
        <v>4</v>
      </c>
      <c r="D2623" s="9">
        <v>1500</v>
      </c>
      <c r="E2623" s="9">
        <f>+Tablo3[[#This Row],[Birim Fiyat]]*Tablo3[[#This Row],[Satış Adet]]</f>
        <v>6000</v>
      </c>
      <c r="F2623" s="9">
        <v>2800</v>
      </c>
      <c r="G2623" t="s">
        <v>65</v>
      </c>
      <c r="H2623" t="s">
        <v>52</v>
      </c>
    </row>
    <row r="2624" spans="1:8" x14ac:dyDescent="0.25">
      <c r="A2624" t="s">
        <v>67</v>
      </c>
      <c r="B2624" t="s">
        <v>9</v>
      </c>
      <c r="C2624">
        <v>2</v>
      </c>
      <c r="D2624" s="9">
        <v>6000</v>
      </c>
      <c r="E2624" s="9">
        <f>+Tablo3[[#This Row],[Birim Fiyat]]*Tablo3[[#This Row],[Satış Adet]]</f>
        <v>12000</v>
      </c>
      <c r="F2624" s="9">
        <v>4000</v>
      </c>
      <c r="G2624" t="s">
        <v>65</v>
      </c>
      <c r="H2624" t="s">
        <v>39</v>
      </c>
    </row>
    <row r="2625" spans="1:8" x14ac:dyDescent="0.25">
      <c r="A2625" t="s">
        <v>48</v>
      </c>
      <c r="B2625" t="s">
        <v>51</v>
      </c>
      <c r="C2625">
        <v>2</v>
      </c>
      <c r="D2625" s="9">
        <v>1200</v>
      </c>
      <c r="E2625" s="9">
        <f>+Tablo3[[#This Row],[Birim Fiyat]]*Tablo3[[#This Row],[Satış Adet]]</f>
        <v>2400</v>
      </c>
      <c r="F2625" s="9">
        <v>800</v>
      </c>
      <c r="G2625" t="s">
        <v>65</v>
      </c>
      <c r="H2625" t="s">
        <v>20</v>
      </c>
    </row>
    <row r="2626" spans="1:8" x14ac:dyDescent="0.25">
      <c r="A2626" t="s">
        <v>8</v>
      </c>
      <c r="B2626" t="s">
        <v>43</v>
      </c>
      <c r="C2626">
        <v>4</v>
      </c>
      <c r="D2626" s="9">
        <v>4200</v>
      </c>
      <c r="E2626" s="9">
        <f>+Tablo3[[#This Row],[Birim Fiyat]]*Tablo3[[#This Row],[Satış Adet]]</f>
        <v>16800</v>
      </c>
      <c r="F2626" s="9">
        <v>4800</v>
      </c>
      <c r="G2626" t="s">
        <v>65</v>
      </c>
      <c r="H2626" t="s">
        <v>40</v>
      </c>
    </row>
    <row r="2627" spans="1:8" x14ac:dyDescent="0.25">
      <c r="A2627" t="s">
        <v>46</v>
      </c>
      <c r="B2627" t="s">
        <v>23</v>
      </c>
      <c r="C2627">
        <v>2</v>
      </c>
      <c r="D2627" s="9">
        <v>7600</v>
      </c>
      <c r="E2627" s="9">
        <f>+Tablo3[[#This Row],[Birim Fiyat]]*Tablo3[[#This Row],[Satış Adet]]</f>
        <v>15200</v>
      </c>
      <c r="F2627" s="9">
        <v>3200</v>
      </c>
      <c r="G2627" t="s">
        <v>65</v>
      </c>
      <c r="H2627" t="s">
        <v>35</v>
      </c>
    </row>
    <row r="2628" spans="1:8" x14ac:dyDescent="0.25">
      <c r="A2628" t="s">
        <v>67</v>
      </c>
      <c r="B2628" t="s">
        <v>25</v>
      </c>
      <c r="C2628">
        <v>2</v>
      </c>
      <c r="D2628" s="9">
        <v>7250</v>
      </c>
      <c r="E2628" s="9">
        <f>+Tablo3[[#This Row],[Birim Fiyat]]*Tablo3[[#This Row],[Satış Adet]]</f>
        <v>14500</v>
      </c>
      <c r="F2628" s="9">
        <v>4500</v>
      </c>
      <c r="G2628" t="s">
        <v>65</v>
      </c>
      <c r="H2628" t="s">
        <v>24</v>
      </c>
    </row>
    <row r="2629" spans="1:8" x14ac:dyDescent="0.25">
      <c r="A2629" t="s">
        <v>12</v>
      </c>
      <c r="B2629" t="s">
        <v>53</v>
      </c>
      <c r="C2629">
        <v>4</v>
      </c>
      <c r="D2629" s="9">
        <v>7530</v>
      </c>
      <c r="E2629" s="9">
        <f>+Tablo3[[#This Row],[Birim Fiyat]]*Tablo3[[#This Row],[Satış Adet]]</f>
        <v>30120</v>
      </c>
      <c r="F2629" s="9">
        <v>6120</v>
      </c>
      <c r="G2629" t="s">
        <v>65</v>
      </c>
      <c r="H2629" t="s">
        <v>24</v>
      </c>
    </row>
    <row r="2630" spans="1:8" x14ac:dyDescent="0.25">
      <c r="A2630" t="s">
        <v>15</v>
      </c>
      <c r="B2630" t="s">
        <v>25</v>
      </c>
      <c r="C2630">
        <v>2</v>
      </c>
      <c r="D2630" s="9">
        <v>7250</v>
      </c>
      <c r="E2630" s="9">
        <f>+Tablo3[[#This Row],[Birim Fiyat]]*Tablo3[[#This Row],[Satış Adet]]</f>
        <v>14500</v>
      </c>
      <c r="F2630" s="9">
        <v>4500</v>
      </c>
      <c r="G2630" t="s">
        <v>65</v>
      </c>
      <c r="H2630" t="s">
        <v>20</v>
      </c>
    </row>
    <row r="2631" spans="1:8" x14ac:dyDescent="0.25">
      <c r="A2631" t="s">
        <v>12</v>
      </c>
      <c r="B2631" t="s">
        <v>9</v>
      </c>
      <c r="C2631">
        <v>5</v>
      </c>
      <c r="D2631" s="9">
        <v>6000</v>
      </c>
      <c r="E2631" s="9">
        <f>+Tablo3[[#This Row],[Birim Fiyat]]*Tablo3[[#This Row],[Satış Adet]]</f>
        <v>30000</v>
      </c>
      <c r="F2631" s="9">
        <v>10000</v>
      </c>
      <c r="G2631" t="s">
        <v>65</v>
      </c>
      <c r="H2631" t="s">
        <v>14</v>
      </c>
    </row>
    <row r="2632" spans="1:8" x14ac:dyDescent="0.25">
      <c r="A2632" t="s">
        <v>67</v>
      </c>
      <c r="B2632" t="s">
        <v>51</v>
      </c>
      <c r="C2632">
        <v>3</v>
      </c>
      <c r="D2632" s="9">
        <v>1200</v>
      </c>
      <c r="E2632" s="9">
        <f>+Tablo3[[#This Row],[Birim Fiyat]]*Tablo3[[#This Row],[Satış Adet]]</f>
        <v>3600</v>
      </c>
      <c r="F2632" s="9">
        <v>1200</v>
      </c>
      <c r="G2632" t="s">
        <v>65</v>
      </c>
      <c r="H2632" t="s">
        <v>14</v>
      </c>
    </row>
    <row r="2633" spans="1:8" x14ac:dyDescent="0.25">
      <c r="A2633" t="s">
        <v>48</v>
      </c>
      <c r="B2633" t="s">
        <v>54</v>
      </c>
      <c r="C2633">
        <v>2</v>
      </c>
      <c r="D2633" s="9">
        <v>5300</v>
      </c>
      <c r="E2633" s="9">
        <f>+Tablo3[[#This Row],[Birim Fiyat]]*Tablo3[[#This Row],[Satış Adet]]</f>
        <v>10600</v>
      </c>
      <c r="F2633" s="9">
        <v>2600</v>
      </c>
      <c r="G2633" t="s">
        <v>65</v>
      </c>
      <c r="H2633" t="s">
        <v>29</v>
      </c>
    </row>
    <row r="2634" spans="1:8" x14ac:dyDescent="0.25">
      <c r="A2634" t="s">
        <v>36</v>
      </c>
      <c r="B2634" t="s">
        <v>16</v>
      </c>
      <c r="C2634">
        <v>4</v>
      </c>
      <c r="D2634" s="9">
        <v>8450</v>
      </c>
      <c r="E2634" s="9">
        <f>+Tablo3[[#This Row],[Birim Fiyat]]*Tablo3[[#This Row],[Satış Adet]]</f>
        <v>33800</v>
      </c>
      <c r="F2634" s="9">
        <v>9800</v>
      </c>
      <c r="G2634" t="s">
        <v>65</v>
      </c>
      <c r="H2634" t="s">
        <v>42</v>
      </c>
    </row>
    <row r="2635" spans="1:8" x14ac:dyDescent="0.25">
      <c r="A2635" t="s">
        <v>22</v>
      </c>
      <c r="B2635" t="s">
        <v>19</v>
      </c>
      <c r="C2635">
        <v>3</v>
      </c>
      <c r="D2635" s="9">
        <v>1350</v>
      </c>
      <c r="E2635" s="9">
        <f>+Tablo3[[#This Row],[Birim Fiyat]]*Tablo3[[#This Row],[Satış Adet]]</f>
        <v>4050</v>
      </c>
      <c r="F2635" s="9">
        <v>1650</v>
      </c>
      <c r="G2635" t="s">
        <v>65</v>
      </c>
      <c r="H2635" t="s">
        <v>44</v>
      </c>
    </row>
    <row r="2636" spans="1:8" x14ac:dyDescent="0.25">
      <c r="A2636" t="s">
        <v>30</v>
      </c>
      <c r="B2636" t="s">
        <v>32</v>
      </c>
      <c r="C2636">
        <v>2</v>
      </c>
      <c r="D2636" s="9">
        <v>1090</v>
      </c>
      <c r="E2636" s="9">
        <f>+Tablo3[[#This Row],[Birim Fiyat]]*Tablo3[[#This Row],[Satış Adet]]</f>
        <v>2180</v>
      </c>
      <c r="F2636" s="9">
        <v>580</v>
      </c>
      <c r="G2636" t="s">
        <v>65</v>
      </c>
      <c r="H2636" t="s">
        <v>11</v>
      </c>
    </row>
    <row r="2637" spans="1:8" x14ac:dyDescent="0.25">
      <c r="A2637" t="s">
        <v>22</v>
      </c>
      <c r="B2637" t="s">
        <v>21</v>
      </c>
      <c r="C2637">
        <v>4</v>
      </c>
      <c r="D2637" s="9">
        <v>2180</v>
      </c>
      <c r="E2637" s="9">
        <f>+Tablo3[[#This Row],[Birim Fiyat]]*Tablo3[[#This Row],[Satış Adet]]</f>
        <v>8720</v>
      </c>
      <c r="F2637" s="9">
        <v>2720</v>
      </c>
      <c r="G2637" t="s">
        <v>65</v>
      </c>
      <c r="H2637" t="s">
        <v>42</v>
      </c>
    </row>
    <row r="2638" spans="1:8" x14ac:dyDescent="0.25">
      <c r="A2638" t="s">
        <v>12</v>
      </c>
      <c r="B2638" t="s">
        <v>56</v>
      </c>
      <c r="C2638">
        <v>2</v>
      </c>
      <c r="D2638" s="9">
        <v>3700</v>
      </c>
      <c r="E2638" s="9">
        <f>+Tablo3[[#This Row],[Birim Fiyat]]*Tablo3[[#This Row],[Satış Adet]]</f>
        <v>7400</v>
      </c>
      <c r="F2638" s="9">
        <v>1400</v>
      </c>
      <c r="G2638" t="s">
        <v>65</v>
      </c>
      <c r="H2638" t="s">
        <v>52</v>
      </c>
    </row>
    <row r="2639" spans="1:8" x14ac:dyDescent="0.25">
      <c r="A2639" t="s">
        <v>30</v>
      </c>
      <c r="B2639" t="s">
        <v>26</v>
      </c>
      <c r="C2639">
        <v>3</v>
      </c>
      <c r="D2639" s="9">
        <v>1100</v>
      </c>
      <c r="E2639" s="9">
        <f>+Tablo3[[#This Row],[Birim Fiyat]]*Tablo3[[#This Row],[Satış Adet]]</f>
        <v>3300</v>
      </c>
      <c r="F2639" s="9">
        <v>900</v>
      </c>
      <c r="G2639" t="s">
        <v>65</v>
      </c>
      <c r="H2639" t="s">
        <v>11</v>
      </c>
    </row>
    <row r="2640" spans="1:8" x14ac:dyDescent="0.25">
      <c r="A2640" t="s">
        <v>67</v>
      </c>
      <c r="B2640" t="s">
        <v>56</v>
      </c>
      <c r="C2640">
        <v>2</v>
      </c>
      <c r="D2640" s="9">
        <v>3700</v>
      </c>
      <c r="E2640" s="9">
        <f>+Tablo3[[#This Row],[Birim Fiyat]]*Tablo3[[#This Row],[Satış Adet]]</f>
        <v>7400</v>
      </c>
      <c r="F2640" s="9">
        <v>1400</v>
      </c>
      <c r="G2640" t="s">
        <v>65</v>
      </c>
      <c r="H2640" t="s">
        <v>40</v>
      </c>
    </row>
    <row r="2641" spans="1:8" x14ac:dyDescent="0.25">
      <c r="A2641" t="s">
        <v>46</v>
      </c>
      <c r="B2641" t="s">
        <v>41</v>
      </c>
      <c r="C2641">
        <v>3</v>
      </c>
      <c r="D2641" s="9">
        <v>1490</v>
      </c>
      <c r="E2641" s="9">
        <f>+Tablo3[[#This Row],[Birim Fiyat]]*Tablo3[[#This Row],[Satış Adet]]</f>
        <v>4470</v>
      </c>
      <c r="F2641" s="9">
        <v>2070</v>
      </c>
      <c r="G2641" t="s">
        <v>65</v>
      </c>
      <c r="H2641" t="s">
        <v>42</v>
      </c>
    </row>
    <row r="2642" spans="1:8" x14ac:dyDescent="0.25">
      <c r="A2642" t="s">
        <v>38</v>
      </c>
      <c r="B2642" t="s">
        <v>55</v>
      </c>
      <c r="C2642">
        <v>3</v>
      </c>
      <c r="D2642" s="9">
        <v>1500</v>
      </c>
      <c r="E2642" s="9">
        <f>+Tablo3[[#This Row],[Birim Fiyat]]*Tablo3[[#This Row],[Satış Adet]]</f>
        <v>4500</v>
      </c>
      <c r="F2642" s="9">
        <v>2100</v>
      </c>
      <c r="G2642" t="s">
        <v>65</v>
      </c>
      <c r="H2642" t="s">
        <v>40</v>
      </c>
    </row>
    <row r="2643" spans="1:8" x14ac:dyDescent="0.25">
      <c r="A2643" t="s">
        <v>36</v>
      </c>
      <c r="B2643" t="s">
        <v>32</v>
      </c>
      <c r="C2643">
        <v>4</v>
      </c>
      <c r="D2643" s="9">
        <v>1090</v>
      </c>
      <c r="E2643" s="9">
        <f>+Tablo3[[#This Row],[Birim Fiyat]]*Tablo3[[#This Row],[Satış Adet]]</f>
        <v>4360</v>
      </c>
      <c r="F2643" s="9">
        <v>1160</v>
      </c>
      <c r="G2643" t="s">
        <v>65</v>
      </c>
      <c r="H2643" t="s">
        <v>17</v>
      </c>
    </row>
    <row r="2644" spans="1:8" x14ac:dyDescent="0.25">
      <c r="A2644" t="s">
        <v>46</v>
      </c>
      <c r="B2644" t="s">
        <v>31</v>
      </c>
      <c r="C2644">
        <v>4</v>
      </c>
      <c r="D2644" s="9">
        <v>1800</v>
      </c>
      <c r="E2644" s="9">
        <f>+Tablo3[[#This Row],[Birim Fiyat]]*Tablo3[[#This Row],[Satış Adet]]</f>
        <v>7200</v>
      </c>
      <c r="F2644" s="9">
        <v>4000</v>
      </c>
      <c r="G2644" t="s">
        <v>65</v>
      </c>
      <c r="H2644" t="s">
        <v>29</v>
      </c>
    </row>
    <row r="2645" spans="1:8" x14ac:dyDescent="0.25">
      <c r="A2645" t="s">
        <v>33</v>
      </c>
      <c r="B2645" t="s">
        <v>53</v>
      </c>
      <c r="C2645">
        <v>5</v>
      </c>
      <c r="D2645" s="9">
        <v>7530</v>
      </c>
      <c r="E2645" s="9">
        <f>+Tablo3[[#This Row],[Birim Fiyat]]*Tablo3[[#This Row],[Satış Adet]]</f>
        <v>37650</v>
      </c>
      <c r="F2645" s="9">
        <v>7650</v>
      </c>
      <c r="G2645" t="s">
        <v>65</v>
      </c>
      <c r="H2645" t="s">
        <v>29</v>
      </c>
    </row>
    <row r="2646" spans="1:8" x14ac:dyDescent="0.25">
      <c r="A2646" t="s">
        <v>30</v>
      </c>
      <c r="B2646" t="s">
        <v>26</v>
      </c>
      <c r="C2646">
        <v>2</v>
      </c>
      <c r="D2646" s="9">
        <v>1100</v>
      </c>
      <c r="E2646" s="9">
        <f>+Tablo3[[#This Row],[Birim Fiyat]]*Tablo3[[#This Row],[Satış Adet]]</f>
        <v>2200</v>
      </c>
      <c r="F2646" s="9">
        <v>600</v>
      </c>
      <c r="G2646" t="s">
        <v>65</v>
      </c>
      <c r="H2646" t="s">
        <v>39</v>
      </c>
    </row>
    <row r="2647" spans="1:8" x14ac:dyDescent="0.25">
      <c r="A2647" t="s">
        <v>38</v>
      </c>
      <c r="B2647" t="s">
        <v>19</v>
      </c>
      <c r="C2647">
        <v>2</v>
      </c>
      <c r="D2647" s="9">
        <v>1350</v>
      </c>
      <c r="E2647" s="9">
        <f>+Tablo3[[#This Row],[Birim Fiyat]]*Tablo3[[#This Row],[Satış Adet]]</f>
        <v>2700</v>
      </c>
      <c r="F2647" s="9">
        <v>1100</v>
      </c>
      <c r="G2647" t="s">
        <v>65</v>
      </c>
      <c r="H2647" t="s">
        <v>39</v>
      </c>
    </row>
    <row r="2648" spans="1:8" x14ac:dyDescent="0.25">
      <c r="A2648" t="s">
        <v>36</v>
      </c>
      <c r="B2648" t="s">
        <v>19</v>
      </c>
      <c r="C2648">
        <v>2</v>
      </c>
      <c r="D2648" s="9">
        <v>1350</v>
      </c>
      <c r="E2648" s="9">
        <f>+Tablo3[[#This Row],[Birim Fiyat]]*Tablo3[[#This Row],[Satış Adet]]</f>
        <v>2700</v>
      </c>
      <c r="F2648" s="9">
        <v>1100</v>
      </c>
      <c r="G2648" t="s">
        <v>65</v>
      </c>
      <c r="H2648" t="s">
        <v>27</v>
      </c>
    </row>
    <row r="2649" spans="1:8" x14ac:dyDescent="0.25">
      <c r="A2649" t="s">
        <v>33</v>
      </c>
      <c r="B2649" t="s">
        <v>32</v>
      </c>
      <c r="C2649">
        <v>2</v>
      </c>
      <c r="D2649" s="9">
        <v>1090</v>
      </c>
      <c r="E2649" s="9">
        <f>+Tablo3[[#This Row],[Birim Fiyat]]*Tablo3[[#This Row],[Satış Adet]]</f>
        <v>2180</v>
      </c>
      <c r="F2649" s="9">
        <v>580</v>
      </c>
      <c r="G2649" t="s">
        <v>65</v>
      </c>
      <c r="H2649" t="s">
        <v>39</v>
      </c>
    </row>
    <row r="2650" spans="1:8" x14ac:dyDescent="0.25">
      <c r="A2650" t="s">
        <v>33</v>
      </c>
      <c r="B2650" t="s">
        <v>43</v>
      </c>
      <c r="C2650">
        <v>3</v>
      </c>
      <c r="D2650" s="9">
        <v>4200</v>
      </c>
      <c r="E2650" s="9">
        <f>+Tablo3[[#This Row],[Birim Fiyat]]*Tablo3[[#This Row],[Satış Adet]]</f>
        <v>12600</v>
      </c>
      <c r="F2650" s="9">
        <v>3600</v>
      </c>
      <c r="G2650" t="s">
        <v>65</v>
      </c>
      <c r="H2650" t="s">
        <v>20</v>
      </c>
    </row>
    <row r="2651" spans="1:8" x14ac:dyDescent="0.25">
      <c r="A2651" t="s">
        <v>38</v>
      </c>
      <c r="B2651" t="s">
        <v>31</v>
      </c>
      <c r="C2651">
        <v>5</v>
      </c>
      <c r="D2651" s="9">
        <v>1800</v>
      </c>
      <c r="E2651" s="9">
        <f>+Tablo3[[#This Row],[Birim Fiyat]]*Tablo3[[#This Row],[Satış Adet]]</f>
        <v>9000</v>
      </c>
      <c r="F2651" s="9">
        <v>5000</v>
      </c>
      <c r="G2651" t="s">
        <v>65</v>
      </c>
      <c r="H2651" t="s">
        <v>11</v>
      </c>
    </row>
    <row r="2652" spans="1:8" x14ac:dyDescent="0.25">
      <c r="A2652" t="s">
        <v>48</v>
      </c>
      <c r="B2652" t="s">
        <v>32</v>
      </c>
      <c r="C2652">
        <v>5</v>
      </c>
      <c r="D2652" s="9">
        <v>1090</v>
      </c>
      <c r="E2652" s="9">
        <f>+Tablo3[[#This Row],[Birim Fiyat]]*Tablo3[[#This Row],[Satış Adet]]</f>
        <v>5450</v>
      </c>
      <c r="F2652" s="9">
        <v>1450</v>
      </c>
      <c r="G2652" t="s">
        <v>65</v>
      </c>
      <c r="H2652" t="s">
        <v>11</v>
      </c>
    </row>
    <row r="2653" spans="1:8" x14ac:dyDescent="0.25">
      <c r="A2653" t="s">
        <v>8</v>
      </c>
      <c r="B2653" t="s">
        <v>23</v>
      </c>
      <c r="C2653">
        <v>5</v>
      </c>
      <c r="D2653" s="9">
        <v>7600</v>
      </c>
      <c r="E2653" s="9">
        <f>+Tablo3[[#This Row],[Birim Fiyat]]*Tablo3[[#This Row],[Satış Adet]]</f>
        <v>38000</v>
      </c>
      <c r="F2653" s="9">
        <v>8000</v>
      </c>
      <c r="G2653" t="s">
        <v>65</v>
      </c>
      <c r="H2653" t="s">
        <v>52</v>
      </c>
    </row>
    <row r="2654" spans="1:8" x14ac:dyDescent="0.25">
      <c r="A2654" t="s">
        <v>36</v>
      </c>
      <c r="B2654" t="s">
        <v>23</v>
      </c>
      <c r="C2654">
        <v>2</v>
      </c>
      <c r="D2654" s="9">
        <v>7600</v>
      </c>
      <c r="E2654" s="9">
        <f>+Tablo3[[#This Row],[Birim Fiyat]]*Tablo3[[#This Row],[Satış Adet]]</f>
        <v>15200</v>
      </c>
      <c r="F2654" s="9">
        <v>3200</v>
      </c>
      <c r="G2654" t="s">
        <v>65</v>
      </c>
      <c r="H2654" t="s">
        <v>17</v>
      </c>
    </row>
    <row r="2655" spans="1:8" x14ac:dyDescent="0.25">
      <c r="A2655" t="s">
        <v>15</v>
      </c>
      <c r="B2655" t="s">
        <v>56</v>
      </c>
      <c r="C2655">
        <v>4</v>
      </c>
      <c r="D2655" s="9">
        <v>3700</v>
      </c>
      <c r="E2655" s="9">
        <f>+Tablo3[[#This Row],[Birim Fiyat]]*Tablo3[[#This Row],[Satış Adet]]</f>
        <v>14800</v>
      </c>
      <c r="F2655" s="9">
        <v>2800</v>
      </c>
      <c r="G2655" t="s">
        <v>65</v>
      </c>
      <c r="H2655" t="s">
        <v>24</v>
      </c>
    </row>
    <row r="2656" spans="1:8" x14ac:dyDescent="0.25">
      <c r="A2656" t="s">
        <v>22</v>
      </c>
      <c r="B2656" t="s">
        <v>25</v>
      </c>
      <c r="C2656">
        <v>2</v>
      </c>
      <c r="D2656" s="9">
        <v>7250</v>
      </c>
      <c r="E2656" s="9">
        <f>+Tablo3[[#This Row],[Birim Fiyat]]*Tablo3[[#This Row],[Satış Adet]]</f>
        <v>14500</v>
      </c>
      <c r="F2656" s="9">
        <v>4500</v>
      </c>
      <c r="G2656" t="s">
        <v>65</v>
      </c>
      <c r="H2656" t="s">
        <v>52</v>
      </c>
    </row>
    <row r="2657" spans="1:8" x14ac:dyDescent="0.25">
      <c r="A2657" t="s">
        <v>12</v>
      </c>
      <c r="B2657" t="s">
        <v>23</v>
      </c>
      <c r="C2657">
        <v>4</v>
      </c>
      <c r="D2657" s="9">
        <v>7600</v>
      </c>
      <c r="E2657" s="9">
        <f>+Tablo3[[#This Row],[Birim Fiyat]]*Tablo3[[#This Row],[Satış Adet]]</f>
        <v>30400</v>
      </c>
      <c r="F2657" s="9">
        <v>6400</v>
      </c>
      <c r="G2657" t="s">
        <v>65</v>
      </c>
      <c r="H2657" t="s">
        <v>44</v>
      </c>
    </row>
    <row r="2658" spans="1:8" x14ac:dyDescent="0.25">
      <c r="A2658" t="s">
        <v>46</v>
      </c>
      <c r="B2658" t="s">
        <v>43</v>
      </c>
      <c r="C2658">
        <v>2</v>
      </c>
      <c r="D2658" s="9">
        <v>4200</v>
      </c>
      <c r="E2658" s="9">
        <f>+Tablo3[[#This Row],[Birim Fiyat]]*Tablo3[[#This Row],[Satış Adet]]</f>
        <v>8400</v>
      </c>
      <c r="F2658" s="9">
        <v>2400</v>
      </c>
      <c r="G2658" t="s">
        <v>65</v>
      </c>
      <c r="H2658" t="s">
        <v>20</v>
      </c>
    </row>
    <row r="2659" spans="1:8" x14ac:dyDescent="0.25">
      <c r="A2659" t="s">
        <v>30</v>
      </c>
      <c r="B2659" t="s">
        <v>50</v>
      </c>
      <c r="C2659">
        <v>5</v>
      </c>
      <c r="D2659" s="9">
        <v>1250</v>
      </c>
      <c r="E2659" s="9">
        <f>+Tablo3[[#This Row],[Birim Fiyat]]*Tablo3[[#This Row],[Satış Adet]]</f>
        <v>6250</v>
      </c>
      <c r="F2659" s="9">
        <v>2250</v>
      </c>
      <c r="G2659" t="s">
        <v>65</v>
      </c>
      <c r="H2659" t="s">
        <v>35</v>
      </c>
    </row>
    <row r="2660" spans="1:8" x14ac:dyDescent="0.25">
      <c r="A2660" t="s">
        <v>36</v>
      </c>
      <c r="B2660" t="s">
        <v>32</v>
      </c>
      <c r="C2660">
        <v>5</v>
      </c>
      <c r="D2660" s="9">
        <v>1090</v>
      </c>
      <c r="E2660" s="9">
        <f>+Tablo3[[#This Row],[Birim Fiyat]]*Tablo3[[#This Row],[Satış Adet]]</f>
        <v>5450</v>
      </c>
      <c r="F2660" s="9">
        <v>1450</v>
      </c>
      <c r="G2660" t="s">
        <v>65</v>
      </c>
      <c r="H2660" t="s">
        <v>35</v>
      </c>
    </row>
    <row r="2661" spans="1:8" x14ac:dyDescent="0.25">
      <c r="A2661" t="s">
        <v>18</v>
      </c>
      <c r="B2661" t="s">
        <v>21</v>
      </c>
      <c r="C2661">
        <v>3</v>
      </c>
      <c r="D2661" s="9">
        <v>2180</v>
      </c>
      <c r="E2661" s="9">
        <f>+Tablo3[[#This Row],[Birim Fiyat]]*Tablo3[[#This Row],[Satış Adet]]</f>
        <v>6540</v>
      </c>
      <c r="F2661" s="9">
        <v>2040</v>
      </c>
      <c r="G2661" t="s">
        <v>65</v>
      </c>
      <c r="H2661" t="s">
        <v>42</v>
      </c>
    </row>
    <row r="2662" spans="1:8" x14ac:dyDescent="0.25">
      <c r="A2662" t="s">
        <v>48</v>
      </c>
      <c r="B2662" t="s">
        <v>56</v>
      </c>
      <c r="C2662">
        <v>5</v>
      </c>
      <c r="D2662" s="9">
        <v>3700</v>
      </c>
      <c r="E2662" s="9">
        <f>+Tablo3[[#This Row],[Birim Fiyat]]*Tablo3[[#This Row],[Satış Adet]]</f>
        <v>18500</v>
      </c>
      <c r="F2662" s="9">
        <v>3500</v>
      </c>
      <c r="G2662" t="s">
        <v>65</v>
      </c>
      <c r="H2662" t="s">
        <v>29</v>
      </c>
    </row>
    <row r="2663" spans="1:8" x14ac:dyDescent="0.25">
      <c r="A2663" t="s">
        <v>38</v>
      </c>
      <c r="B2663" t="s">
        <v>9</v>
      </c>
      <c r="C2663">
        <v>3</v>
      </c>
      <c r="D2663" s="9">
        <v>6000</v>
      </c>
      <c r="E2663" s="9">
        <f>+Tablo3[[#This Row],[Birim Fiyat]]*Tablo3[[#This Row],[Satış Adet]]</f>
        <v>18000</v>
      </c>
      <c r="F2663" s="9">
        <v>6000</v>
      </c>
      <c r="G2663" t="s">
        <v>65</v>
      </c>
      <c r="H2663" t="s">
        <v>39</v>
      </c>
    </row>
    <row r="2664" spans="1:8" x14ac:dyDescent="0.25">
      <c r="A2664" t="s">
        <v>46</v>
      </c>
      <c r="B2664" t="s">
        <v>50</v>
      </c>
      <c r="C2664">
        <v>5</v>
      </c>
      <c r="D2664" s="9">
        <v>1250</v>
      </c>
      <c r="E2664" s="9">
        <f>+Tablo3[[#This Row],[Birim Fiyat]]*Tablo3[[#This Row],[Satış Adet]]</f>
        <v>6250</v>
      </c>
      <c r="F2664" s="9">
        <v>2250</v>
      </c>
      <c r="G2664" t="s">
        <v>65</v>
      </c>
      <c r="H2664" t="s">
        <v>39</v>
      </c>
    </row>
    <row r="2665" spans="1:8" x14ac:dyDescent="0.25">
      <c r="A2665" t="s">
        <v>48</v>
      </c>
      <c r="B2665" t="s">
        <v>23</v>
      </c>
      <c r="C2665">
        <v>3</v>
      </c>
      <c r="D2665" s="9">
        <v>7600</v>
      </c>
      <c r="E2665" s="9">
        <f>+Tablo3[[#This Row],[Birim Fiyat]]*Tablo3[[#This Row],[Satış Adet]]</f>
        <v>22800</v>
      </c>
      <c r="F2665" s="9">
        <v>4800</v>
      </c>
      <c r="G2665" t="s">
        <v>65</v>
      </c>
      <c r="H2665" t="s">
        <v>39</v>
      </c>
    </row>
    <row r="2666" spans="1:8" x14ac:dyDescent="0.25">
      <c r="A2666" t="s">
        <v>8</v>
      </c>
      <c r="B2666" t="s">
        <v>13</v>
      </c>
      <c r="C2666">
        <v>2</v>
      </c>
      <c r="D2666" s="9">
        <v>1400</v>
      </c>
      <c r="E2666" s="9">
        <f>+Tablo3[[#This Row],[Birim Fiyat]]*Tablo3[[#This Row],[Satış Adet]]</f>
        <v>2800</v>
      </c>
      <c r="F2666" s="9">
        <v>1200</v>
      </c>
      <c r="G2666" t="s">
        <v>65</v>
      </c>
      <c r="H2666" t="s">
        <v>29</v>
      </c>
    </row>
    <row r="2667" spans="1:8" x14ac:dyDescent="0.25">
      <c r="A2667" t="s">
        <v>22</v>
      </c>
      <c r="B2667" t="s">
        <v>21</v>
      </c>
      <c r="C2667">
        <v>3</v>
      </c>
      <c r="D2667" s="9">
        <v>2180</v>
      </c>
      <c r="E2667" s="9">
        <f>+Tablo3[[#This Row],[Birim Fiyat]]*Tablo3[[#This Row],[Satış Adet]]</f>
        <v>6540</v>
      </c>
      <c r="F2667" s="9">
        <v>2040</v>
      </c>
      <c r="G2667" t="s">
        <v>65</v>
      </c>
      <c r="H2667" t="s">
        <v>35</v>
      </c>
    </row>
    <row r="2668" spans="1:8" x14ac:dyDescent="0.25">
      <c r="A2668" t="s">
        <v>8</v>
      </c>
      <c r="B2668" t="s">
        <v>31</v>
      </c>
      <c r="C2668">
        <v>4</v>
      </c>
      <c r="D2668" s="9">
        <v>1800</v>
      </c>
      <c r="E2668" s="9">
        <f>+Tablo3[[#This Row],[Birim Fiyat]]*Tablo3[[#This Row],[Satış Adet]]</f>
        <v>7200</v>
      </c>
      <c r="F2668" s="9">
        <v>4000</v>
      </c>
      <c r="G2668" t="s">
        <v>65</v>
      </c>
      <c r="H2668" t="s">
        <v>35</v>
      </c>
    </row>
    <row r="2669" spans="1:8" x14ac:dyDescent="0.25">
      <c r="A2669" t="s">
        <v>15</v>
      </c>
      <c r="B2669" t="s">
        <v>55</v>
      </c>
      <c r="C2669">
        <v>3</v>
      </c>
      <c r="D2669" s="9">
        <v>1500</v>
      </c>
      <c r="E2669" s="9">
        <f>+Tablo3[[#This Row],[Birim Fiyat]]*Tablo3[[#This Row],[Satış Adet]]</f>
        <v>4500</v>
      </c>
      <c r="F2669" s="9">
        <v>2100</v>
      </c>
      <c r="G2669" t="s">
        <v>65</v>
      </c>
      <c r="H2669" t="s">
        <v>40</v>
      </c>
    </row>
    <row r="2670" spans="1:8" x14ac:dyDescent="0.25">
      <c r="A2670" t="s">
        <v>30</v>
      </c>
      <c r="B2670" t="s">
        <v>16</v>
      </c>
      <c r="C2670">
        <v>2</v>
      </c>
      <c r="D2670" s="9">
        <v>8450</v>
      </c>
      <c r="E2670" s="9">
        <f>+Tablo3[[#This Row],[Birim Fiyat]]*Tablo3[[#This Row],[Satış Adet]]</f>
        <v>16900</v>
      </c>
      <c r="F2670" s="9">
        <v>4900</v>
      </c>
      <c r="G2670" t="s">
        <v>65</v>
      </c>
      <c r="H2670" t="s">
        <v>20</v>
      </c>
    </row>
    <row r="2671" spans="1:8" x14ac:dyDescent="0.25">
      <c r="A2671" t="s">
        <v>38</v>
      </c>
      <c r="B2671" t="s">
        <v>55</v>
      </c>
      <c r="C2671">
        <v>3</v>
      </c>
      <c r="D2671" s="9">
        <v>1500</v>
      </c>
      <c r="E2671" s="9">
        <f>+Tablo3[[#This Row],[Birim Fiyat]]*Tablo3[[#This Row],[Satış Adet]]</f>
        <v>4500</v>
      </c>
      <c r="F2671" s="9">
        <v>2100</v>
      </c>
      <c r="G2671" t="s">
        <v>65</v>
      </c>
      <c r="H2671" t="s">
        <v>29</v>
      </c>
    </row>
    <row r="2672" spans="1:8" x14ac:dyDescent="0.25">
      <c r="A2672" t="s">
        <v>67</v>
      </c>
      <c r="B2672" t="s">
        <v>9</v>
      </c>
      <c r="C2672">
        <v>2</v>
      </c>
      <c r="D2672" s="9">
        <v>6000</v>
      </c>
      <c r="E2672" s="9">
        <f>+Tablo3[[#This Row],[Birim Fiyat]]*Tablo3[[#This Row],[Satış Adet]]</f>
        <v>12000</v>
      </c>
      <c r="F2672" s="9">
        <v>4000</v>
      </c>
      <c r="G2672" t="s">
        <v>65</v>
      </c>
      <c r="H2672" t="s">
        <v>29</v>
      </c>
    </row>
    <row r="2673" spans="1:8" x14ac:dyDescent="0.25">
      <c r="A2673" t="s">
        <v>48</v>
      </c>
      <c r="B2673" t="s">
        <v>51</v>
      </c>
      <c r="C2673">
        <v>2</v>
      </c>
      <c r="D2673" s="9">
        <v>1200</v>
      </c>
      <c r="E2673" s="9">
        <f>+Tablo3[[#This Row],[Birim Fiyat]]*Tablo3[[#This Row],[Satış Adet]]</f>
        <v>2400</v>
      </c>
      <c r="F2673" s="9">
        <v>800</v>
      </c>
      <c r="G2673" t="s">
        <v>65</v>
      </c>
      <c r="H2673" t="s">
        <v>27</v>
      </c>
    </row>
    <row r="2674" spans="1:8" x14ac:dyDescent="0.25">
      <c r="A2674" t="s">
        <v>8</v>
      </c>
      <c r="B2674" t="s">
        <v>43</v>
      </c>
      <c r="C2674">
        <v>4</v>
      </c>
      <c r="D2674" s="9">
        <v>4200</v>
      </c>
      <c r="E2674" s="9">
        <f>+Tablo3[[#This Row],[Birim Fiyat]]*Tablo3[[#This Row],[Satış Adet]]</f>
        <v>16800</v>
      </c>
      <c r="F2674" s="9">
        <v>4800</v>
      </c>
      <c r="G2674" t="s">
        <v>65</v>
      </c>
      <c r="H2674" t="s">
        <v>35</v>
      </c>
    </row>
    <row r="2675" spans="1:8" x14ac:dyDescent="0.25">
      <c r="A2675" t="s">
        <v>46</v>
      </c>
      <c r="B2675" t="s">
        <v>23</v>
      </c>
      <c r="C2675">
        <v>4</v>
      </c>
      <c r="D2675" s="9">
        <v>7600</v>
      </c>
      <c r="E2675" s="9">
        <f>+Tablo3[[#This Row],[Birim Fiyat]]*Tablo3[[#This Row],[Satış Adet]]</f>
        <v>30400</v>
      </c>
      <c r="F2675" s="9">
        <v>6400</v>
      </c>
      <c r="G2675" t="s">
        <v>65</v>
      </c>
      <c r="H2675" t="s">
        <v>40</v>
      </c>
    </row>
    <row r="2676" spans="1:8" x14ac:dyDescent="0.25">
      <c r="A2676" t="s">
        <v>67</v>
      </c>
      <c r="B2676" t="s">
        <v>25</v>
      </c>
      <c r="C2676">
        <v>5</v>
      </c>
      <c r="D2676" s="9">
        <v>7250</v>
      </c>
      <c r="E2676" s="9">
        <f>+Tablo3[[#This Row],[Birim Fiyat]]*Tablo3[[#This Row],[Satış Adet]]</f>
        <v>36250</v>
      </c>
      <c r="F2676" s="9">
        <v>11250</v>
      </c>
      <c r="G2676" t="s">
        <v>65</v>
      </c>
      <c r="H2676" t="s">
        <v>42</v>
      </c>
    </row>
    <row r="2677" spans="1:8" x14ac:dyDescent="0.25">
      <c r="A2677" t="s">
        <v>12</v>
      </c>
      <c r="B2677" t="s">
        <v>53</v>
      </c>
      <c r="C2677">
        <v>4</v>
      </c>
      <c r="D2677" s="9">
        <v>7530</v>
      </c>
      <c r="E2677" s="9">
        <f>+Tablo3[[#This Row],[Birim Fiyat]]*Tablo3[[#This Row],[Satış Adet]]</f>
        <v>30120</v>
      </c>
      <c r="F2677" s="9">
        <v>6120</v>
      </c>
      <c r="G2677" t="s">
        <v>65</v>
      </c>
      <c r="H2677" t="s">
        <v>40</v>
      </c>
    </row>
    <row r="2678" spans="1:8" x14ac:dyDescent="0.25">
      <c r="A2678" t="s">
        <v>15</v>
      </c>
      <c r="B2678" t="s">
        <v>25</v>
      </c>
      <c r="C2678">
        <v>3</v>
      </c>
      <c r="D2678" s="9">
        <v>7250</v>
      </c>
      <c r="E2678" s="9">
        <f>+Tablo3[[#This Row],[Birim Fiyat]]*Tablo3[[#This Row],[Satış Adet]]</f>
        <v>21750</v>
      </c>
      <c r="F2678" s="9">
        <v>6750</v>
      </c>
      <c r="G2678" t="s">
        <v>65</v>
      </c>
      <c r="H2678" t="s">
        <v>29</v>
      </c>
    </row>
    <row r="2679" spans="1:8" x14ac:dyDescent="0.25">
      <c r="A2679" t="s">
        <v>12</v>
      </c>
      <c r="B2679" t="s">
        <v>9</v>
      </c>
      <c r="C2679">
        <v>2</v>
      </c>
      <c r="D2679" s="9">
        <v>6000</v>
      </c>
      <c r="E2679" s="9">
        <f>+Tablo3[[#This Row],[Birim Fiyat]]*Tablo3[[#This Row],[Satış Adet]]</f>
        <v>12000</v>
      </c>
      <c r="F2679" s="9">
        <v>4000</v>
      </c>
      <c r="G2679" t="s">
        <v>65</v>
      </c>
      <c r="H2679" t="s">
        <v>20</v>
      </c>
    </row>
    <row r="2680" spans="1:8" x14ac:dyDescent="0.25">
      <c r="A2680" t="s">
        <v>67</v>
      </c>
      <c r="B2680" t="s">
        <v>51</v>
      </c>
      <c r="C2680">
        <v>3</v>
      </c>
      <c r="D2680" s="9">
        <v>1200</v>
      </c>
      <c r="E2680" s="9">
        <f>+Tablo3[[#This Row],[Birim Fiyat]]*Tablo3[[#This Row],[Satış Adet]]</f>
        <v>3600</v>
      </c>
      <c r="F2680" s="9">
        <v>1200</v>
      </c>
      <c r="G2680" t="s">
        <v>65</v>
      </c>
      <c r="H2680" t="s">
        <v>14</v>
      </c>
    </row>
    <row r="2681" spans="1:8" x14ac:dyDescent="0.25">
      <c r="A2681" t="s">
        <v>48</v>
      </c>
      <c r="B2681" t="s">
        <v>54</v>
      </c>
      <c r="C2681">
        <v>2</v>
      </c>
      <c r="D2681" s="9">
        <v>5300</v>
      </c>
      <c r="E2681" s="9">
        <f>+Tablo3[[#This Row],[Birim Fiyat]]*Tablo3[[#This Row],[Satış Adet]]</f>
        <v>10600</v>
      </c>
      <c r="F2681" s="9">
        <v>2600</v>
      </c>
      <c r="G2681" t="s">
        <v>65</v>
      </c>
      <c r="H2681" t="s">
        <v>20</v>
      </c>
    </row>
    <row r="2682" spans="1:8" x14ac:dyDescent="0.25">
      <c r="A2682" t="s">
        <v>36</v>
      </c>
      <c r="B2682" t="s">
        <v>16</v>
      </c>
      <c r="C2682">
        <v>2</v>
      </c>
      <c r="D2682" s="9">
        <v>8450</v>
      </c>
      <c r="E2682" s="9">
        <f>+Tablo3[[#This Row],[Birim Fiyat]]*Tablo3[[#This Row],[Satış Adet]]</f>
        <v>16900</v>
      </c>
      <c r="F2682" s="9">
        <v>4900</v>
      </c>
      <c r="G2682" t="s">
        <v>65</v>
      </c>
      <c r="H2682" t="s">
        <v>24</v>
      </c>
    </row>
    <row r="2683" spans="1:8" x14ac:dyDescent="0.25">
      <c r="A2683" t="s">
        <v>22</v>
      </c>
      <c r="B2683" t="s">
        <v>19</v>
      </c>
      <c r="C2683">
        <v>5</v>
      </c>
      <c r="D2683" s="9">
        <v>1350</v>
      </c>
      <c r="E2683" s="9">
        <f>+Tablo3[[#This Row],[Birim Fiyat]]*Tablo3[[#This Row],[Satış Adet]]</f>
        <v>6750</v>
      </c>
      <c r="F2683" s="9">
        <v>2750</v>
      </c>
      <c r="G2683" t="s">
        <v>65</v>
      </c>
      <c r="H2683" t="s">
        <v>17</v>
      </c>
    </row>
    <row r="2684" spans="1:8" x14ac:dyDescent="0.25">
      <c r="A2684" t="s">
        <v>30</v>
      </c>
      <c r="B2684" t="s">
        <v>32</v>
      </c>
      <c r="C2684">
        <v>5</v>
      </c>
      <c r="D2684" s="9">
        <v>1090</v>
      </c>
      <c r="E2684" s="9">
        <f>+Tablo3[[#This Row],[Birim Fiyat]]*Tablo3[[#This Row],[Satış Adet]]</f>
        <v>5450</v>
      </c>
      <c r="F2684" s="9">
        <v>1450</v>
      </c>
      <c r="G2684" t="s">
        <v>65</v>
      </c>
      <c r="H2684" t="s">
        <v>42</v>
      </c>
    </row>
    <row r="2685" spans="1:8" x14ac:dyDescent="0.25">
      <c r="A2685" t="s">
        <v>22</v>
      </c>
      <c r="B2685" t="s">
        <v>21</v>
      </c>
      <c r="C2685">
        <v>5</v>
      </c>
      <c r="D2685" s="9">
        <v>2180</v>
      </c>
      <c r="E2685" s="9">
        <f>+Tablo3[[#This Row],[Birim Fiyat]]*Tablo3[[#This Row],[Satış Adet]]</f>
        <v>10900</v>
      </c>
      <c r="F2685" s="9">
        <v>3400</v>
      </c>
      <c r="G2685" t="s">
        <v>65</v>
      </c>
      <c r="H2685" t="s">
        <v>20</v>
      </c>
    </row>
    <row r="2686" spans="1:8" x14ac:dyDescent="0.25">
      <c r="A2686" t="s">
        <v>8</v>
      </c>
      <c r="B2686" t="s">
        <v>9</v>
      </c>
      <c r="C2686">
        <v>4</v>
      </c>
      <c r="D2686" s="9">
        <v>6000</v>
      </c>
      <c r="E2686" s="9">
        <f>+Tablo3[[#This Row],[Birim Fiyat]]*Tablo3[[#This Row],[Satış Adet]]</f>
        <v>24000</v>
      </c>
      <c r="F2686" s="9">
        <v>8000</v>
      </c>
      <c r="G2686" t="s">
        <v>65</v>
      </c>
      <c r="H2686" t="s">
        <v>11</v>
      </c>
    </row>
    <row r="2687" spans="1:8" x14ac:dyDescent="0.25">
      <c r="A2687" t="s">
        <v>12</v>
      </c>
      <c r="B2687" t="s">
        <v>13</v>
      </c>
      <c r="C2687">
        <v>4</v>
      </c>
      <c r="D2687" s="9">
        <v>1400</v>
      </c>
      <c r="E2687" s="9">
        <f>+Tablo3[[#This Row],[Birim Fiyat]]*Tablo3[[#This Row],[Satış Adet]]</f>
        <v>5600</v>
      </c>
      <c r="F2687" s="9">
        <v>2400</v>
      </c>
      <c r="G2687" t="s">
        <v>65</v>
      </c>
      <c r="H2687" t="s">
        <v>39</v>
      </c>
    </row>
    <row r="2688" spans="1:8" x14ac:dyDescent="0.25">
      <c r="A2688" t="s">
        <v>15</v>
      </c>
      <c r="B2688" t="s">
        <v>16</v>
      </c>
      <c r="C2688">
        <v>5</v>
      </c>
      <c r="D2688" s="9">
        <v>8450</v>
      </c>
      <c r="E2688" s="9">
        <f>+Tablo3[[#This Row],[Birim Fiyat]]*Tablo3[[#This Row],[Satış Adet]]</f>
        <v>42250</v>
      </c>
      <c r="F2688" s="9">
        <v>12250</v>
      </c>
      <c r="G2688" t="s">
        <v>65</v>
      </c>
      <c r="H2688" t="s">
        <v>42</v>
      </c>
    </row>
    <row r="2689" spans="1:8" x14ac:dyDescent="0.25">
      <c r="A2689" t="s">
        <v>18</v>
      </c>
      <c r="B2689" t="s">
        <v>19</v>
      </c>
      <c r="C2689">
        <v>3</v>
      </c>
      <c r="D2689" s="9">
        <v>1350</v>
      </c>
      <c r="E2689" s="9">
        <f>+Tablo3[[#This Row],[Birim Fiyat]]*Tablo3[[#This Row],[Satış Adet]]</f>
        <v>4050</v>
      </c>
      <c r="F2689" s="9">
        <v>1650</v>
      </c>
      <c r="G2689" t="s">
        <v>65</v>
      </c>
      <c r="H2689" t="s">
        <v>27</v>
      </c>
    </row>
    <row r="2690" spans="1:8" x14ac:dyDescent="0.25">
      <c r="A2690" t="s">
        <v>8</v>
      </c>
      <c r="B2690" t="s">
        <v>21</v>
      </c>
      <c r="C2690">
        <v>2</v>
      </c>
      <c r="D2690" s="9">
        <v>2180</v>
      </c>
      <c r="E2690" s="9">
        <f>+Tablo3[[#This Row],[Birim Fiyat]]*Tablo3[[#This Row],[Satış Adet]]</f>
        <v>4360</v>
      </c>
      <c r="F2690" s="9">
        <v>1360</v>
      </c>
      <c r="G2690" t="s">
        <v>65</v>
      </c>
      <c r="H2690" t="s">
        <v>14</v>
      </c>
    </row>
    <row r="2691" spans="1:8" x14ac:dyDescent="0.25">
      <c r="A2691" t="s">
        <v>22</v>
      </c>
      <c r="B2691" t="s">
        <v>23</v>
      </c>
      <c r="C2691">
        <v>4</v>
      </c>
      <c r="D2691" s="9">
        <v>7600</v>
      </c>
      <c r="E2691" s="9">
        <f>+Tablo3[[#This Row],[Birim Fiyat]]*Tablo3[[#This Row],[Satış Adet]]</f>
        <v>30400</v>
      </c>
      <c r="F2691" s="9">
        <v>6400</v>
      </c>
      <c r="G2691" t="s">
        <v>65</v>
      </c>
      <c r="H2691" t="s">
        <v>24</v>
      </c>
    </row>
    <row r="2692" spans="1:8" x14ac:dyDescent="0.25">
      <c r="A2692" t="s">
        <v>12</v>
      </c>
      <c r="B2692" t="s">
        <v>25</v>
      </c>
      <c r="C2692">
        <v>4</v>
      </c>
      <c r="D2692" s="9">
        <v>7250</v>
      </c>
      <c r="E2692" s="9">
        <f>+Tablo3[[#This Row],[Birim Fiyat]]*Tablo3[[#This Row],[Satış Adet]]</f>
        <v>29000</v>
      </c>
      <c r="F2692" s="9">
        <v>9000</v>
      </c>
      <c r="G2692" t="s">
        <v>65</v>
      </c>
      <c r="H2692" t="s">
        <v>20</v>
      </c>
    </row>
    <row r="2693" spans="1:8" x14ac:dyDescent="0.25">
      <c r="A2693" t="s">
        <v>18</v>
      </c>
      <c r="B2693" t="s">
        <v>26</v>
      </c>
      <c r="C2693">
        <v>3</v>
      </c>
      <c r="D2693" s="9">
        <v>1100</v>
      </c>
      <c r="E2693" s="9">
        <f>+Tablo3[[#This Row],[Birim Fiyat]]*Tablo3[[#This Row],[Satış Adet]]</f>
        <v>3300</v>
      </c>
      <c r="F2693" s="9">
        <v>900</v>
      </c>
      <c r="G2693" t="s">
        <v>65</v>
      </c>
      <c r="H2693" t="s">
        <v>35</v>
      </c>
    </row>
    <row r="2694" spans="1:8" x14ac:dyDescent="0.25">
      <c r="A2694" t="s">
        <v>67</v>
      </c>
      <c r="B2694" t="s">
        <v>9</v>
      </c>
      <c r="C2694">
        <v>3</v>
      </c>
      <c r="D2694" s="9">
        <v>6000</v>
      </c>
      <c r="E2694" s="9">
        <f>+Tablo3[[#This Row],[Birim Fiyat]]*Tablo3[[#This Row],[Satış Adet]]</f>
        <v>18000</v>
      </c>
      <c r="F2694" s="9">
        <v>6000</v>
      </c>
      <c r="G2694" t="s">
        <v>66</v>
      </c>
      <c r="H2694" t="s">
        <v>17</v>
      </c>
    </row>
    <row r="2695" spans="1:8" x14ac:dyDescent="0.25">
      <c r="A2695" t="s">
        <v>8</v>
      </c>
      <c r="B2695" t="s">
        <v>28</v>
      </c>
      <c r="C2695">
        <v>4</v>
      </c>
      <c r="D2695" s="9">
        <v>1200</v>
      </c>
      <c r="E2695" s="9">
        <f>+Tablo3[[#This Row],[Birim Fiyat]]*Tablo3[[#This Row],[Satış Adet]]</f>
        <v>4800</v>
      </c>
      <c r="F2695" s="9">
        <v>1600</v>
      </c>
      <c r="G2695" t="s">
        <v>66</v>
      </c>
      <c r="H2695" t="s">
        <v>40</v>
      </c>
    </row>
    <row r="2696" spans="1:8" x14ac:dyDescent="0.25">
      <c r="A2696" t="s">
        <v>30</v>
      </c>
      <c r="B2696" t="s">
        <v>31</v>
      </c>
      <c r="C2696">
        <v>2</v>
      </c>
      <c r="D2696" s="9">
        <v>1800</v>
      </c>
      <c r="E2696" s="9">
        <f>+Tablo3[[#This Row],[Birim Fiyat]]*Tablo3[[#This Row],[Satış Adet]]</f>
        <v>3600</v>
      </c>
      <c r="F2696" s="9">
        <v>2000</v>
      </c>
      <c r="G2696" t="s">
        <v>66</v>
      </c>
      <c r="H2696" t="s">
        <v>27</v>
      </c>
    </row>
    <row r="2697" spans="1:8" x14ac:dyDescent="0.25">
      <c r="A2697" t="s">
        <v>30</v>
      </c>
      <c r="B2697" t="s">
        <v>32</v>
      </c>
      <c r="C2697">
        <v>5</v>
      </c>
      <c r="D2697" s="9">
        <v>1090</v>
      </c>
      <c r="E2697" s="9">
        <f>+Tablo3[[#This Row],[Birim Fiyat]]*Tablo3[[#This Row],[Satış Adet]]</f>
        <v>5450</v>
      </c>
      <c r="F2697" s="9">
        <v>1450</v>
      </c>
      <c r="G2697" t="s">
        <v>66</v>
      </c>
      <c r="H2697" t="s">
        <v>14</v>
      </c>
    </row>
    <row r="2698" spans="1:8" x14ac:dyDescent="0.25">
      <c r="A2698" t="s">
        <v>67</v>
      </c>
      <c r="B2698" t="s">
        <v>21</v>
      </c>
      <c r="C2698">
        <v>4</v>
      </c>
      <c r="D2698" s="9">
        <v>2180</v>
      </c>
      <c r="E2698" s="9">
        <f>+Tablo3[[#This Row],[Birim Fiyat]]*Tablo3[[#This Row],[Satış Adet]]</f>
        <v>8720</v>
      </c>
      <c r="F2698" s="9">
        <v>2720</v>
      </c>
      <c r="G2698" t="s">
        <v>66</v>
      </c>
      <c r="H2698" t="s">
        <v>44</v>
      </c>
    </row>
    <row r="2699" spans="1:8" x14ac:dyDescent="0.25">
      <c r="A2699" t="s">
        <v>33</v>
      </c>
      <c r="B2699" t="s">
        <v>31</v>
      </c>
      <c r="C2699">
        <v>2</v>
      </c>
      <c r="D2699" s="9">
        <v>1800</v>
      </c>
      <c r="E2699" s="9">
        <f>+Tablo3[[#This Row],[Birim Fiyat]]*Tablo3[[#This Row],[Satış Adet]]</f>
        <v>3600</v>
      </c>
      <c r="F2699" s="9">
        <v>2000</v>
      </c>
      <c r="G2699" t="s">
        <v>66</v>
      </c>
      <c r="H2699" t="s">
        <v>11</v>
      </c>
    </row>
    <row r="2700" spans="1:8" x14ac:dyDescent="0.25">
      <c r="A2700" t="s">
        <v>22</v>
      </c>
      <c r="B2700" t="s">
        <v>34</v>
      </c>
      <c r="C2700">
        <v>5</v>
      </c>
      <c r="D2700" s="9">
        <v>8000</v>
      </c>
      <c r="E2700" s="9">
        <f>+Tablo3[[#This Row],[Birim Fiyat]]*Tablo3[[#This Row],[Satış Adet]]</f>
        <v>40000</v>
      </c>
      <c r="F2700" s="9">
        <v>10000</v>
      </c>
      <c r="G2700" t="s">
        <v>66</v>
      </c>
      <c r="H2700" t="s">
        <v>52</v>
      </c>
    </row>
    <row r="2701" spans="1:8" x14ac:dyDescent="0.25">
      <c r="A2701" t="s">
        <v>67</v>
      </c>
      <c r="B2701" t="s">
        <v>13</v>
      </c>
      <c r="C2701">
        <v>3</v>
      </c>
      <c r="D2701" s="9">
        <v>1400</v>
      </c>
      <c r="E2701" s="9">
        <f>+Tablo3[[#This Row],[Birim Fiyat]]*Tablo3[[#This Row],[Satış Adet]]</f>
        <v>4200</v>
      </c>
      <c r="F2701" s="9">
        <v>1800</v>
      </c>
      <c r="G2701" t="s">
        <v>66</v>
      </c>
      <c r="H2701" t="s">
        <v>39</v>
      </c>
    </row>
    <row r="2702" spans="1:8" x14ac:dyDescent="0.25">
      <c r="A2702" t="s">
        <v>36</v>
      </c>
      <c r="B2702" t="s">
        <v>37</v>
      </c>
      <c r="C2702">
        <v>4</v>
      </c>
      <c r="D2702" s="9">
        <v>10590</v>
      </c>
      <c r="E2702" s="9">
        <f>+Tablo3[[#This Row],[Birim Fiyat]]*Tablo3[[#This Row],[Satış Adet]]</f>
        <v>42360</v>
      </c>
      <c r="F2702" s="9">
        <v>18360</v>
      </c>
      <c r="G2702" t="s">
        <v>66</v>
      </c>
      <c r="H2702" t="s">
        <v>29</v>
      </c>
    </row>
    <row r="2703" spans="1:8" x14ac:dyDescent="0.25">
      <c r="A2703" t="s">
        <v>38</v>
      </c>
      <c r="B2703" t="s">
        <v>19</v>
      </c>
      <c r="C2703">
        <v>3</v>
      </c>
      <c r="D2703" s="9">
        <v>1350</v>
      </c>
      <c r="E2703" s="9">
        <f>+Tablo3[[#This Row],[Birim Fiyat]]*Tablo3[[#This Row],[Satış Adet]]</f>
        <v>4050</v>
      </c>
      <c r="F2703" s="9">
        <v>1650</v>
      </c>
      <c r="G2703" t="s">
        <v>66</v>
      </c>
      <c r="H2703" t="s">
        <v>20</v>
      </c>
    </row>
    <row r="2704" spans="1:8" x14ac:dyDescent="0.25">
      <c r="A2704" t="s">
        <v>30</v>
      </c>
      <c r="B2704" t="s">
        <v>13</v>
      </c>
      <c r="C2704">
        <v>3</v>
      </c>
      <c r="D2704" s="9">
        <v>1400</v>
      </c>
      <c r="E2704" s="9">
        <f>+Tablo3[[#This Row],[Birim Fiyat]]*Tablo3[[#This Row],[Satış Adet]]</f>
        <v>4200</v>
      </c>
      <c r="F2704" s="9">
        <v>1800</v>
      </c>
      <c r="G2704" t="s">
        <v>66</v>
      </c>
      <c r="H2704" t="s">
        <v>17</v>
      </c>
    </row>
    <row r="2705" spans="1:8" x14ac:dyDescent="0.25">
      <c r="A2705" t="s">
        <v>18</v>
      </c>
      <c r="B2705" t="s">
        <v>9</v>
      </c>
      <c r="C2705">
        <v>2</v>
      </c>
      <c r="D2705" s="9">
        <v>6000</v>
      </c>
      <c r="E2705" s="9">
        <f>+Tablo3[[#This Row],[Birim Fiyat]]*Tablo3[[#This Row],[Satış Adet]]</f>
        <v>12000</v>
      </c>
      <c r="F2705" s="9">
        <v>4000</v>
      </c>
      <c r="G2705" t="s">
        <v>66</v>
      </c>
      <c r="H2705" t="s">
        <v>24</v>
      </c>
    </row>
    <row r="2706" spans="1:8" x14ac:dyDescent="0.25">
      <c r="A2706" t="s">
        <v>36</v>
      </c>
      <c r="B2706" t="s">
        <v>26</v>
      </c>
      <c r="C2706">
        <v>3</v>
      </c>
      <c r="D2706" s="9">
        <v>1100</v>
      </c>
      <c r="E2706" s="9">
        <f>+Tablo3[[#This Row],[Birim Fiyat]]*Tablo3[[#This Row],[Satış Adet]]</f>
        <v>3300</v>
      </c>
      <c r="F2706" s="9">
        <v>900</v>
      </c>
      <c r="G2706" t="s">
        <v>66</v>
      </c>
      <c r="H2706" t="s">
        <v>27</v>
      </c>
    </row>
    <row r="2707" spans="1:8" x14ac:dyDescent="0.25">
      <c r="A2707" t="s">
        <v>15</v>
      </c>
      <c r="B2707" t="s">
        <v>9</v>
      </c>
      <c r="C2707">
        <v>4</v>
      </c>
      <c r="D2707" s="9">
        <v>6000</v>
      </c>
      <c r="E2707" s="9">
        <f>+Tablo3[[#This Row],[Birim Fiyat]]*Tablo3[[#This Row],[Satış Adet]]</f>
        <v>24000</v>
      </c>
      <c r="F2707" s="9">
        <v>8000</v>
      </c>
      <c r="G2707" t="s">
        <v>66</v>
      </c>
      <c r="H2707" t="s">
        <v>35</v>
      </c>
    </row>
    <row r="2708" spans="1:8" x14ac:dyDescent="0.25">
      <c r="A2708" t="s">
        <v>38</v>
      </c>
      <c r="B2708" t="s">
        <v>41</v>
      </c>
      <c r="C2708">
        <v>5</v>
      </c>
      <c r="D2708" s="9">
        <v>1490</v>
      </c>
      <c r="E2708" s="9">
        <f>+Tablo3[[#This Row],[Birim Fiyat]]*Tablo3[[#This Row],[Satış Adet]]</f>
        <v>7450</v>
      </c>
      <c r="F2708" s="9">
        <v>3450</v>
      </c>
      <c r="G2708" t="s">
        <v>66</v>
      </c>
      <c r="H2708" t="s">
        <v>42</v>
      </c>
    </row>
    <row r="2709" spans="1:8" x14ac:dyDescent="0.25">
      <c r="A2709" t="s">
        <v>36</v>
      </c>
      <c r="B2709" t="s">
        <v>37</v>
      </c>
      <c r="C2709">
        <v>3</v>
      </c>
      <c r="D2709" s="9">
        <v>10590</v>
      </c>
      <c r="E2709" s="9">
        <f>+Tablo3[[#This Row],[Birim Fiyat]]*Tablo3[[#This Row],[Satış Adet]]</f>
        <v>31770</v>
      </c>
      <c r="F2709" s="9">
        <v>13770</v>
      </c>
      <c r="G2709" t="s">
        <v>66</v>
      </c>
      <c r="H2709" t="s">
        <v>29</v>
      </c>
    </row>
    <row r="2710" spans="1:8" x14ac:dyDescent="0.25">
      <c r="A2710" t="s">
        <v>15</v>
      </c>
      <c r="B2710" t="s">
        <v>34</v>
      </c>
      <c r="C2710">
        <v>5</v>
      </c>
      <c r="D2710" s="9">
        <v>8000</v>
      </c>
      <c r="E2710" s="9">
        <f>+Tablo3[[#This Row],[Birim Fiyat]]*Tablo3[[#This Row],[Satış Adet]]</f>
        <v>40000</v>
      </c>
      <c r="F2710" s="9">
        <v>10000</v>
      </c>
      <c r="G2710" t="s">
        <v>66</v>
      </c>
      <c r="H2710" t="s">
        <v>20</v>
      </c>
    </row>
    <row r="2711" spans="1:8" x14ac:dyDescent="0.25">
      <c r="A2711" t="s">
        <v>30</v>
      </c>
      <c r="B2711" t="s">
        <v>26</v>
      </c>
      <c r="C2711">
        <v>5</v>
      </c>
      <c r="D2711" s="9">
        <v>1100</v>
      </c>
      <c r="E2711" s="9">
        <f>+Tablo3[[#This Row],[Birim Fiyat]]*Tablo3[[#This Row],[Satış Adet]]</f>
        <v>5500</v>
      </c>
      <c r="F2711" s="9">
        <v>1500</v>
      </c>
      <c r="G2711" t="s">
        <v>66</v>
      </c>
      <c r="H2711" t="s">
        <v>42</v>
      </c>
    </row>
    <row r="2712" spans="1:8" x14ac:dyDescent="0.25">
      <c r="A2712" t="s">
        <v>38</v>
      </c>
      <c r="B2712" t="s">
        <v>28</v>
      </c>
      <c r="C2712">
        <v>4</v>
      </c>
      <c r="D2712" s="9">
        <v>1200</v>
      </c>
      <c r="E2712" s="9">
        <f>+Tablo3[[#This Row],[Birim Fiyat]]*Tablo3[[#This Row],[Satış Adet]]</f>
        <v>4800</v>
      </c>
      <c r="F2712" s="9">
        <v>1600</v>
      </c>
      <c r="G2712" t="s">
        <v>66</v>
      </c>
      <c r="H2712" t="s">
        <v>35</v>
      </c>
    </row>
    <row r="2713" spans="1:8" x14ac:dyDescent="0.25">
      <c r="A2713" t="s">
        <v>22</v>
      </c>
      <c r="B2713" t="s">
        <v>43</v>
      </c>
      <c r="C2713">
        <v>3</v>
      </c>
      <c r="D2713" s="9">
        <v>4200</v>
      </c>
      <c r="E2713" s="9">
        <f>+Tablo3[[#This Row],[Birim Fiyat]]*Tablo3[[#This Row],[Satış Adet]]</f>
        <v>12600</v>
      </c>
      <c r="F2713" s="9">
        <v>3600</v>
      </c>
      <c r="G2713" t="s">
        <v>66</v>
      </c>
      <c r="H2713" t="s">
        <v>39</v>
      </c>
    </row>
    <row r="2714" spans="1:8" x14ac:dyDescent="0.25">
      <c r="A2714" t="s">
        <v>12</v>
      </c>
      <c r="B2714" t="s">
        <v>45</v>
      </c>
      <c r="C2714">
        <v>3</v>
      </c>
      <c r="D2714" s="9">
        <v>5775</v>
      </c>
      <c r="E2714" s="9">
        <f>+Tablo3[[#This Row],[Birim Fiyat]]*Tablo3[[#This Row],[Satış Adet]]</f>
        <v>17325</v>
      </c>
      <c r="F2714" s="9">
        <v>5325</v>
      </c>
      <c r="G2714" t="s">
        <v>66</v>
      </c>
      <c r="H2714" t="s">
        <v>11</v>
      </c>
    </row>
    <row r="2715" spans="1:8" x14ac:dyDescent="0.25">
      <c r="A2715" t="s">
        <v>46</v>
      </c>
      <c r="B2715" t="s">
        <v>23</v>
      </c>
      <c r="C2715">
        <v>3</v>
      </c>
      <c r="D2715" s="9">
        <v>7600</v>
      </c>
      <c r="E2715" s="9">
        <f>+Tablo3[[#This Row],[Birim Fiyat]]*Tablo3[[#This Row],[Satış Adet]]</f>
        <v>22800</v>
      </c>
      <c r="F2715" s="9">
        <v>4800</v>
      </c>
      <c r="G2715" t="s">
        <v>66</v>
      </c>
      <c r="H2715" t="s">
        <v>40</v>
      </c>
    </row>
    <row r="2716" spans="1:8" x14ac:dyDescent="0.25">
      <c r="A2716" t="s">
        <v>12</v>
      </c>
      <c r="B2716" t="s">
        <v>25</v>
      </c>
      <c r="C2716">
        <v>4</v>
      </c>
      <c r="D2716" s="9">
        <v>7250</v>
      </c>
      <c r="E2716" s="9">
        <f>+Tablo3[[#This Row],[Birim Fiyat]]*Tablo3[[#This Row],[Satış Adet]]</f>
        <v>29000</v>
      </c>
      <c r="F2716" s="9">
        <v>9000</v>
      </c>
      <c r="G2716" t="s">
        <v>66</v>
      </c>
      <c r="H2716" t="s">
        <v>52</v>
      </c>
    </row>
    <row r="2717" spans="1:8" x14ac:dyDescent="0.25">
      <c r="A2717" t="s">
        <v>8</v>
      </c>
      <c r="B2717" t="s">
        <v>25</v>
      </c>
      <c r="C2717">
        <v>4</v>
      </c>
      <c r="D2717" s="9">
        <v>7250</v>
      </c>
      <c r="E2717" s="9">
        <f>+Tablo3[[#This Row],[Birim Fiyat]]*Tablo3[[#This Row],[Satış Adet]]</f>
        <v>29000</v>
      </c>
      <c r="F2717" s="9">
        <v>9000</v>
      </c>
      <c r="G2717" t="s">
        <v>66</v>
      </c>
      <c r="H2717" t="s">
        <v>40</v>
      </c>
    </row>
    <row r="2718" spans="1:8" x14ac:dyDescent="0.25">
      <c r="A2718" t="s">
        <v>36</v>
      </c>
      <c r="B2718" t="s">
        <v>25</v>
      </c>
      <c r="C2718">
        <v>4</v>
      </c>
      <c r="D2718" s="9">
        <v>7250</v>
      </c>
      <c r="E2718" s="9">
        <f>+Tablo3[[#This Row],[Birim Fiyat]]*Tablo3[[#This Row],[Satış Adet]]</f>
        <v>29000</v>
      </c>
      <c r="F2718" s="9">
        <v>9000</v>
      </c>
      <c r="G2718" t="s">
        <v>66</v>
      </c>
      <c r="H2718" t="s">
        <v>52</v>
      </c>
    </row>
    <row r="2719" spans="1:8" x14ac:dyDescent="0.25">
      <c r="A2719" t="s">
        <v>67</v>
      </c>
      <c r="B2719" t="s">
        <v>19</v>
      </c>
      <c r="C2719">
        <v>3</v>
      </c>
      <c r="D2719" s="9">
        <v>1350</v>
      </c>
      <c r="E2719" s="9">
        <f>+Tablo3[[#This Row],[Birim Fiyat]]*Tablo3[[#This Row],[Satış Adet]]</f>
        <v>4050</v>
      </c>
      <c r="F2719" s="9">
        <v>1650</v>
      </c>
      <c r="G2719" t="s">
        <v>66</v>
      </c>
      <c r="H2719" t="s">
        <v>20</v>
      </c>
    </row>
    <row r="2720" spans="1:8" x14ac:dyDescent="0.25">
      <c r="A2720" t="s">
        <v>12</v>
      </c>
      <c r="B2720" t="s">
        <v>25</v>
      </c>
      <c r="C2720">
        <v>4</v>
      </c>
      <c r="D2720" s="9">
        <v>7250</v>
      </c>
      <c r="E2720" s="9">
        <f>+Tablo3[[#This Row],[Birim Fiyat]]*Tablo3[[#This Row],[Satış Adet]]</f>
        <v>29000</v>
      </c>
      <c r="F2720" s="9">
        <v>9000</v>
      </c>
      <c r="G2720" t="s">
        <v>66</v>
      </c>
      <c r="H2720" t="s">
        <v>39</v>
      </c>
    </row>
    <row r="2721" spans="1:8" x14ac:dyDescent="0.25">
      <c r="A2721" t="s">
        <v>30</v>
      </c>
      <c r="B2721" t="s">
        <v>23</v>
      </c>
      <c r="C2721">
        <v>2</v>
      </c>
      <c r="D2721" s="9">
        <v>7600</v>
      </c>
      <c r="E2721" s="9">
        <f>+Tablo3[[#This Row],[Birim Fiyat]]*Tablo3[[#This Row],[Satış Adet]]</f>
        <v>15200</v>
      </c>
      <c r="F2721" s="9">
        <v>3200</v>
      </c>
      <c r="G2721" t="s">
        <v>66</v>
      </c>
      <c r="H2721" t="s">
        <v>35</v>
      </c>
    </row>
    <row r="2722" spans="1:8" x14ac:dyDescent="0.25">
      <c r="A2722" t="s">
        <v>48</v>
      </c>
      <c r="B2722" t="s">
        <v>23</v>
      </c>
      <c r="C2722">
        <v>2</v>
      </c>
      <c r="D2722" s="9">
        <v>7600</v>
      </c>
      <c r="E2722" s="9">
        <f>+Tablo3[[#This Row],[Birim Fiyat]]*Tablo3[[#This Row],[Satış Adet]]</f>
        <v>15200</v>
      </c>
      <c r="F2722" s="9">
        <v>3200</v>
      </c>
      <c r="G2722" t="s">
        <v>66</v>
      </c>
      <c r="H2722" t="s">
        <v>42</v>
      </c>
    </row>
    <row r="2723" spans="1:8" x14ac:dyDescent="0.25">
      <c r="A2723" t="s">
        <v>12</v>
      </c>
      <c r="B2723" t="s">
        <v>41</v>
      </c>
      <c r="C2723">
        <v>2</v>
      </c>
      <c r="D2723" s="9">
        <v>1490</v>
      </c>
      <c r="E2723" s="9">
        <f>+Tablo3[[#This Row],[Birim Fiyat]]*Tablo3[[#This Row],[Satış Adet]]</f>
        <v>2980</v>
      </c>
      <c r="F2723" s="9">
        <v>1380</v>
      </c>
      <c r="G2723" t="s">
        <v>66</v>
      </c>
      <c r="H2723" t="s">
        <v>40</v>
      </c>
    </row>
    <row r="2724" spans="1:8" x14ac:dyDescent="0.25">
      <c r="A2724" t="s">
        <v>67</v>
      </c>
      <c r="B2724" t="s">
        <v>49</v>
      </c>
      <c r="C2724">
        <v>2</v>
      </c>
      <c r="D2724" s="9">
        <v>2900</v>
      </c>
      <c r="E2724" s="9">
        <f>+Tablo3[[#This Row],[Birim Fiyat]]*Tablo3[[#This Row],[Satış Adet]]</f>
        <v>5800</v>
      </c>
      <c r="F2724" s="9">
        <v>1800</v>
      </c>
      <c r="G2724" t="s">
        <v>66</v>
      </c>
      <c r="H2724" t="s">
        <v>11</v>
      </c>
    </row>
    <row r="2725" spans="1:8" x14ac:dyDescent="0.25">
      <c r="A2725" t="s">
        <v>38</v>
      </c>
      <c r="B2725" t="s">
        <v>41</v>
      </c>
      <c r="C2725">
        <v>4</v>
      </c>
      <c r="D2725" s="9">
        <v>1490</v>
      </c>
      <c r="E2725" s="9">
        <f>+Tablo3[[#This Row],[Birim Fiyat]]*Tablo3[[#This Row],[Satış Adet]]</f>
        <v>5960</v>
      </c>
      <c r="F2725" s="9">
        <v>2760</v>
      </c>
      <c r="G2725" t="s">
        <v>66</v>
      </c>
      <c r="H2725" t="s">
        <v>44</v>
      </c>
    </row>
    <row r="2726" spans="1:8" x14ac:dyDescent="0.25">
      <c r="A2726" t="s">
        <v>38</v>
      </c>
      <c r="B2726" t="s">
        <v>32</v>
      </c>
      <c r="C2726">
        <v>4</v>
      </c>
      <c r="D2726" s="9">
        <v>1090</v>
      </c>
      <c r="E2726" s="9">
        <f>+Tablo3[[#This Row],[Birim Fiyat]]*Tablo3[[#This Row],[Satış Adet]]</f>
        <v>4360</v>
      </c>
      <c r="F2726" s="9">
        <v>1160</v>
      </c>
      <c r="G2726" t="s">
        <v>66</v>
      </c>
      <c r="H2726" t="s">
        <v>44</v>
      </c>
    </row>
    <row r="2727" spans="1:8" x14ac:dyDescent="0.25">
      <c r="A2727" t="s">
        <v>67</v>
      </c>
      <c r="B2727" t="s">
        <v>28</v>
      </c>
      <c r="C2727">
        <v>5</v>
      </c>
      <c r="D2727" s="9">
        <v>1200</v>
      </c>
      <c r="E2727" s="9">
        <f>+Tablo3[[#This Row],[Birim Fiyat]]*Tablo3[[#This Row],[Satış Adet]]</f>
        <v>6000</v>
      </c>
      <c r="F2727" s="9">
        <v>2000</v>
      </c>
      <c r="G2727" t="s">
        <v>66</v>
      </c>
      <c r="H2727" t="s">
        <v>44</v>
      </c>
    </row>
    <row r="2728" spans="1:8" x14ac:dyDescent="0.25">
      <c r="A2728" t="s">
        <v>36</v>
      </c>
      <c r="B2728" t="s">
        <v>37</v>
      </c>
      <c r="C2728">
        <v>2</v>
      </c>
      <c r="D2728" s="9">
        <v>10590</v>
      </c>
      <c r="E2728" s="9">
        <f>+Tablo3[[#This Row],[Birim Fiyat]]*Tablo3[[#This Row],[Satış Adet]]</f>
        <v>21180</v>
      </c>
      <c r="F2728" s="9">
        <v>9180</v>
      </c>
      <c r="G2728" t="s">
        <v>66</v>
      </c>
      <c r="H2728" t="s">
        <v>35</v>
      </c>
    </row>
    <row r="2729" spans="1:8" x14ac:dyDescent="0.25">
      <c r="A2729" t="s">
        <v>30</v>
      </c>
      <c r="B2729" t="s">
        <v>43</v>
      </c>
      <c r="C2729">
        <v>4</v>
      </c>
      <c r="D2729" s="9">
        <v>4200</v>
      </c>
      <c r="E2729" s="9">
        <f>+Tablo3[[#This Row],[Birim Fiyat]]*Tablo3[[#This Row],[Satış Adet]]</f>
        <v>16800</v>
      </c>
      <c r="F2729" s="9">
        <v>4800</v>
      </c>
      <c r="G2729" t="s">
        <v>66</v>
      </c>
      <c r="H2729" t="s">
        <v>27</v>
      </c>
    </row>
    <row r="2730" spans="1:8" x14ac:dyDescent="0.25">
      <c r="A2730" t="s">
        <v>18</v>
      </c>
      <c r="B2730" t="s">
        <v>43</v>
      </c>
      <c r="C2730">
        <v>2</v>
      </c>
      <c r="D2730" s="9">
        <v>4200</v>
      </c>
      <c r="E2730" s="9">
        <f>+Tablo3[[#This Row],[Birim Fiyat]]*Tablo3[[#This Row],[Satış Adet]]</f>
        <v>8400</v>
      </c>
      <c r="F2730" s="9">
        <v>2400</v>
      </c>
      <c r="G2730" t="s">
        <v>66</v>
      </c>
      <c r="H2730" t="s">
        <v>44</v>
      </c>
    </row>
    <row r="2731" spans="1:8" x14ac:dyDescent="0.25">
      <c r="A2731" t="s">
        <v>33</v>
      </c>
      <c r="B2731" t="s">
        <v>37</v>
      </c>
      <c r="C2731">
        <v>5</v>
      </c>
      <c r="D2731" s="9">
        <v>10590</v>
      </c>
      <c r="E2731" s="9">
        <f>+Tablo3[[#This Row],[Birim Fiyat]]*Tablo3[[#This Row],[Satış Adet]]</f>
        <v>52950</v>
      </c>
      <c r="F2731" s="9">
        <v>22950</v>
      </c>
      <c r="G2731" t="s">
        <v>66</v>
      </c>
      <c r="H2731" t="s">
        <v>44</v>
      </c>
    </row>
    <row r="2732" spans="1:8" x14ac:dyDescent="0.25">
      <c r="A2732" t="s">
        <v>48</v>
      </c>
      <c r="B2732" t="s">
        <v>50</v>
      </c>
      <c r="C2732">
        <v>3</v>
      </c>
      <c r="D2732" s="9">
        <v>1250</v>
      </c>
      <c r="E2732" s="9">
        <f>+Tablo3[[#This Row],[Birim Fiyat]]*Tablo3[[#This Row],[Satış Adet]]</f>
        <v>3750</v>
      </c>
      <c r="F2732" s="9">
        <v>1350</v>
      </c>
      <c r="G2732" t="s">
        <v>66</v>
      </c>
      <c r="H2732" t="s">
        <v>52</v>
      </c>
    </row>
    <row r="2733" spans="1:8" x14ac:dyDescent="0.25">
      <c r="A2733" t="s">
        <v>8</v>
      </c>
      <c r="B2733" t="s">
        <v>41</v>
      </c>
      <c r="C2733">
        <v>3</v>
      </c>
      <c r="D2733" s="9">
        <v>1490</v>
      </c>
      <c r="E2733" s="9">
        <f>+Tablo3[[#This Row],[Birim Fiyat]]*Tablo3[[#This Row],[Satış Adet]]</f>
        <v>4470</v>
      </c>
      <c r="F2733" s="9">
        <v>2070</v>
      </c>
      <c r="G2733" t="s">
        <v>66</v>
      </c>
      <c r="H2733" t="s">
        <v>14</v>
      </c>
    </row>
    <row r="2734" spans="1:8" x14ac:dyDescent="0.25">
      <c r="A2734" t="s">
        <v>30</v>
      </c>
      <c r="B2734" t="s">
        <v>28</v>
      </c>
      <c r="C2734">
        <v>5</v>
      </c>
      <c r="D2734" s="9">
        <v>1200</v>
      </c>
      <c r="E2734" s="9">
        <f>+Tablo3[[#This Row],[Birim Fiyat]]*Tablo3[[#This Row],[Satış Adet]]</f>
        <v>6000</v>
      </c>
      <c r="F2734" s="9">
        <v>2000</v>
      </c>
      <c r="G2734" t="s">
        <v>66</v>
      </c>
      <c r="H2734" t="s">
        <v>14</v>
      </c>
    </row>
    <row r="2735" spans="1:8" x14ac:dyDescent="0.25">
      <c r="A2735" t="s">
        <v>15</v>
      </c>
      <c r="B2735" t="s">
        <v>21</v>
      </c>
      <c r="C2735">
        <v>5</v>
      </c>
      <c r="D2735" s="9">
        <v>2180</v>
      </c>
      <c r="E2735" s="9">
        <f>+Tablo3[[#This Row],[Birim Fiyat]]*Tablo3[[#This Row],[Satış Adet]]</f>
        <v>10900</v>
      </c>
      <c r="F2735" s="9">
        <v>3400</v>
      </c>
      <c r="G2735" t="s">
        <v>66</v>
      </c>
      <c r="H2735" t="s">
        <v>17</v>
      </c>
    </row>
    <row r="2736" spans="1:8" x14ac:dyDescent="0.25">
      <c r="A2736" t="s">
        <v>38</v>
      </c>
      <c r="B2736" t="s">
        <v>51</v>
      </c>
      <c r="C2736">
        <v>2</v>
      </c>
      <c r="D2736" s="9">
        <v>1200</v>
      </c>
      <c r="E2736" s="9">
        <f>+Tablo3[[#This Row],[Birim Fiyat]]*Tablo3[[#This Row],[Satış Adet]]</f>
        <v>2400</v>
      </c>
      <c r="F2736" s="9">
        <v>800</v>
      </c>
      <c r="G2736" t="s">
        <v>66</v>
      </c>
      <c r="H2736" t="s">
        <v>44</v>
      </c>
    </row>
    <row r="2737" spans="1:8" x14ac:dyDescent="0.25">
      <c r="A2737" t="s">
        <v>8</v>
      </c>
      <c r="B2737" t="s">
        <v>31</v>
      </c>
      <c r="C2737">
        <v>2</v>
      </c>
      <c r="D2737" s="9">
        <v>1800</v>
      </c>
      <c r="E2737" s="9">
        <f>+Tablo3[[#This Row],[Birim Fiyat]]*Tablo3[[#This Row],[Satış Adet]]</f>
        <v>3600</v>
      </c>
      <c r="F2737" s="9">
        <v>2000</v>
      </c>
      <c r="G2737" t="s">
        <v>66</v>
      </c>
      <c r="H2737" t="s">
        <v>29</v>
      </c>
    </row>
    <row r="2738" spans="1:8" x14ac:dyDescent="0.25">
      <c r="A2738" t="s">
        <v>15</v>
      </c>
      <c r="B2738" t="s">
        <v>23</v>
      </c>
      <c r="C2738">
        <v>2</v>
      </c>
      <c r="D2738" s="9">
        <v>7600</v>
      </c>
      <c r="E2738" s="9">
        <f>+Tablo3[[#This Row],[Birim Fiyat]]*Tablo3[[#This Row],[Satış Adet]]</f>
        <v>15200</v>
      </c>
      <c r="F2738" s="9">
        <v>3200</v>
      </c>
      <c r="G2738" t="s">
        <v>66</v>
      </c>
      <c r="H2738" t="s">
        <v>27</v>
      </c>
    </row>
    <row r="2739" spans="1:8" x14ac:dyDescent="0.25">
      <c r="A2739" t="s">
        <v>33</v>
      </c>
      <c r="B2739" t="s">
        <v>53</v>
      </c>
      <c r="C2739">
        <v>4</v>
      </c>
      <c r="D2739" s="9">
        <v>7530</v>
      </c>
      <c r="E2739" s="9">
        <f>+Tablo3[[#This Row],[Birim Fiyat]]*Tablo3[[#This Row],[Satış Adet]]</f>
        <v>30120</v>
      </c>
      <c r="F2739" s="9">
        <v>6120</v>
      </c>
      <c r="G2739" t="s">
        <v>66</v>
      </c>
      <c r="H2739" t="s">
        <v>40</v>
      </c>
    </row>
    <row r="2740" spans="1:8" x14ac:dyDescent="0.25">
      <c r="A2740" t="s">
        <v>48</v>
      </c>
      <c r="B2740" t="s">
        <v>41</v>
      </c>
      <c r="C2740">
        <v>5</v>
      </c>
      <c r="D2740" s="9">
        <v>1490</v>
      </c>
      <c r="E2740" s="9">
        <f>+Tablo3[[#This Row],[Birim Fiyat]]*Tablo3[[#This Row],[Satış Adet]]</f>
        <v>7450</v>
      </c>
      <c r="F2740" s="9">
        <v>3450</v>
      </c>
      <c r="G2740" t="s">
        <v>66</v>
      </c>
      <c r="H2740" t="s">
        <v>27</v>
      </c>
    </row>
    <row r="2741" spans="1:8" x14ac:dyDescent="0.25">
      <c r="A2741" t="s">
        <v>8</v>
      </c>
      <c r="B2741" t="s">
        <v>54</v>
      </c>
      <c r="C2741">
        <v>3</v>
      </c>
      <c r="D2741" s="9">
        <v>5300</v>
      </c>
      <c r="E2741" s="9">
        <f>+Tablo3[[#This Row],[Birim Fiyat]]*Tablo3[[#This Row],[Satış Adet]]</f>
        <v>15900</v>
      </c>
      <c r="F2741" s="9">
        <v>3900</v>
      </c>
      <c r="G2741" t="s">
        <v>66</v>
      </c>
      <c r="H2741" t="s">
        <v>39</v>
      </c>
    </row>
    <row r="2742" spans="1:8" x14ac:dyDescent="0.25">
      <c r="A2742" t="s">
        <v>22</v>
      </c>
      <c r="B2742" t="s">
        <v>28</v>
      </c>
      <c r="C2742">
        <v>2</v>
      </c>
      <c r="D2742" s="9">
        <v>1200</v>
      </c>
      <c r="E2742" s="9">
        <f>+Tablo3[[#This Row],[Birim Fiyat]]*Tablo3[[#This Row],[Satış Adet]]</f>
        <v>2400</v>
      </c>
      <c r="F2742" s="9">
        <v>800</v>
      </c>
      <c r="G2742" t="s">
        <v>66</v>
      </c>
      <c r="H2742" t="s">
        <v>17</v>
      </c>
    </row>
    <row r="2743" spans="1:8" x14ac:dyDescent="0.25">
      <c r="A2743" t="s">
        <v>38</v>
      </c>
      <c r="B2743" t="s">
        <v>32</v>
      </c>
      <c r="C2743">
        <v>3</v>
      </c>
      <c r="D2743" s="9">
        <v>1090</v>
      </c>
      <c r="E2743" s="9">
        <f>+Tablo3[[#This Row],[Birim Fiyat]]*Tablo3[[#This Row],[Satış Adet]]</f>
        <v>3270</v>
      </c>
      <c r="F2743" s="9">
        <v>870</v>
      </c>
      <c r="G2743" t="s">
        <v>66</v>
      </c>
      <c r="H2743" t="s">
        <v>29</v>
      </c>
    </row>
    <row r="2744" spans="1:8" x14ac:dyDescent="0.25">
      <c r="A2744" t="s">
        <v>22</v>
      </c>
      <c r="B2744" t="s">
        <v>25</v>
      </c>
      <c r="C2744">
        <v>4</v>
      </c>
      <c r="D2744" s="9">
        <v>7250</v>
      </c>
      <c r="E2744" s="9">
        <f>+Tablo3[[#This Row],[Birim Fiyat]]*Tablo3[[#This Row],[Satış Adet]]</f>
        <v>29000</v>
      </c>
      <c r="F2744" s="9">
        <v>9000</v>
      </c>
      <c r="G2744" t="s">
        <v>66</v>
      </c>
      <c r="H2744" t="s">
        <v>35</v>
      </c>
    </row>
    <row r="2745" spans="1:8" x14ac:dyDescent="0.25">
      <c r="A2745" t="s">
        <v>46</v>
      </c>
      <c r="B2745" t="s">
        <v>13</v>
      </c>
      <c r="C2745">
        <v>4</v>
      </c>
      <c r="D2745" s="9">
        <v>1400</v>
      </c>
      <c r="E2745" s="9">
        <f>+Tablo3[[#This Row],[Birim Fiyat]]*Tablo3[[#This Row],[Satış Adet]]</f>
        <v>5600</v>
      </c>
      <c r="F2745" s="9">
        <v>2400</v>
      </c>
      <c r="G2745" t="s">
        <v>66</v>
      </c>
      <c r="H2745" t="s">
        <v>24</v>
      </c>
    </row>
    <row r="2746" spans="1:8" x14ac:dyDescent="0.25">
      <c r="A2746" t="s">
        <v>15</v>
      </c>
      <c r="B2746" t="s">
        <v>55</v>
      </c>
      <c r="C2746">
        <v>3</v>
      </c>
      <c r="D2746" s="9">
        <v>1500</v>
      </c>
      <c r="E2746" s="9">
        <f>+Tablo3[[#This Row],[Birim Fiyat]]*Tablo3[[#This Row],[Satış Adet]]</f>
        <v>4500</v>
      </c>
      <c r="F2746" s="9">
        <v>2100</v>
      </c>
      <c r="G2746" t="s">
        <v>66</v>
      </c>
      <c r="H2746" t="s">
        <v>52</v>
      </c>
    </row>
    <row r="2747" spans="1:8" x14ac:dyDescent="0.25">
      <c r="A2747" t="s">
        <v>33</v>
      </c>
      <c r="B2747" t="s">
        <v>19</v>
      </c>
      <c r="C2747">
        <v>3</v>
      </c>
      <c r="D2747" s="9">
        <v>1350</v>
      </c>
      <c r="E2747" s="9">
        <f>+Tablo3[[#This Row],[Birim Fiyat]]*Tablo3[[#This Row],[Satış Adet]]</f>
        <v>4050</v>
      </c>
      <c r="F2747" s="9">
        <v>1650</v>
      </c>
      <c r="G2747" t="s">
        <v>66</v>
      </c>
      <c r="H2747" t="s">
        <v>14</v>
      </c>
    </row>
    <row r="2748" spans="1:8" x14ac:dyDescent="0.25">
      <c r="A2748" t="s">
        <v>33</v>
      </c>
      <c r="B2748" t="s">
        <v>28</v>
      </c>
      <c r="C2748">
        <v>2</v>
      </c>
      <c r="D2748" s="9">
        <v>1200</v>
      </c>
      <c r="E2748" s="9">
        <f>+Tablo3[[#This Row],[Birim Fiyat]]*Tablo3[[#This Row],[Satış Adet]]</f>
        <v>2400</v>
      </c>
      <c r="F2748" s="9">
        <v>800</v>
      </c>
      <c r="G2748" t="s">
        <v>66</v>
      </c>
      <c r="H2748" t="s">
        <v>39</v>
      </c>
    </row>
    <row r="2749" spans="1:8" x14ac:dyDescent="0.25">
      <c r="A2749" t="s">
        <v>12</v>
      </c>
      <c r="B2749" t="s">
        <v>53</v>
      </c>
      <c r="C2749">
        <v>2</v>
      </c>
      <c r="D2749" s="9">
        <v>7530</v>
      </c>
      <c r="E2749" s="9">
        <f>+Tablo3[[#This Row],[Birim Fiyat]]*Tablo3[[#This Row],[Satış Adet]]</f>
        <v>15060</v>
      </c>
      <c r="F2749" s="9">
        <v>3060</v>
      </c>
      <c r="G2749" t="s">
        <v>66</v>
      </c>
      <c r="H2749" t="s">
        <v>42</v>
      </c>
    </row>
    <row r="2750" spans="1:8" x14ac:dyDescent="0.25">
      <c r="A2750" t="s">
        <v>46</v>
      </c>
      <c r="B2750" t="s">
        <v>28</v>
      </c>
      <c r="C2750">
        <v>2</v>
      </c>
      <c r="D2750" s="9">
        <v>1200</v>
      </c>
      <c r="E2750" s="9">
        <f>+Tablo3[[#This Row],[Birim Fiyat]]*Tablo3[[#This Row],[Satış Adet]]</f>
        <v>2400</v>
      </c>
      <c r="F2750" s="9">
        <v>800</v>
      </c>
      <c r="G2750" t="s">
        <v>66</v>
      </c>
      <c r="H2750" t="s">
        <v>11</v>
      </c>
    </row>
    <row r="2751" spans="1:8" x14ac:dyDescent="0.25">
      <c r="A2751" t="s">
        <v>36</v>
      </c>
      <c r="B2751" t="s">
        <v>31</v>
      </c>
      <c r="C2751">
        <v>2</v>
      </c>
      <c r="D2751" s="9">
        <v>1800</v>
      </c>
      <c r="E2751" s="9">
        <f>+Tablo3[[#This Row],[Birim Fiyat]]*Tablo3[[#This Row],[Satış Adet]]</f>
        <v>3600</v>
      </c>
      <c r="F2751" s="9">
        <v>2000</v>
      </c>
      <c r="G2751" t="s">
        <v>66</v>
      </c>
      <c r="H2751" t="s">
        <v>35</v>
      </c>
    </row>
    <row r="2752" spans="1:8" x14ac:dyDescent="0.25">
      <c r="A2752" t="s">
        <v>8</v>
      </c>
      <c r="B2752" t="s">
        <v>25</v>
      </c>
      <c r="C2752">
        <v>2</v>
      </c>
      <c r="D2752" s="9">
        <v>7250</v>
      </c>
      <c r="E2752" s="9">
        <f>+Tablo3[[#This Row],[Birim Fiyat]]*Tablo3[[#This Row],[Satış Adet]]</f>
        <v>14500</v>
      </c>
      <c r="F2752" s="9">
        <v>4500</v>
      </c>
      <c r="G2752" t="s">
        <v>66</v>
      </c>
      <c r="H2752" t="s">
        <v>24</v>
      </c>
    </row>
    <row r="2753" spans="1:8" x14ac:dyDescent="0.25">
      <c r="A2753" t="s">
        <v>38</v>
      </c>
      <c r="B2753" t="s">
        <v>41</v>
      </c>
      <c r="C2753">
        <v>4</v>
      </c>
      <c r="D2753" s="9">
        <v>1490</v>
      </c>
      <c r="E2753" s="9">
        <f>+Tablo3[[#This Row],[Birim Fiyat]]*Tablo3[[#This Row],[Satış Adet]]</f>
        <v>5960</v>
      </c>
      <c r="F2753" s="9">
        <v>2760</v>
      </c>
      <c r="G2753" t="s">
        <v>66</v>
      </c>
      <c r="H2753" t="s">
        <v>14</v>
      </c>
    </row>
    <row r="2754" spans="1:8" x14ac:dyDescent="0.25">
      <c r="A2754" t="s">
        <v>38</v>
      </c>
      <c r="B2754" t="s">
        <v>51</v>
      </c>
      <c r="C2754">
        <v>2</v>
      </c>
      <c r="D2754" s="9">
        <v>1200</v>
      </c>
      <c r="E2754" s="9">
        <f>+Tablo3[[#This Row],[Birim Fiyat]]*Tablo3[[#This Row],[Satış Adet]]</f>
        <v>2400</v>
      </c>
      <c r="F2754" s="9">
        <v>800</v>
      </c>
      <c r="G2754" t="s">
        <v>66</v>
      </c>
      <c r="H2754" t="s">
        <v>20</v>
      </c>
    </row>
    <row r="2755" spans="1:8" x14ac:dyDescent="0.25">
      <c r="A2755" t="s">
        <v>12</v>
      </c>
      <c r="B2755" t="s">
        <v>34</v>
      </c>
      <c r="C2755">
        <v>5</v>
      </c>
      <c r="D2755" s="9">
        <v>8000</v>
      </c>
      <c r="E2755" s="9">
        <f>+Tablo3[[#This Row],[Birim Fiyat]]*Tablo3[[#This Row],[Satış Adet]]</f>
        <v>40000</v>
      </c>
      <c r="F2755" s="9">
        <v>10000</v>
      </c>
      <c r="G2755" t="s">
        <v>66</v>
      </c>
      <c r="H2755" t="s">
        <v>20</v>
      </c>
    </row>
    <row r="2756" spans="1:8" x14ac:dyDescent="0.25">
      <c r="A2756" t="s">
        <v>30</v>
      </c>
      <c r="B2756" t="s">
        <v>13</v>
      </c>
      <c r="C2756">
        <v>5</v>
      </c>
      <c r="D2756" s="9">
        <v>1400</v>
      </c>
      <c r="E2756" s="9">
        <f>+Tablo3[[#This Row],[Birim Fiyat]]*Tablo3[[#This Row],[Satış Adet]]</f>
        <v>7000</v>
      </c>
      <c r="F2756" s="9">
        <v>3000</v>
      </c>
      <c r="G2756" t="s">
        <v>66</v>
      </c>
      <c r="H2756" t="s">
        <v>42</v>
      </c>
    </row>
    <row r="2757" spans="1:8" x14ac:dyDescent="0.25">
      <c r="A2757" t="s">
        <v>67</v>
      </c>
      <c r="B2757" t="s">
        <v>19</v>
      </c>
      <c r="C2757">
        <v>4</v>
      </c>
      <c r="D2757" s="9">
        <v>1350</v>
      </c>
      <c r="E2757" s="9">
        <f>+Tablo3[[#This Row],[Birim Fiyat]]*Tablo3[[#This Row],[Satış Adet]]</f>
        <v>5400</v>
      </c>
      <c r="F2757" s="9">
        <v>2200</v>
      </c>
      <c r="G2757" t="s">
        <v>66</v>
      </c>
      <c r="H2757" t="s">
        <v>39</v>
      </c>
    </row>
    <row r="2758" spans="1:8" x14ac:dyDescent="0.25">
      <c r="A2758" t="s">
        <v>36</v>
      </c>
      <c r="B2758" t="s">
        <v>51</v>
      </c>
      <c r="C2758">
        <v>4</v>
      </c>
      <c r="D2758" s="9">
        <v>1200</v>
      </c>
      <c r="E2758" s="9">
        <f>+Tablo3[[#This Row],[Birim Fiyat]]*Tablo3[[#This Row],[Satış Adet]]</f>
        <v>4800</v>
      </c>
      <c r="F2758" s="9">
        <v>1600</v>
      </c>
      <c r="G2758" t="s">
        <v>66</v>
      </c>
      <c r="H2758" t="s">
        <v>52</v>
      </c>
    </row>
    <row r="2759" spans="1:8" x14ac:dyDescent="0.25">
      <c r="A2759" t="s">
        <v>30</v>
      </c>
      <c r="B2759" t="s">
        <v>54</v>
      </c>
      <c r="C2759">
        <v>2</v>
      </c>
      <c r="D2759" s="9">
        <v>5300</v>
      </c>
      <c r="E2759" s="9">
        <f>+Tablo3[[#This Row],[Birim Fiyat]]*Tablo3[[#This Row],[Satış Adet]]</f>
        <v>10600</v>
      </c>
      <c r="F2759" s="9">
        <v>2600</v>
      </c>
      <c r="G2759" t="s">
        <v>66</v>
      </c>
      <c r="H2759" t="s">
        <v>42</v>
      </c>
    </row>
    <row r="2760" spans="1:8" x14ac:dyDescent="0.25">
      <c r="A2760" t="s">
        <v>38</v>
      </c>
      <c r="B2760" t="s">
        <v>37</v>
      </c>
      <c r="C2760">
        <v>3</v>
      </c>
      <c r="D2760" s="9">
        <v>10590</v>
      </c>
      <c r="E2760" s="9">
        <f>+Tablo3[[#This Row],[Birim Fiyat]]*Tablo3[[#This Row],[Satış Adet]]</f>
        <v>31770</v>
      </c>
      <c r="F2760" s="9">
        <v>13770</v>
      </c>
      <c r="G2760" t="s">
        <v>66</v>
      </c>
      <c r="H2760" t="s">
        <v>52</v>
      </c>
    </row>
    <row r="2761" spans="1:8" x14ac:dyDescent="0.25">
      <c r="A2761" t="s">
        <v>22</v>
      </c>
      <c r="B2761" t="s">
        <v>50</v>
      </c>
      <c r="C2761">
        <v>2</v>
      </c>
      <c r="D2761" s="9">
        <v>1250</v>
      </c>
      <c r="E2761" s="9">
        <f>+Tablo3[[#This Row],[Birim Fiyat]]*Tablo3[[#This Row],[Satış Adet]]</f>
        <v>2500</v>
      </c>
      <c r="F2761" s="9">
        <v>900</v>
      </c>
      <c r="G2761" t="s">
        <v>66</v>
      </c>
      <c r="H2761" t="s">
        <v>44</v>
      </c>
    </row>
    <row r="2762" spans="1:8" x14ac:dyDescent="0.25">
      <c r="A2762" t="s">
        <v>48</v>
      </c>
      <c r="B2762" t="s">
        <v>51</v>
      </c>
      <c r="C2762">
        <v>5</v>
      </c>
      <c r="D2762" s="9">
        <v>1200</v>
      </c>
      <c r="E2762" s="9">
        <f>+Tablo3[[#This Row],[Birim Fiyat]]*Tablo3[[#This Row],[Satış Adet]]</f>
        <v>6000</v>
      </c>
      <c r="F2762" s="9">
        <v>2000</v>
      </c>
      <c r="G2762" t="s">
        <v>66</v>
      </c>
      <c r="H2762" t="s">
        <v>35</v>
      </c>
    </row>
    <row r="2763" spans="1:8" x14ac:dyDescent="0.25">
      <c r="A2763" t="s">
        <v>22</v>
      </c>
      <c r="B2763" t="s">
        <v>13</v>
      </c>
      <c r="C2763">
        <v>3</v>
      </c>
      <c r="D2763" s="9">
        <v>1400</v>
      </c>
      <c r="E2763" s="9">
        <f>+Tablo3[[#This Row],[Birim Fiyat]]*Tablo3[[#This Row],[Satış Adet]]</f>
        <v>4200</v>
      </c>
      <c r="F2763" s="9">
        <v>1800</v>
      </c>
      <c r="G2763" t="s">
        <v>66</v>
      </c>
      <c r="H2763" t="s">
        <v>14</v>
      </c>
    </row>
    <row r="2764" spans="1:8" x14ac:dyDescent="0.25">
      <c r="A2764" t="s">
        <v>48</v>
      </c>
      <c r="B2764" t="s">
        <v>53</v>
      </c>
      <c r="C2764">
        <v>5</v>
      </c>
      <c r="D2764" s="9">
        <v>7530</v>
      </c>
      <c r="E2764" s="9">
        <f>+Tablo3[[#This Row],[Birim Fiyat]]*Tablo3[[#This Row],[Satış Adet]]</f>
        <v>37650</v>
      </c>
      <c r="F2764" s="9">
        <v>7650</v>
      </c>
      <c r="G2764" t="s">
        <v>66</v>
      </c>
      <c r="H2764" t="s">
        <v>14</v>
      </c>
    </row>
    <row r="2765" spans="1:8" x14ac:dyDescent="0.25">
      <c r="A2765" t="s">
        <v>30</v>
      </c>
      <c r="B2765" t="s">
        <v>23</v>
      </c>
      <c r="C2765">
        <v>4</v>
      </c>
      <c r="D2765" s="9">
        <v>7600</v>
      </c>
      <c r="E2765" s="9">
        <f>+Tablo3[[#This Row],[Birim Fiyat]]*Tablo3[[#This Row],[Satış Adet]]</f>
        <v>30400</v>
      </c>
      <c r="F2765" s="9">
        <v>6400</v>
      </c>
      <c r="G2765" t="s">
        <v>66</v>
      </c>
      <c r="H2765" t="s">
        <v>29</v>
      </c>
    </row>
    <row r="2766" spans="1:8" x14ac:dyDescent="0.25">
      <c r="A2766" t="s">
        <v>48</v>
      </c>
      <c r="B2766" t="s">
        <v>55</v>
      </c>
      <c r="C2766">
        <v>4</v>
      </c>
      <c r="D2766" s="9">
        <v>1500</v>
      </c>
      <c r="E2766" s="9">
        <f>+Tablo3[[#This Row],[Birim Fiyat]]*Tablo3[[#This Row],[Satış Adet]]</f>
        <v>6000</v>
      </c>
      <c r="F2766" s="9">
        <v>2800</v>
      </c>
      <c r="G2766" t="s">
        <v>66</v>
      </c>
      <c r="H2766" t="s">
        <v>17</v>
      </c>
    </row>
    <row r="2767" spans="1:8" x14ac:dyDescent="0.25">
      <c r="A2767" t="s">
        <v>38</v>
      </c>
      <c r="B2767" t="s">
        <v>21</v>
      </c>
      <c r="C2767">
        <v>2</v>
      </c>
      <c r="D2767" s="9">
        <v>2180</v>
      </c>
      <c r="E2767" s="9">
        <f>+Tablo3[[#This Row],[Birim Fiyat]]*Tablo3[[#This Row],[Satış Adet]]</f>
        <v>4360</v>
      </c>
      <c r="F2767" s="9">
        <v>1360</v>
      </c>
      <c r="G2767" t="s">
        <v>66</v>
      </c>
      <c r="H2767" t="s">
        <v>11</v>
      </c>
    </row>
    <row r="2768" spans="1:8" x14ac:dyDescent="0.25">
      <c r="A2768" t="s">
        <v>18</v>
      </c>
      <c r="B2768" t="s">
        <v>21</v>
      </c>
      <c r="C2768">
        <v>5</v>
      </c>
      <c r="D2768" s="9">
        <v>2180</v>
      </c>
      <c r="E2768" s="9">
        <f>+Tablo3[[#This Row],[Birim Fiyat]]*Tablo3[[#This Row],[Satış Adet]]</f>
        <v>10900</v>
      </c>
      <c r="F2768" s="9">
        <v>3400</v>
      </c>
      <c r="G2768" t="s">
        <v>66</v>
      </c>
      <c r="H2768" t="s">
        <v>39</v>
      </c>
    </row>
    <row r="2769" spans="1:8" x14ac:dyDescent="0.25">
      <c r="A2769" t="s">
        <v>38</v>
      </c>
      <c r="B2769" t="s">
        <v>45</v>
      </c>
      <c r="C2769">
        <v>2</v>
      </c>
      <c r="D2769" s="9">
        <v>5775</v>
      </c>
      <c r="E2769" s="9">
        <f>+Tablo3[[#This Row],[Birim Fiyat]]*Tablo3[[#This Row],[Satış Adet]]</f>
        <v>11550</v>
      </c>
      <c r="F2769" s="9">
        <v>3550</v>
      </c>
      <c r="G2769" t="s">
        <v>66</v>
      </c>
      <c r="H2769" t="s">
        <v>39</v>
      </c>
    </row>
    <row r="2770" spans="1:8" x14ac:dyDescent="0.25">
      <c r="A2770" t="s">
        <v>38</v>
      </c>
      <c r="B2770" t="s">
        <v>26</v>
      </c>
      <c r="C2770">
        <v>5</v>
      </c>
      <c r="D2770" s="9">
        <v>1100</v>
      </c>
      <c r="E2770" s="9">
        <f>+Tablo3[[#This Row],[Birim Fiyat]]*Tablo3[[#This Row],[Satış Adet]]</f>
        <v>5500</v>
      </c>
      <c r="F2770" s="9">
        <v>1500</v>
      </c>
      <c r="G2770" t="s">
        <v>66</v>
      </c>
      <c r="H2770" t="s">
        <v>42</v>
      </c>
    </row>
    <row r="2771" spans="1:8" x14ac:dyDescent="0.25">
      <c r="A2771" t="s">
        <v>46</v>
      </c>
      <c r="B2771" t="s">
        <v>45</v>
      </c>
      <c r="C2771">
        <v>3</v>
      </c>
      <c r="D2771" s="9">
        <v>5775</v>
      </c>
      <c r="E2771" s="9">
        <f>+Tablo3[[#This Row],[Birim Fiyat]]*Tablo3[[#This Row],[Satış Adet]]</f>
        <v>17325</v>
      </c>
      <c r="F2771" s="9">
        <v>5325</v>
      </c>
      <c r="G2771" t="s">
        <v>66</v>
      </c>
      <c r="H2771" t="s">
        <v>40</v>
      </c>
    </row>
    <row r="2772" spans="1:8" x14ac:dyDescent="0.25">
      <c r="A2772" t="s">
        <v>33</v>
      </c>
      <c r="B2772" t="s">
        <v>19</v>
      </c>
      <c r="C2772">
        <v>2</v>
      </c>
      <c r="D2772" s="9">
        <v>1350</v>
      </c>
      <c r="E2772" s="9">
        <f>+Tablo3[[#This Row],[Birim Fiyat]]*Tablo3[[#This Row],[Satış Adet]]</f>
        <v>2700</v>
      </c>
      <c r="F2772" s="9">
        <v>1100</v>
      </c>
      <c r="G2772" t="s">
        <v>66</v>
      </c>
      <c r="H2772" t="s">
        <v>44</v>
      </c>
    </row>
    <row r="2773" spans="1:8" x14ac:dyDescent="0.25">
      <c r="A2773" t="s">
        <v>8</v>
      </c>
      <c r="B2773" t="s">
        <v>23</v>
      </c>
      <c r="C2773">
        <v>5</v>
      </c>
      <c r="D2773" s="9">
        <v>7600</v>
      </c>
      <c r="E2773" s="9">
        <f>+Tablo3[[#This Row],[Birim Fiyat]]*Tablo3[[#This Row],[Satış Adet]]</f>
        <v>38000</v>
      </c>
      <c r="F2773" s="9">
        <v>8000</v>
      </c>
      <c r="G2773" t="s">
        <v>66</v>
      </c>
      <c r="H2773" t="s">
        <v>17</v>
      </c>
    </row>
    <row r="2774" spans="1:8" x14ac:dyDescent="0.25">
      <c r="A2774" t="s">
        <v>15</v>
      </c>
      <c r="B2774" t="s">
        <v>25</v>
      </c>
      <c r="C2774">
        <v>5</v>
      </c>
      <c r="D2774" s="9">
        <v>7250</v>
      </c>
      <c r="E2774" s="9">
        <f>+Tablo3[[#This Row],[Birim Fiyat]]*Tablo3[[#This Row],[Satış Adet]]</f>
        <v>36250</v>
      </c>
      <c r="F2774" s="9">
        <v>11250</v>
      </c>
      <c r="G2774" t="s">
        <v>66</v>
      </c>
      <c r="H2774" t="s">
        <v>35</v>
      </c>
    </row>
    <row r="2775" spans="1:8" x14ac:dyDescent="0.25">
      <c r="A2775" t="s">
        <v>48</v>
      </c>
      <c r="B2775" t="s">
        <v>41</v>
      </c>
      <c r="C2775">
        <v>3</v>
      </c>
      <c r="D2775" s="9">
        <v>1490</v>
      </c>
      <c r="E2775" s="9">
        <f>+Tablo3[[#This Row],[Birim Fiyat]]*Tablo3[[#This Row],[Satış Adet]]</f>
        <v>4470</v>
      </c>
      <c r="F2775" s="9">
        <v>2070</v>
      </c>
      <c r="G2775" t="s">
        <v>66</v>
      </c>
      <c r="H2775" t="s">
        <v>29</v>
      </c>
    </row>
    <row r="2776" spans="1:8" x14ac:dyDescent="0.25">
      <c r="A2776" t="s">
        <v>18</v>
      </c>
      <c r="B2776" t="s">
        <v>41</v>
      </c>
      <c r="C2776">
        <v>2</v>
      </c>
      <c r="D2776" s="9">
        <v>1490</v>
      </c>
      <c r="E2776" s="9">
        <f>+Tablo3[[#This Row],[Birim Fiyat]]*Tablo3[[#This Row],[Satış Adet]]</f>
        <v>2980</v>
      </c>
      <c r="F2776" s="9">
        <v>1380</v>
      </c>
      <c r="G2776" t="s">
        <v>66</v>
      </c>
      <c r="H2776" t="s">
        <v>44</v>
      </c>
    </row>
    <row r="2777" spans="1:8" x14ac:dyDescent="0.25">
      <c r="A2777" t="s">
        <v>36</v>
      </c>
      <c r="B2777" t="s">
        <v>32</v>
      </c>
      <c r="C2777">
        <v>3</v>
      </c>
      <c r="D2777" s="9">
        <v>1090</v>
      </c>
      <c r="E2777" s="9">
        <f>+Tablo3[[#This Row],[Birim Fiyat]]*Tablo3[[#This Row],[Satış Adet]]</f>
        <v>3270</v>
      </c>
      <c r="F2777" s="9">
        <v>870</v>
      </c>
      <c r="G2777" t="s">
        <v>66</v>
      </c>
      <c r="H2777" t="s">
        <v>29</v>
      </c>
    </row>
    <row r="2778" spans="1:8" x14ac:dyDescent="0.25">
      <c r="A2778" t="s">
        <v>36</v>
      </c>
      <c r="B2778" t="s">
        <v>28</v>
      </c>
      <c r="C2778">
        <v>3</v>
      </c>
      <c r="D2778" s="9">
        <v>1200</v>
      </c>
      <c r="E2778" s="9">
        <f>+Tablo3[[#This Row],[Birim Fiyat]]*Tablo3[[#This Row],[Satış Adet]]</f>
        <v>3600</v>
      </c>
      <c r="F2778" s="9">
        <v>1200</v>
      </c>
      <c r="G2778" t="s">
        <v>66</v>
      </c>
      <c r="H2778" t="s">
        <v>40</v>
      </c>
    </row>
    <row r="2779" spans="1:8" x14ac:dyDescent="0.25">
      <c r="A2779" t="s">
        <v>48</v>
      </c>
      <c r="B2779" t="s">
        <v>32</v>
      </c>
      <c r="C2779">
        <v>2</v>
      </c>
      <c r="D2779" s="9">
        <v>1090</v>
      </c>
      <c r="E2779" s="9">
        <f>+Tablo3[[#This Row],[Birim Fiyat]]*Tablo3[[#This Row],[Satış Adet]]</f>
        <v>2180</v>
      </c>
      <c r="F2779" s="9">
        <v>580</v>
      </c>
      <c r="G2779" t="s">
        <v>66</v>
      </c>
      <c r="H2779" t="s">
        <v>52</v>
      </c>
    </row>
    <row r="2780" spans="1:8" x14ac:dyDescent="0.25">
      <c r="A2780" t="s">
        <v>48</v>
      </c>
      <c r="B2780" t="s">
        <v>21</v>
      </c>
      <c r="C2780">
        <v>2</v>
      </c>
      <c r="D2780" s="9">
        <v>2180</v>
      </c>
      <c r="E2780" s="9">
        <f>+Tablo3[[#This Row],[Birim Fiyat]]*Tablo3[[#This Row],[Satış Adet]]</f>
        <v>4360</v>
      </c>
      <c r="F2780" s="9">
        <v>1360</v>
      </c>
      <c r="G2780" t="s">
        <v>66</v>
      </c>
      <c r="H2780" t="s">
        <v>20</v>
      </c>
    </row>
    <row r="2781" spans="1:8" x14ac:dyDescent="0.25">
      <c r="A2781" t="s">
        <v>15</v>
      </c>
      <c r="B2781" t="s">
        <v>54</v>
      </c>
      <c r="C2781">
        <v>2</v>
      </c>
      <c r="D2781" s="9">
        <v>5300</v>
      </c>
      <c r="E2781" s="9">
        <f>+Tablo3[[#This Row],[Birim Fiyat]]*Tablo3[[#This Row],[Satış Adet]]</f>
        <v>10600</v>
      </c>
      <c r="F2781" s="9">
        <v>2600</v>
      </c>
      <c r="G2781" t="s">
        <v>66</v>
      </c>
      <c r="H2781" t="s">
        <v>52</v>
      </c>
    </row>
    <row r="2782" spans="1:8" x14ac:dyDescent="0.25">
      <c r="A2782" t="s">
        <v>48</v>
      </c>
      <c r="B2782" t="s">
        <v>54</v>
      </c>
      <c r="C2782">
        <v>4</v>
      </c>
      <c r="D2782" s="9">
        <v>5300</v>
      </c>
      <c r="E2782" s="9">
        <f>+Tablo3[[#This Row],[Birim Fiyat]]*Tablo3[[#This Row],[Satış Adet]]</f>
        <v>21200</v>
      </c>
      <c r="F2782" s="9">
        <v>5200</v>
      </c>
      <c r="G2782" t="s">
        <v>66</v>
      </c>
      <c r="H2782" t="s">
        <v>29</v>
      </c>
    </row>
    <row r="2783" spans="1:8" x14ac:dyDescent="0.25">
      <c r="A2783" t="s">
        <v>67</v>
      </c>
      <c r="B2783" t="s">
        <v>25</v>
      </c>
      <c r="C2783">
        <v>5</v>
      </c>
      <c r="D2783" s="9">
        <v>7250</v>
      </c>
      <c r="E2783" s="9">
        <f>+Tablo3[[#This Row],[Birim Fiyat]]*Tablo3[[#This Row],[Satış Adet]]</f>
        <v>36250</v>
      </c>
      <c r="F2783" s="9">
        <v>11250</v>
      </c>
      <c r="G2783" t="s">
        <v>66</v>
      </c>
      <c r="H2783" t="s">
        <v>11</v>
      </c>
    </row>
    <row r="2784" spans="1:8" x14ac:dyDescent="0.25">
      <c r="A2784" t="s">
        <v>67</v>
      </c>
      <c r="B2784" t="s">
        <v>51</v>
      </c>
      <c r="C2784">
        <v>4</v>
      </c>
      <c r="D2784" s="9">
        <v>1200</v>
      </c>
      <c r="E2784" s="9">
        <f>+Tablo3[[#This Row],[Birim Fiyat]]*Tablo3[[#This Row],[Satış Adet]]</f>
        <v>4800</v>
      </c>
      <c r="F2784" s="9">
        <v>1600</v>
      </c>
      <c r="G2784" t="s">
        <v>66</v>
      </c>
      <c r="H2784" t="s">
        <v>39</v>
      </c>
    </row>
    <row r="2785" spans="1:8" x14ac:dyDescent="0.25">
      <c r="A2785" t="s">
        <v>18</v>
      </c>
      <c r="B2785" t="s">
        <v>9</v>
      </c>
      <c r="C2785">
        <v>3</v>
      </c>
      <c r="D2785" s="9">
        <v>6000</v>
      </c>
      <c r="E2785" s="9">
        <f>+Tablo3[[#This Row],[Birim Fiyat]]*Tablo3[[#This Row],[Satış Adet]]</f>
        <v>18000</v>
      </c>
      <c r="F2785" s="9">
        <v>6000</v>
      </c>
      <c r="G2785" t="s">
        <v>66</v>
      </c>
      <c r="H2785" t="s">
        <v>27</v>
      </c>
    </row>
    <row r="2786" spans="1:8" x14ac:dyDescent="0.25">
      <c r="A2786" t="s">
        <v>15</v>
      </c>
      <c r="B2786" t="s">
        <v>16</v>
      </c>
      <c r="C2786">
        <v>4</v>
      </c>
      <c r="D2786" s="9">
        <v>8450</v>
      </c>
      <c r="E2786" s="9">
        <f>+Tablo3[[#This Row],[Birim Fiyat]]*Tablo3[[#This Row],[Satış Adet]]</f>
        <v>33800</v>
      </c>
      <c r="F2786" s="9">
        <v>9800</v>
      </c>
      <c r="G2786" t="s">
        <v>66</v>
      </c>
      <c r="H2786" t="s">
        <v>14</v>
      </c>
    </row>
    <row r="2787" spans="1:8" x14ac:dyDescent="0.25">
      <c r="A2787" t="s">
        <v>30</v>
      </c>
      <c r="B2787" t="s">
        <v>43</v>
      </c>
      <c r="C2787">
        <v>4</v>
      </c>
      <c r="D2787" s="9">
        <v>4200</v>
      </c>
      <c r="E2787" s="9">
        <f>+Tablo3[[#This Row],[Birim Fiyat]]*Tablo3[[#This Row],[Satış Adet]]</f>
        <v>16800</v>
      </c>
      <c r="F2787" s="9">
        <v>4800</v>
      </c>
      <c r="G2787" t="s">
        <v>66</v>
      </c>
      <c r="H2787" t="s">
        <v>20</v>
      </c>
    </row>
    <row r="2788" spans="1:8" x14ac:dyDescent="0.25">
      <c r="A2788" t="s">
        <v>30</v>
      </c>
      <c r="B2788" t="s">
        <v>37</v>
      </c>
      <c r="C2788">
        <v>2</v>
      </c>
      <c r="D2788" s="9">
        <v>10590</v>
      </c>
      <c r="E2788" s="9">
        <f>+Tablo3[[#This Row],[Birim Fiyat]]*Tablo3[[#This Row],[Satış Adet]]</f>
        <v>21180</v>
      </c>
      <c r="F2788" s="9">
        <v>9180</v>
      </c>
      <c r="G2788" t="s">
        <v>66</v>
      </c>
      <c r="H2788" t="s">
        <v>17</v>
      </c>
    </row>
    <row r="2789" spans="1:8" x14ac:dyDescent="0.25">
      <c r="A2789" t="s">
        <v>67</v>
      </c>
      <c r="B2789" t="s">
        <v>51</v>
      </c>
      <c r="C2789">
        <v>5</v>
      </c>
      <c r="D2789" s="9">
        <v>1200</v>
      </c>
      <c r="E2789" s="9">
        <f>+Tablo3[[#This Row],[Birim Fiyat]]*Tablo3[[#This Row],[Satış Adet]]</f>
        <v>6000</v>
      </c>
      <c r="F2789" s="9">
        <v>2000</v>
      </c>
      <c r="G2789" t="s">
        <v>66</v>
      </c>
      <c r="H2789" t="s">
        <v>11</v>
      </c>
    </row>
    <row r="2790" spans="1:8" x14ac:dyDescent="0.25">
      <c r="A2790" t="s">
        <v>46</v>
      </c>
      <c r="B2790" t="s">
        <v>26</v>
      </c>
      <c r="C2790">
        <v>2</v>
      </c>
      <c r="D2790" s="9">
        <v>1100</v>
      </c>
      <c r="E2790" s="9">
        <f>+Tablo3[[#This Row],[Birim Fiyat]]*Tablo3[[#This Row],[Satış Adet]]</f>
        <v>2200</v>
      </c>
      <c r="F2790" s="9">
        <v>600</v>
      </c>
      <c r="G2790" t="s">
        <v>66</v>
      </c>
      <c r="H2790" t="s">
        <v>24</v>
      </c>
    </row>
    <row r="2791" spans="1:8" x14ac:dyDescent="0.25">
      <c r="A2791" t="s">
        <v>38</v>
      </c>
      <c r="B2791" t="s">
        <v>56</v>
      </c>
      <c r="C2791">
        <v>3</v>
      </c>
      <c r="D2791" s="9">
        <v>3700</v>
      </c>
      <c r="E2791" s="9">
        <f>+Tablo3[[#This Row],[Birim Fiyat]]*Tablo3[[#This Row],[Satış Adet]]</f>
        <v>11100</v>
      </c>
      <c r="F2791" s="9">
        <v>2100</v>
      </c>
      <c r="G2791" t="s">
        <v>66</v>
      </c>
      <c r="H2791" t="s">
        <v>29</v>
      </c>
    </row>
    <row r="2792" spans="1:8" x14ac:dyDescent="0.25">
      <c r="A2792" t="s">
        <v>12</v>
      </c>
      <c r="B2792" t="s">
        <v>56</v>
      </c>
      <c r="C2792">
        <v>3</v>
      </c>
      <c r="D2792" s="9">
        <v>3700</v>
      </c>
      <c r="E2792" s="9">
        <f>+Tablo3[[#This Row],[Birim Fiyat]]*Tablo3[[#This Row],[Satış Adet]]</f>
        <v>11100</v>
      </c>
      <c r="F2792" s="9">
        <v>2100</v>
      </c>
      <c r="G2792" t="s">
        <v>66</v>
      </c>
      <c r="H2792" t="s">
        <v>27</v>
      </c>
    </row>
    <row r="2793" spans="1:8" x14ac:dyDescent="0.25">
      <c r="A2793" t="s">
        <v>30</v>
      </c>
      <c r="B2793" t="s">
        <v>26</v>
      </c>
      <c r="C2793">
        <v>4</v>
      </c>
      <c r="D2793" s="9">
        <v>1100</v>
      </c>
      <c r="E2793" s="9">
        <f>+Tablo3[[#This Row],[Birim Fiyat]]*Tablo3[[#This Row],[Satış Adet]]</f>
        <v>4400</v>
      </c>
      <c r="F2793" s="9">
        <v>1200</v>
      </c>
      <c r="G2793" t="s">
        <v>66</v>
      </c>
      <c r="H2793" t="s">
        <v>44</v>
      </c>
    </row>
    <row r="2794" spans="1:8" x14ac:dyDescent="0.25">
      <c r="A2794" t="s">
        <v>67</v>
      </c>
      <c r="B2794" t="s">
        <v>56</v>
      </c>
      <c r="C2794">
        <v>2</v>
      </c>
      <c r="D2794" s="9">
        <v>3700</v>
      </c>
      <c r="E2794" s="9">
        <f>+Tablo3[[#This Row],[Birim Fiyat]]*Tablo3[[#This Row],[Satış Adet]]</f>
        <v>7400</v>
      </c>
      <c r="F2794" s="9">
        <v>1400</v>
      </c>
      <c r="G2794" t="s">
        <v>66</v>
      </c>
      <c r="H2794" t="s">
        <v>17</v>
      </c>
    </row>
    <row r="2795" spans="1:8" x14ac:dyDescent="0.25">
      <c r="A2795" t="s">
        <v>46</v>
      </c>
      <c r="B2795" t="s">
        <v>41</v>
      </c>
      <c r="C2795">
        <v>5</v>
      </c>
      <c r="D2795" s="9">
        <v>1490</v>
      </c>
      <c r="E2795" s="9">
        <f>+Tablo3[[#This Row],[Birim Fiyat]]*Tablo3[[#This Row],[Satış Adet]]</f>
        <v>7450</v>
      </c>
      <c r="F2795" s="9">
        <v>3450</v>
      </c>
      <c r="G2795" t="s">
        <v>66</v>
      </c>
      <c r="H2795" t="s">
        <v>52</v>
      </c>
    </row>
    <row r="2796" spans="1:8" x14ac:dyDescent="0.25">
      <c r="A2796" t="s">
        <v>38</v>
      </c>
      <c r="B2796" t="s">
        <v>55</v>
      </c>
      <c r="C2796">
        <v>5</v>
      </c>
      <c r="D2796" s="9">
        <v>1500</v>
      </c>
      <c r="E2796" s="9">
        <f>+Tablo3[[#This Row],[Birim Fiyat]]*Tablo3[[#This Row],[Satış Adet]]</f>
        <v>7500</v>
      </c>
      <c r="F2796" s="9">
        <v>3500</v>
      </c>
      <c r="G2796" t="s">
        <v>66</v>
      </c>
      <c r="H2796" t="s">
        <v>44</v>
      </c>
    </row>
    <row r="2797" spans="1:8" x14ac:dyDescent="0.25">
      <c r="A2797" t="s">
        <v>36</v>
      </c>
      <c r="B2797" t="s">
        <v>32</v>
      </c>
      <c r="C2797">
        <v>5</v>
      </c>
      <c r="D2797" s="9">
        <v>1090</v>
      </c>
      <c r="E2797" s="9">
        <f>+Tablo3[[#This Row],[Birim Fiyat]]*Tablo3[[#This Row],[Satış Adet]]</f>
        <v>5450</v>
      </c>
      <c r="F2797" s="9">
        <v>1450</v>
      </c>
      <c r="G2797" t="s">
        <v>66</v>
      </c>
      <c r="H2797" t="s">
        <v>40</v>
      </c>
    </row>
    <row r="2798" spans="1:8" x14ac:dyDescent="0.25">
      <c r="A2798" t="s">
        <v>46</v>
      </c>
      <c r="B2798" t="s">
        <v>31</v>
      </c>
      <c r="C2798">
        <v>2</v>
      </c>
      <c r="D2798" s="9">
        <v>1800</v>
      </c>
      <c r="E2798" s="9">
        <f>+Tablo3[[#This Row],[Birim Fiyat]]*Tablo3[[#This Row],[Satış Adet]]</f>
        <v>3600</v>
      </c>
      <c r="F2798" s="9">
        <v>2000</v>
      </c>
      <c r="G2798" t="s">
        <v>66</v>
      </c>
      <c r="H2798" t="s">
        <v>24</v>
      </c>
    </row>
    <row r="2799" spans="1:8" x14ac:dyDescent="0.25">
      <c r="A2799" t="s">
        <v>33</v>
      </c>
      <c r="B2799" t="s">
        <v>53</v>
      </c>
      <c r="C2799">
        <v>4</v>
      </c>
      <c r="D2799" s="9">
        <v>7530</v>
      </c>
      <c r="E2799" s="9">
        <f>+Tablo3[[#This Row],[Birim Fiyat]]*Tablo3[[#This Row],[Satış Adet]]</f>
        <v>30120</v>
      </c>
      <c r="F2799" s="9">
        <v>6120</v>
      </c>
      <c r="G2799" t="s">
        <v>66</v>
      </c>
      <c r="H2799" t="s">
        <v>52</v>
      </c>
    </row>
    <row r="2800" spans="1:8" x14ac:dyDescent="0.25">
      <c r="A2800" t="s">
        <v>30</v>
      </c>
      <c r="B2800" t="s">
        <v>26</v>
      </c>
      <c r="C2800">
        <v>3</v>
      </c>
      <c r="D2800" s="9">
        <v>1100</v>
      </c>
      <c r="E2800" s="9">
        <f>+Tablo3[[#This Row],[Birim Fiyat]]*Tablo3[[#This Row],[Satış Adet]]</f>
        <v>3300</v>
      </c>
      <c r="F2800" s="9">
        <v>900</v>
      </c>
      <c r="G2800" t="s">
        <v>66</v>
      </c>
      <c r="H2800" t="s">
        <v>39</v>
      </c>
    </row>
    <row r="2801" spans="1:8" x14ac:dyDescent="0.25">
      <c r="A2801" t="s">
        <v>38</v>
      </c>
      <c r="B2801" t="s">
        <v>19</v>
      </c>
      <c r="C2801">
        <v>2</v>
      </c>
      <c r="D2801" s="9">
        <v>1350</v>
      </c>
      <c r="E2801" s="9">
        <f>+Tablo3[[#This Row],[Birim Fiyat]]*Tablo3[[#This Row],[Satış Adet]]</f>
        <v>2700</v>
      </c>
      <c r="F2801" s="9">
        <v>1100</v>
      </c>
      <c r="G2801" t="s">
        <v>66</v>
      </c>
      <c r="H2801" t="s">
        <v>35</v>
      </c>
    </row>
    <row r="2802" spans="1:8" x14ac:dyDescent="0.25">
      <c r="A2802" t="s">
        <v>36</v>
      </c>
      <c r="B2802" t="s">
        <v>19</v>
      </c>
      <c r="C2802">
        <v>3</v>
      </c>
      <c r="D2802" s="9">
        <v>1350</v>
      </c>
      <c r="E2802" s="9">
        <f>+Tablo3[[#This Row],[Birim Fiyat]]*Tablo3[[#This Row],[Satış Adet]]</f>
        <v>4050</v>
      </c>
      <c r="F2802" s="9">
        <v>1650</v>
      </c>
      <c r="G2802" t="s">
        <v>66</v>
      </c>
      <c r="H2802" t="s">
        <v>39</v>
      </c>
    </row>
    <row r="2803" spans="1:8" x14ac:dyDescent="0.25">
      <c r="A2803" t="s">
        <v>33</v>
      </c>
      <c r="B2803" t="s">
        <v>32</v>
      </c>
      <c r="C2803">
        <v>2</v>
      </c>
      <c r="D2803" s="9">
        <v>1090</v>
      </c>
      <c r="E2803" s="9">
        <f>+Tablo3[[#This Row],[Birim Fiyat]]*Tablo3[[#This Row],[Satış Adet]]</f>
        <v>2180</v>
      </c>
      <c r="F2803" s="9">
        <v>580</v>
      </c>
      <c r="G2803" t="s">
        <v>66</v>
      </c>
      <c r="H2803" t="s">
        <v>39</v>
      </c>
    </row>
    <row r="2804" spans="1:8" x14ac:dyDescent="0.25">
      <c r="A2804" t="s">
        <v>33</v>
      </c>
      <c r="B2804" t="s">
        <v>43</v>
      </c>
      <c r="C2804">
        <v>3</v>
      </c>
      <c r="D2804" s="9">
        <v>4200</v>
      </c>
      <c r="E2804" s="9">
        <f>+Tablo3[[#This Row],[Birim Fiyat]]*Tablo3[[#This Row],[Satış Adet]]</f>
        <v>12600</v>
      </c>
      <c r="F2804" s="9">
        <v>3600</v>
      </c>
      <c r="G2804" t="s">
        <v>66</v>
      </c>
      <c r="H2804" t="s">
        <v>39</v>
      </c>
    </row>
    <row r="2805" spans="1:8" x14ac:dyDescent="0.25">
      <c r="A2805" t="s">
        <v>38</v>
      </c>
      <c r="B2805" t="s">
        <v>31</v>
      </c>
      <c r="C2805">
        <v>5</v>
      </c>
      <c r="D2805" s="9">
        <v>1800</v>
      </c>
      <c r="E2805" s="9">
        <f>+Tablo3[[#This Row],[Birim Fiyat]]*Tablo3[[#This Row],[Satış Adet]]</f>
        <v>9000</v>
      </c>
      <c r="F2805" s="9">
        <v>5000</v>
      </c>
      <c r="G2805" t="s">
        <v>66</v>
      </c>
      <c r="H2805" t="s">
        <v>44</v>
      </c>
    </row>
    <row r="2806" spans="1:8" x14ac:dyDescent="0.25">
      <c r="A2806" t="s">
        <v>48</v>
      </c>
      <c r="B2806" t="s">
        <v>32</v>
      </c>
      <c r="C2806">
        <v>3</v>
      </c>
      <c r="D2806" s="9">
        <v>1090</v>
      </c>
      <c r="E2806" s="9">
        <f>+Tablo3[[#This Row],[Birim Fiyat]]*Tablo3[[#This Row],[Satış Adet]]</f>
        <v>3270</v>
      </c>
      <c r="F2806" s="9">
        <v>870</v>
      </c>
      <c r="G2806" t="s">
        <v>66</v>
      </c>
      <c r="H2806" t="s">
        <v>14</v>
      </c>
    </row>
    <row r="2807" spans="1:8" x14ac:dyDescent="0.25">
      <c r="A2807" t="s">
        <v>8</v>
      </c>
      <c r="B2807" t="s">
        <v>23</v>
      </c>
      <c r="C2807">
        <v>4</v>
      </c>
      <c r="D2807" s="9">
        <v>7600</v>
      </c>
      <c r="E2807" s="9">
        <f>+Tablo3[[#This Row],[Birim Fiyat]]*Tablo3[[#This Row],[Satış Adet]]</f>
        <v>30400</v>
      </c>
      <c r="F2807" s="9">
        <v>6400</v>
      </c>
      <c r="G2807" t="s">
        <v>66</v>
      </c>
      <c r="H2807" t="s">
        <v>29</v>
      </c>
    </row>
    <row r="2808" spans="1:8" x14ac:dyDescent="0.25">
      <c r="A2808" t="s">
        <v>36</v>
      </c>
      <c r="B2808" t="s">
        <v>23</v>
      </c>
      <c r="C2808">
        <v>2</v>
      </c>
      <c r="D2808" s="9">
        <v>7600</v>
      </c>
      <c r="E2808" s="9">
        <f>+Tablo3[[#This Row],[Birim Fiyat]]*Tablo3[[#This Row],[Satış Adet]]</f>
        <v>15200</v>
      </c>
      <c r="F2808" s="9">
        <v>3200</v>
      </c>
      <c r="G2808" t="s">
        <v>66</v>
      </c>
      <c r="H2808" t="s">
        <v>40</v>
      </c>
    </row>
    <row r="2809" spans="1:8" x14ac:dyDescent="0.25">
      <c r="A2809" t="s">
        <v>15</v>
      </c>
      <c r="B2809" t="s">
        <v>56</v>
      </c>
      <c r="C2809">
        <v>3</v>
      </c>
      <c r="D2809" s="9">
        <v>3700</v>
      </c>
      <c r="E2809" s="9">
        <f>+Tablo3[[#This Row],[Birim Fiyat]]*Tablo3[[#This Row],[Satış Adet]]</f>
        <v>11100</v>
      </c>
      <c r="F2809" s="9">
        <v>2100</v>
      </c>
      <c r="G2809" t="s">
        <v>66</v>
      </c>
      <c r="H2809" t="s">
        <v>42</v>
      </c>
    </row>
    <row r="2810" spans="1:8" x14ac:dyDescent="0.25">
      <c r="A2810" t="s">
        <v>22</v>
      </c>
      <c r="B2810" t="s">
        <v>25</v>
      </c>
      <c r="C2810">
        <v>3</v>
      </c>
      <c r="D2810" s="9">
        <v>7250</v>
      </c>
      <c r="E2810" s="9">
        <f>+Tablo3[[#This Row],[Birim Fiyat]]*Tablo3[[#This Row],[Satış Adet]]</f>
        <v>21750</v>
      </c>
      <c r="F2810" s="9">
        <v>6750</v>
      </c>
      <c r="G2810" t="s">
        <v>66</v>
      </c>
      <c r="H2810" t="s">
        <v>17</v>
      </c>
    </row>
    <row r="2811" spans="1:8" x14ac:dyDescent="0.25">
      <c r="A2811" t="s">
        <v>12</v>
      </c>
      <c r="B2811" t="s">
        <v>23</v>
      </c>
      <c r="C2811">
        <v>5</v>
      </c>
      <c r="D2811" s="9">
        <v>7600</v>
      </c>
      <c r="E2811" s="9">
        <f>+Tablo3[[#This Row],[Birim Fiyat]]*Tablo3[[#This Row],[Satış Adet]]</f>
        <v>38000</v>
      </c>
      <c r="F2811" s="9">
        <v>8000</v>
      </c>
      <c r="G2811" t="s">
        <v>66</v>
      </c>
      <c r="H2811" t="s">
        <v>29</v>
      </c>
    </row>
    <row r="2812" spans="1:8" x14ac:dyDescent="0.25">
      <c r="A2812" t="s">
        <v>46</v>
      </c>
      <c r="B2812" t="s">
        <v>43</v>
      </c>
      <c r="C2812">
        <v>4</v>
      </c>
      <c r="D2812" s="9">
        <v>4200</v>
      </c>
      <c r="E2812" s="9">
        <f>+Tablo3[[#This Row],[Birim Fiyat]]*Tablo3[[#This Row],[Satış Adet]]</f>
        <v>16800</v>
      </c>
      <c r="F2812" s="9">
        <v>4800</v>
      </c>
      <c r="G2812" t="s">
        <v>66</v>
      </c>
      <c r="H2812" t="s">
        <v>27</v>
      </c>
    </row>
    <row r="2813" spans="1:8" x14ac:dyDescent="0.25">
      <c r="A2813" t="s">
        <v>30</v>
      </c>
      <c r="B2813" t="s">
        <v>50</v>
      </c>
      <c r="C2813">
        <v>2</v>
      </c>
      <c r="D2813" s="9">
        <v>1250</v>
      </c>
      <c r="E2813" s="9">
        <f>+Tablo3[[#This Row],[Birim Fiyat]]*Tablo3[[#This Row],[Satış Adet]]</f>
        <v>2500</v>
      </c>
      <c r="F2813" s="9">
        <v>900</v>
      </c>
      <c r="G2813" t="s">
        <v>66</v>
      </c>
      <c r="H2813" t="s">
        <v>29</v>
      </c>
    </row>
    <row r="2814" spans="1:8" x14ac:dyDescent="0.25">
      <c r="A2814" t="s">
        <v>36</v>
      </c>
      <c r="B2814" t="s">
        <v>32</v>
      </c>
      <c r="C2814">
        <v>2</v>
      </c>
      <c r="D2814" s="9">
        <v>1090</v>
      </c>
      <c r="E2814" s="9">
        <f>+Tablo3[[#This Row],[Birim Fiyat]]*Tablo3[[#This Row],[Satış Adet]]</f>
        <v>2180</v>
      </c>
      <c r="F2814" s="9">
        <v>580</v>
      </c>
      <c r="G2814" t="s">
        <v>66</v>
      </c>
      <c r="H2814" t="s">
        <v>35</v>
      </c>
    </row>
    <row r="2815" spans="1:8" x14ac:dyDescent="0.25">
      <c r="A2815" t="s">
        <v>18</v>
      </c>
      <c r="B2815" t="s">
        <v>21</v>
      </c>
      <c r="C2815">
        <v>2</v>
      </c>
      <c r="D2815" s="9">
        <v>2180</v>
      </c>
      <c r="E2815" s="9">
        <f>+Tablo3[[#This Row],[Birim Fiyat]]*Tablo3[[#This Row],[Satış Adet]]</f>
        <v>4360</v>
      </c>
      <c r="F2815" s="9">
        <v>1360</v>
      </c>
      <c r="G2815" t="s">
        <v>66</v>
      </c>
      <c r="H2815" t="s">
        <v>20</v>
      </c>
    </row>
    <row r="2816" spans="1:8" x14ac:dyDescent="0.25">
      <c r="A2816" t="s">
        <v>48</v>
      </c>
      <c r="B2816" t="s">
        <v>56</v>
      </c>
      <c r="C2816">
        <v>4</v>
      </c>
      <c r="D2816" s="9">
        <v>3700</v>
      </c>
      <c r="E2816" s="9">
        <f>+Tablo3[[#This Row],[Birim Fiyat]]*Tablo3[[#This Row],[Satış Adet]]</f>
        <v>14800</v>
      </c>
      <c r="F2816" s="9">
        <v>2800</v>
      </c>
      <c r="G2816" t="s">
        <v>66</v>
      </c>
      <c r="H2816" t="s">
        <v>39</v>
      </c>
    </row>
    <row r="2817" spans="1:8" x14ac:dyDescent="0.25">
      <c r="A2817" t="s">
        <v>38</v>
      </c>
      <c r="B2817" t="s">
        <v>9</v>
      </c>
      <c r="C2817">
        <v>3</v>
      </c>
      <c r="D2817" s="9">
        <v>6000</v>
      </c>
      <c r="E2817" s="9">
        <f>+Tablo3[[#This Row],[Birim Fiyat]]*Tablo3[[#This Row],[Satış Adet]]</f>
        <v>18000</v>
      </c>
      <c r="F2817" s="9">
        <v>6000</v>
      </c>
      <c r="G2817" t="s">
        <v>66</v>
      </c>
      <c r="H2817" t="s">
        <v>17</v>
      </c>
    </row>
    <row r="2818" spans="1:8" x14ac:dyDescent="0.25">
      <c r="A2818" t="s">
        <v>46</v>
      </c>
      <c r="B2818" t="s">
        <v>50</v>
      </c>
      <c r="C2818">
        <v>3</v>
      </c>
      <c r="D2818" s="9">
        <v>1250</v>
      </c>
      <c r="E2818" s="9">
        <f>+Tablo3[[#This Row],[Birim Fiyat]]*Tablo3[[#This Row],[Satış Adet]]</f>
        <v>3750</v>
      </c>
      <c r="F2818" s="9">
        <v>1350</v>
      </c>
      <c r="G2818" t="s">
        <v>66</v>
      </c>
      <c r="H2818" t="s">
        <v>11</v>
      </c>
    </row>
    <row r="2819" spans="1:8" x14ac:dyDescent="0.25">
      <c r="A2819" t="s">
        <v>48</v>
      </c>
      <c r="B2819" t="s">
        <v>23</v>
      </c>
      <c r="C2819">
        <v>5</v>
      </c>
      <c r="D2819" s="9">
        <v>7600</v>
      </c>
      <c r="E2819" s="9">
        <f>+Tablo3[[#This Row],[Birim Fiyat]]*Tablo3[[#This Row],[Satış Adet]]</f>
        <v>38000</v>
      </c>
      <c r="F2819" s="9">
        <v>8000</v>
      </c>
      <c r="G2819" t="s">
        <v>66</v>
      </c>
      <c r="H2819" t="s">
        <v>20</v>
      </c>
    </row>
    <row r="2820" spans="1:8" x14ac:dyDescent="0.25">
      <c r="A2820" t="s">
        <v>8</v>
      </c>
      <c r="B2820" t="s">
        <v>13</v>
      </c>
      <c r="C2820">
        <v>5</v>
      </c>
      <c r="D2820" s="9">
        <v>1400</v>
      </c>
      <c r="E2820" s="9">
        <f>+Tablo3[[#This Row],[Birim Fiyat]]*Tablo3[[#This Row],[Satış Adet]]</f>
        <v>7000</v>
      </c>
      <c r="F2820" s="9">
        <v>3000</v>
      </c>
      <c r="G2820" t="s">
        <v>66</v>
      </c>
      <c r="H2820" t="s">
        <v>52</v>
      </c>
    </row>
    <row r="2821" spans="1:8" x14ac:dyDescent="0.25">
      <c r="A2821" t="s">
        <v>22</v>
      </c>
      <c r="B2821" t="s">
        <v>21</v>
      </c>
      <c r="C2821">
        <v>4</v>
      </c>
      <c r="D2821" s="9">
        <v>2180</v>
      </c>
      <c r="E2821" s="9">
        <f>+Tablo3[[#This Row],[Birim Fiyat]]*Tablo3[[#This Row],[Satış Adet]]</f>
        <v>8720</v>
      </c>
      <c r="F2821" s="9">
        <v>2720</v>
      </c>
      <c r="G2821" t="s">
        <v>66</v>
      </c>
      <c r="H2821" t="s">
        <v>29</v>
      </c>
    </row>
    <row r="2822" spans="1:8" x14ac:dyDescent="0.25">
      <c r="A2822" t="s">
        <v>8</v>
      </c>
      <c r="B2822" t="s">
        <v>31</v>
      </c>
      <c r="C2822">
        <v>4</v>
      </c>
      <c r="D2822" s="9">
        <v>1800</v>
      </c>
      <c r="E2822" s="9">
        <f>+Tablo3[[#This Row],[Birim Fiyat]]*Tablo3[[#This Row],[Satış Adet]]</f>
        <v>7200</v>
      </c>
      <c r="F2822" s="9">
        <v>4000</v>
      </c>
      <c r="G2822" t="s">
        <v>66</v>
      </c>
      <c r="H2822" t="s">
        <v>11</v>
      </c>
    </row>
    <row r="2823" spans="1:8" x14ac:dyDescent="0.25">
      <c r="A2823" t="s">
        <v>15</v>
      </c>
      <c r="B2823" t="s">
        <v>55</v>
      </c>
      <c r="C2823">
        <v>4</v>
      </c>
      <c r="D2823" s="9">
        <v>1500</v>
      </c>
      <c r="E2823" s="9">
        <f>+Tablo3[[#This Row],[Birim Fiyat]]*Tablo3[[#This Row],[Satış Adet]]</f>
        <v>6000</v>
      </c>
      <c r="F2823" s="9">
        <v>2800</v>
      </c>
      <c r="G2823" t="s">
        <v>66</v>
      </c>
      <c r="H2823" t="s">
        <v>40</v>
      </c>
    </row>
    <row r="2824" spans="1:8" x14ac:dyDescent="0.25">
      <c r="A2824" t="s">
        <v>30</v>
      </c>
      <c r="B2824" t="s">
        <v>16</v>
      </c>
      <c r="C2824">
        <v>4</v>
      </c>
      <c r="D2824" s="9">
        <v>8450</v>
      </c>
      <c r="E2824" s="9">
        <f>+Tablo3[[#This Row],[Birim Fiyat]]*Tablo3[[#This Row],[Satış Adet]]</f>
        <v>33800</v>
      </c>
      <c r="F2824" s="9">
        <v>9800</v>
      </c>
      <c r="G2824" t="s">
        <v>66</v>
      </c>
      <c r="H2824" t="s">
        <v>20</v>
      </c>
    </row>
    <row r="2825" spans="1:8" x14ac:dyDescent="0.25">
      <c r="A2825" t="s">
        <v>38</v>
      </c>
      <c r="B2825" t="s">
        <v>55</v>
      </c>
      <c r="C2825">
        <v>4</v>
      </c>
      <c r="D2825" s="9">
        <v>1500</v>
      </c>
      <c r="E2825" s="9">
        <f>+Tablo3[[#This Row],[Birim Fiyat]]*Tablo3[[#This Row],[Satış Adet]]</f>
        <v>6000</v>
      </c>
      <c r="F2825" s="9">
        <v>2800</v>
      </c>
      <c r="G2825" t="s">
        <v>66</v>
      </c>
      <c r="H2825" t="s">
        <v>52</v>
      </c>
    </row>
    <row r="2826" spans="1:8" x14ac:dyDescent="0.25">
      <c r="A2826" t="s">
        <v>67</v>
      </c>
      <c r="B2826" t="s">
        <v>9</v>
      </c>
      <c r="C2826">
        <v>4</v>
      </c>
      <c r="D2826" s="9">
        <v>6000</v>
      </c>
      <c r="E2826" s="9">
        <f>+Tablo3[[#This Row],[Birim Fiyat]]*Tablo3[[#This Row],[Satış Adet]]</f>
        <v>24000</v>
      </c>
      <c r="F2826" s="9">
        <v>8000</v>
      </c>
      <c r="G2826" t="s">
        <v>66</v>
      </c>
      <c r="H2826" t="s">
        <v>35</v>
      </c>
    </row>
    <row r="2827" spans="1:8" x14ac:dyDescent="0.25">
      <c r="A2827" t="s">
        <v>48</v>
      </c>
      <c r="B2827" t="s">
        <v>51</v>
      </c>
      <c r="C2827">
        <v>2</v>
      </c>
      <c r="D2827" s="9">
        <v>1200</v>
      </c>
      <c r="E2827" s="9">
        <f>+Tablo3[[#This Row],[Birim Fiyat]]*Tablo3[[#This Row],[Satış Adet]]</f>
        <v>2400</v>
      </c>
      <c r="F2827" s="9">
        <v>800</v>
      </c>
      <c r="G2827" t="s">
        <v>66</v>
      </c>
      <c r="H2827" t="s">
        <v>35</v>
      </c>
    </row>
    <row r="2828" spans="1:8" x14ac:dyDescent="0.25">
      <c r="A2828" t="s">
        <v>8</v>
      </c>
      <c r="B2828" t="s">
        <v>43</v>
      </c>
      <c r="C2828">
        <v>4</v>
      </c>
      <c r="D2828" s="9">
        <v>4200</v>
      </c>
      <c r="E2828" s="9">
        <f>+Tablo3[[#This Row],[Birim Fiyat]]*Tablo3[[#This Row],[Satış Adet]]</f>
        <v>16800</v>
      </c>
      <c r="F2828" s="9">
        <v>4800</v>
      </c>
      <c r="G2828" t="s">
        <v>66</v>
      </c>
      <c r="H2828" t="s">
        <v>52</v>
      </c>
    </row>
    <row r="2829" spans="1:8" x14ac:dyDescent="0.25">
      <c r="A2829" t="s">
        <v>46</v>
      </c>
      <c r="B2829" t="s">
        <v>23</v>
      </c>
      <c r="C2829">
        <v>5</v>
      </c>
      <c r="D2829" s="9">
        <v>7600</v>
      </c>
      <c r="E2829" s="9">
        <f>+Tablo3[[#This Row],[Birim Fiyat]]*Tablo3[[#This Row],[Satış Adet]]</f>
        <v>38000</v>
      </c>
      <c r="F2829" s="9">
        <v>8000</v>
      </c>
      <c r="G2829" t="s">
        <v>66</v>
      </c>
      <c r="H2829" t="s">
        <v>27</v>
      </c>
    </row>
    <row r="2830" spans="1:8" x14ac:dyDescent="0.25">
      <c r="A2830" t="s">
        <v>67</v>
      </c>
      <c r="B2830" t="s">
        <v>19</v>
      </c>
      <c r="C2830">
        <v>1</v>
      </c>
      <c r="D2830" s="9">
        <v>1350</v>
      </c>
      <c r="E2830" s="9">
        <f>+Tablo3[[#This Row],[Birim Fiyat]]*Tablo3[[#This Row],[Satış Adet]]</f>
        <v>1350</v>
      </c>
      <c r="F2830" s="9">
        <v>550</v>
      </c>
      <c r="G2830" t="s">
        <v>10</v>
      </c>
      <c r="H2830" t="s">
        <v>35</v>
      </c>
    </row>
    <row r="2831" spans="1:8" x14ac:dyDescent="0.25">
      <c r="A2831" t="s">
        <v>12</v>
      </c>
      <c r="B2831" t="s">
        <v>25</v>
      </c>
      <c r="C2831">
        <v>2</v>
      </c>
      <c r="D2831" s="9">
        <v>7250</v>
      </c>
      <c r="E2831" s="9">
        <f>+Tablo3[[#This Row],[Birim Fiyat]]*Tablo3[[#This Row],[Satış Adet]]</f>
        <v>14500</v>
      </c>
      <c r="F2831" s="9">
        <v>4500</v>
      </c>
      <c r="G2831" t="s">
        <v>10</v>
      </c>
      <c r="H2831" t="s">
        <v>40</v>
      </c>
    </row>
    <row r="2832" spans="1:8" x14ac:dyDescent="0.25">
      <c r="A2832" t="s">
        <v>30</v>
      </c>
      <c r="B2832" t="s">
        <v>23</v>
      </c>
      <c r="C2832">
        <v>1</v>
      </c>
      <c r="D2832" s="9">
        <v>7600</v>
      </c>
      <c r="E2832" s="9">
        <f>+Tablo3[[#This Row],[Birim Fiyat]]*Tablo3[[#This Row],[Satış Adet]]</f>
        <v>7600</v>
      </c>
      <c r="F2832" s="9">
        <v>1600</v>
      </c>
      <c r="G2832" t="s">
        <v>10</v>
      </c>
      <c r="H2832" t="s">
        <v>35</v>
      </c>
    </row>
    <row r="2833" spans="1:8" x14ac:dyDescent="0.25">
      <c r="A2833" t="s">
        <v>48</v>
      </c>
      <c r="B2833" t="s">
        <v>23</v>
      </c>
      <c r="C2833">
        <v>3</v>
      </c>
      <c r="D2833" s="9">
        <v>7600</v>
      </c>
      <c r="E2833" s="9">
        <f>+Tablo3[[#This Row],[Birim Fiyat]]*Tablo3[[#This Row],[Satış Adet]]</f>
        <v>22800</v>
      </c>
      <c r="F2833" s="9">
        <v>4800</v>
      </c>
      <c r="G2833" t="s">
        <v>10</v>
      </c>
      <c r="H2833" t="s">
        <v>24</v>
      </c>
    </row>
    <row r="2834" spans="1:8" x14ac:dyDescent="0.25">
      <c r="A2834" t="s">
        <v>12</v>
      </c>
      <c r="B2834" t="s">
        <v>41</v>
      </c>
      <c r="C2834">
        <v>3</v>
      </c>
      <c r="D2834" s="9">
        <v>1490</v>
      </c>
      <c r="E2834" s="9">
        <f>+Tablo3[[#This Row],[Birim Fiyat]]*Tablo3[[#This Row],[Satış Adet]]</f>
        <v>4470</v>
      </c>
      <c r="F2834" s="9">
        <v>2070</v>
      </c>
      <c r="G2834" t="s">
        <v>10</v>
      </c>
      <c r="H2834" t="s">
        <v>20</v>
      </c>
    </row>
    <row r="2835" spans="1:8" x14ac:dyDescent="0.25">
      <c r="A2835" t="s">
        <v>67</v>
      </c>
      <c r="B2835" t="s">
        <v>49</v>
      </c>
      <c r="C2835">
        <v>2</v>
      </c>
      <c r="D2835" s="9">
        <v>2900</v>
      </c>
      <c r="E2835" s="9">
        <f>+Tablo3[[#This Row],[Birim Fiyat]]*Tablo3[[#This Row],[Satış Adet]]</f>
        <v>5800</v>
      </c>
      <c r="F2835" s="9">
        <v>1800</v>
      </c>
      <c r="G2835" t="s">
        <v>10</v>
      </c>
      <c r="H2835" t="s">
        <v>27</v>
      </c>
    </row>
    <row r="2836" spans="1:8" x14ac:dyDescent="0.25">
      <c r="A2836" t="s">
        <v>38</v>
      </c>
      <c r="B2836" t="s">
        <v>41</v>
      </c>
      <c r="C2836">
        <v>1</v>
      </c>
      <c r="D2836" s="9">
        <v>1490</v>
      </c>
      <c r="E2836" s="9">
        <f>+Tablo3[[#This Row],[Birim Fiyat]]*Tablo3[[#This Row],[Satış Adet]]</f>
        <v>1490</v>
      </c>
      <c r="F2836" s="9">
        <v>690</v>
      </c>
      <c r="G2836" t="s">
        <v>10</v>
      </c>
      <c r="H2836" t="s">
        <v>24</v>
      </c>
    </row>
    <row r="2837" spans="1:8" x14ac:dyDescent="0.25">
      <c r="A2837" t="s">
        <v>38</v>
      </c>
      <c r="B2837" t="s">
        <v>32</v>
      </c>
      <c r="C2837">
        <v>2</v>
      </c>
      <c r="D2837" s="9">
        <v>1090</v>
      </c>
      <c r="E2837" s="9">
        <f>+Tablo3[[#This Row],[Birim Fiyat]]*Tablo3[[#This Row],[Satış Adet]]</f>
        <v>2180</v>
      </c>
      <c r="F2837" s="9">
        <v>580</v>
      </c>
      <c r="G2837" t="s">
        <v>10</v>
      </c>
      <c r="H2837" t="s">
        <v>40</v>
      </c>
    </row>
    <row r="2838" spans="1:8" x14ac:dyDescent="0.25">
      <c r="A2838" t="s">
        <v>67</v>
      </c>
      <c r="B2838" t="s">
        <v>28</v>
      </c>
      <c r="C2838">
        <v>2</v>
      </c>
      <c r="D2838" s="9">
        <v>1200</v>
      </c>
      <c r="E2838" s="9">
        <f>+Tablo3[[#This Row],[Birim Fiyat]]*Tablo3[[#This Row],[Satış Adet]]</f>
        <v>2400</v>
      </c>
      <c r="F2838" s="9">
        <v>800</v>
      </c>
      <c r="G2838" t="s">
        <v>10</v>
      </c>
      <c r="H2838" t="s">
        <v>20</v>
      </c>
    </row>
    <row r="2839" spans="1:8" x14ac:dyDescent="0.25">
      <c r="A2839" t="s">
        <v>36</v>
      </c>
      <c r="B2839" t="s">
        <v>37</v>
      </c>
      <c r="C2839">
        <v>2</v>
      </c>
      <c r="D2839" s="9">
        <v>10590</v>
      </c>
      <c r="E2839" s="9">
        <f>+Tablo3[[#This Row],[Birim Fiyat]]*Tablo3[[#This Row],[Satış Adet]]</f>
        <v>21180</v>
      </c>
      <c r="F2839" s="9">
        <v>9180</v>
      </c>
      <c r="G2839" t="s">
        <v>10</v>
      </c>
      <c r="H2839" t="s">
        <v>44</v>
      </c>
    </row>
    <row r="2840" spans="1:8" x14ac:dyDescent="0.25">
      <c r="A2840" t="s">
        <v>30</v>
      </c>
      <c r="B2840" t="s">
        <v>43</v>
      </c>
      <c r="C2840">
        <v>3</v>
      </c>
      <c r="D2840" s="9">
        <v>4200</v>
      </c>
      <c r="E2840" s="9">
        <f>+Tablo3[[#This Row],[Birim Fiyat]]*Tablo3[[#This Row],[Satış Adet]]</f>
        <v>12600</v>
      </c>
      <c r="F2840" s="9">
        <v>3600</v>
      </c>
      <c r="G2840" t="s">
        <v>10</v>
      </c>
      <c r="H2840" t="s">
        <v>52</v>
      </c>
    </row>
    <row r="2841" spans="1:8" x14ac:dyDescent="0.25">
      <c r="A2841" t="s">
        <v>18</v>
      </c>
      <c r="B2841" t="s">
        <v>43</v>
      </c>
      <c r="C2841">
        <v>3</v>
      </c>
      <c r="D2841" s="9">
        <v>4200</v>
      </c>
      <c r="E2841" s="9">
        <f>+Tablo3[[#This Row],[Birim Fiyat]]*Tablo3[[#This Row],[Satış Adet]]</f>
        <v>12600</v>
      </c>
      <c r="F2841" s="9">
        <v>3600</v>
      </c>
      <c r="G2841" t="s">
        <v>10</v>
      </c>
      <c r="H2841" t="s">
        <v>39</v>
      </c>
    </row>
    <row r="2842" spans="1:8" x14ac:dyDescent="0.25">
      <c r="A2842" t="s">
        <v>33</v>
      </c>
      <c r="B2842" t="s">
        <v>37</v>
      </c>
      <c r="C2842">
        <v>2</v>
      </c>
      <c r="D2842" s="9">
        <v>10590</v>
      </c>
      <c r="E2842" s="9">
        <f>+Tablo3[[#This Row],[Birim Fiyat]]*Tablo3[[#This Row],[Satış Adet]]</f>
        <v>21180</v>
      </c>
      <c r="F2842" s="9">
        <v>9180</v>
      </c>
      <c r="G2842" t="s">
        <v>10</v>
      </c>
      <c r="H2842" t="s">
        <v>17</v>
      </c>
    </row>
    <row r="2843" spans="1:8" x14ac:dyDescent="0.25">
      <c r="A2843" t="s">
        <v>48</v>
      </c>
      <c r="B2843" t="s">
        <v>50</v>
      </c>
      <c r="C2843">
        <v>1</v>
      </c>
      <c r="D2843" s="9">
        <v>1250</v>
      </c>
      <c r="E2843" s="9">
        <f>+Tablo3[[#This Row],[Birim Fiyat]]*Tablo3[[#This Row],[Satış Adet]]</f>
        <v>1250</v>
      </c>
      <c r="F2843" s="9">
        <v>450</v>
      </c>
      <c r="G2843" t="s">
        <v>10</v>
      </c>
      <c r="H2843" t="s">
        <v>29</v>
      </c>
    </row>
    <row r="2844" spans="1:8" x14ac:dyDescent="0.25">
      <c r="A2844" t="s">
        <v>8</v>
      </c>
      <c r="B2844" t="s">
        <v>41</v>
      </c>
      <c r="C2844">
        <v>3</v>
      </c>
      <c r="D2844" s="9">
        <v>1490</v>
      </c>
      <c r="E2844" s="9">
        <f>+Tablo3[[#This Row],[Birim Fiyat]]*Tablo3[[#This Row],[Satış Adet]]</f>
        <v>4470</v>
      </c>
      <c r="F2844" s="9">
        <v>2070</v>
      </c>
      <c r="G2844" t="s">
        <v>10</v>
      </c>
      <c r="H2844" t="s">
        <v>40</v>
      </c>
    </row>
    <row r="2845" spans="1:8" x14ac:dyDescent="0.25">
      <c r="A2845" t="s">
        <v>30</v>
      </c>
      <c r="B2845" t="s">
        <v>28</v>
      </c>
      <c r="C2845">
        <v>2</v>
      </c>
      <c r="D2845" s="9">
        <v>1200</v>
      </c>
      <c r="E2845" s="9">
        <f>+Tablo3[[#This Row],[Birim Fiyat]]*Tablo3[[#This Row],[Satış Adet]]</f>
        <v>2400</v>
      </c>
      <c r="F2845" s="9">
        <v>800</v>
      </c>
      <c r="G2845" t="s">
        <v>10</v>
      </c>
      <c r="H2845" t="s">
        <v>42</v>
      </c>
    </row>
    <row r="2846" spans="1:8" x14ac:dyDescent="0.25">
      <c r="A2846" t="s">
        <v>15</v>
      </c>
      <c r="B2846" t="s">
        <v>21</v>
      </c>
      <c r="C2846">
        <v>3</v>
      </c>
      <c r="D2846" s="9">
        <v>2180</v>
      </c>
      <c r="E2846" s="9">
        <f>+Tablo3[[#This Row],[Birim Fiyat]]*Tablo3[[#This Row],[Satış Adet]]</f>
        <v>6540</v>
      </c>
      <c r="F2846" s="9">
        <v>2040</v>
      </c>
      <c r="G2846" t="s">
        <v>10</v>
      </c>
      <c r="H2846" t="s">
        <v>27</v>
      </c>
    </row>
    <row r="2847" spans="1:8" x14ac:dyDescent="0.25">
      <c r="A2847" t="s">
        <v>38</v>
      </c>
      <c r="B2847" t="s">
        <v>51</v>
      </c>
      <c r="C2847">
        <v>3</v>
      </c>
      <c r="D2847" s="9">
        <v>1200</v>
      </c>
      <c r="E2847" s="9">
        <f>+Tablo3[[#This Row],[Birim Fiyat]]*Tablo3[[#This Row],[Satış Adet]]</f>
        <v>3600</v>
      </c>
      <c r="F2847" s="9">
        <v>1200</v>
      </c>
      <c r="G2847" t="s">
        <v>10</v>
      </c>
      <c r="H2847" t="s">
        <v>27</v>
      </c>
    </row>
    <row r="2848" spans="1:8" x14ac:dyDescent="0.25">
      <c r="A2848" t="s">
        <v>8</v>
      </c>
      <c r="B2848" t="s">
        <v>31</v>
      </c>
      <c r="C2848">
        <v>1</v>
      </c>
      <c r="D2848" s="9">
        <v>1800</v>
      </c>
      <c r="E2848" s="9">
        <f>+Tablo3[[#This Row],[Birim Fiyat]]*Tablo3[[#This Row],[Satış Adet]]</f>
        <v>1800</v>
      </c>
      <c r="F2848" s="9">
        <v>1000</v>
      </c>
      <c r="G2848" t="s">
        <v>10</v>
      </c>
      <c r="H2848" t="s">
        <v>24</v>
      </c>
    </row>
    <row r="2849" spans="1:8" x14ac:dyDescent="0.25">
      <c r="A2849" t="s">
        <v>15</v>
      </c>
      <c r="B2849" t="s">
        <v>23</v>
      </c>
      <c r="C2849">
        <v>1</v>
      </c>
      <c r="D2849" s="9">
        <v>7600</v>
      </c>
      <c r="E2849" s="9">
        <f>+Tablo3[[#This Row],[Birim Fiyat]]*Tablo3[[#This Row],[Satış Adet]]</f>
        <v>7600</v>
      </c>
      <c r="F2849" s="9">
        <v>1600</v>
      </c>
      <c r="G2849" t="s">
        <v>10</v>
      </c>
      <c r="H2849" t="s">
        <v>27</v>
      </c>
    </row>
    <row r="2850" spans="1:8" x14ac:dyDescent="0.25">
      <c r="A2850" t="s">
        <v>33</v>
      </c>
      <c r="B2850" t="s">
        <v>53</v>
      </c>
      <c r="C2850">
        <v>1</v>
      </c>
      <c r="D2850" s="9">
        <v>7530</v>
      </c>
      <c r="E2850" s="9">
        <f>+Tablo3[[#This Row],[Birim Fiyat]]*Tablo3[[#This Row],[Satış Adet]]</f>
        <v>7530</v>
      </c>
      <c r="F2850" s="9">
        <v>1530</v>
      </c>
      <c r="G2850" t="s">
        <v>10</v>
      </c>
      <c r="H2850" t="s">
        <v>27</v>
      </c>
    </row>
    <row r="2851" spans="1:8" x14ac:dyDescent="0.25">
      <c r="A2851" t="s">
        <v>48</v>
      </c>
      <c r="B2851" t="s">
        <v>41</v>
      </c>
      <c r="C2851">
        <v>2</v>
      </c>
      <c r="D2851" s="9">
        <v>1490</v>
      </c>
      <c r="E2851" s="9">
        <f>+Tablo3[[#This Row],[Birim Fiyat]]*Tablo3[[#This Row],[Satış Adet]]</f>
        <v>2980</v>
      </c>
      <c r="F2851" s="9">
        <v>1380</v>
      </c>
      <c r="G2851" t="s">
        <v>10</v>
      </c>
      <c r="H2851" t="s">
        <v>42</v>
      </c>
    </row>
    <row r="2852" spans="1:8" x14ac:dyDescent="0.25">
      <c r="A2852" t="s">
        <v>8</v>
      </c>
      <c r="B2852" t="s">
        <v>54</v>
      </c>
      <c r="C2852">
        <v>1</v>
      </c>
      <c r="D2852" s="9">
        <v>5300</v>
      </c>
      <c r="E2852" s="9">
        <f>+Tablo3[[#This Row],[Birim Fiyat]]*Tablo3[[#This Row],[Satış Adet]]</f>
        <v>5300</v>
      </c>
      <c r="F2852" s="9">
        <v>1300</v>
      </c>
      <c r="G2852" t="s">
        <v>10</v>
      </c>
      <c r="H2852" t="s">
        <v>40</v>
      </c>
    </row>
    <row r="2853" spans="1:8" x14ac:dyDescent="0.25">
      <c r="A2853" t="s">
        <v>22</v>
      </c>
      <c r="B2853" t="s">
        <v>28</v>
      </c>
      <c r="C2853">
        <v>2</v>
      </c>
      <c r="D2853" s="9">
        <v>1200</v>
      </c>
      <c r="E2853" s="9">
        <f>+Tablo3[[#This Row],[Birim Fiyat]]*Tablo3[[#This Row],[Satış Adet]]</f>
        <v>2400</v>
      </c>
      <c r="F2853" s="9">
        <v>800</v>
      </c>
      <c r="G2853" t="s">
        <v>10</v>
      </c>
      <c r="H2853" t="s">
        <v>39</v>
      </c>
    </row>
    <row r="2854" spans="1:8" x14ac:dyDescent="0.25">
      <c r="A2854" t="s">
        <v>38</v>
      </c>
      <c r="B2854" t="s">
        <v>32</v>
      </c>
      <c r="C2854">
        <v>1</v>
      </c>
      <c r="D2854" s="9">
        <v>1090</v>
      </c>
      <c r="E2854" s="9">
        <f>+Tablo3[[#This Row],[Birim Fiyat]]*Tablo3[[#This Row],[Satış Adet]]</f>
        <v>1090</v>
      </c>
      <c r="F2854" s="9">
        <v>290</v>
      </c>
      <c r="G2854" t="s">
        <v>10</v>
      </c>
      <c r="H2854" t="s">
        <v>24</v>
      </c>
    </row>
    <row r="2855" spans="1:8" x14ac:dyDescent="0.25">
      <c r="A2855" t="s">
        <v>22</v>
      </c>
      <c r="B2855" t="s">
        <v>25</v>
      </c>
      <c r="C2855">
        <v>1</v>
      </c>
      <c r="D2855" s="9">
        <v>7250</v>
      </c>
      <c r="E2855" s="9">
        <f>+Tablo3[[#This Row],[Birim Fiyat]]*Tablo3[[#This Row],[Satış Adet]]</f>
        <v>7250</v>
      </c>
      <c r="F2855" s="9">
        <v>2250</v>
      </c>
      <c r="G2855" t="s">
        <v>10</v>
      </c>
      <c r="H2855" t="s">
        <v>44</v>
      </c>
    </row>
    <row r="2856" spans="1:8" x14ac:dyDescent="0.25">
      <c r="A2856" t="s">
        <v>46</v>
      </c>
      <c r="B2856" t="s">
        <v>13</v>
      </c>
      <c r="C2856">
        <v>3</v>
      </c>
      <c r="D2856" s="9">
        <v>1400</v>
      </c>
      <c r="E2856" s="9">
        <f>+Tablo3[[#This Row],[Birim Fiyat]]*Tablo3[[#This Row],[Satış Adet]]</f>
        <v>4200</v>
      </c>
      <c r="F2856" s="9">
        <v>1800</v>
      </c>
      <c r="G2856" t="s">
        <v>10</v>
      </c>
      <c r="H2856" t="s">
        <v>35</v>
      </c>
    </row>
    <row r="2857" spans="1:8" x14ac:dyDescent="0.25">
      <c r="A2857" t="s">
        <v>15</v>
      </c>
      <c r="B2857" t="s">
        <v>55</v>
      </c>
      <c r="C2857">
        <v>1</v>
      </c>
      <c r="D2857" s="9">
        <v>1500</v>
      </c>
      <c r="E2857" s="9">
        <f>+Tablo3[[#This Row],[Birim Fiyat]]*Tablo3[[#This Row],[Satış Adet]]</f>
        <v>1500</v>
      </c>
      <c r="F2857" s="9">
        <v>700</v>
      </c>
      <c r="G2857" t="s">
        <v>10</v>
      </c>
      <c r="H2857" t="s">
        <v>27</v>
      </c>
    </row>
    <row r="2858" spans="1:8" x14ac:dyDescent="0.25">
      <c r="A2858" t="s">
        <v>33</v>
      </c>
      <c r="B2858" t="s">
        <v>19</v>
      </c>
      <c r="C2858">
        <v>1</v>
      </c>
      <c r="D2858" s="9">
        <v>1350</v>
      </c>
      <c r="E2858" s="9">
        <f>+Tablo3[[#This Row],[Birim Fiyat]]*Tablo3[[#This Row],[Satış Adet]]</f>
        <v>1350</v>
      </c>
      <c r="F2858" s="9">
        <v>550</v>
      </c>
      <c r="G2858" t="s">
        <v>10</v>
      </c>
      <c r="H2858" t="s">
        <v>17</v>
      </c>
    </row>
    <row r="2859" spans="1:8" x14ac:dyDescent="0.25">
      <c r="A2859" t="s">
        <v>33</v>
      </c>
      <c r="B2859" t="s">
        <v>28</v>
      </c>
      <c r="C2859">
        <v>3</v>
      </c>
      <c r="D2859" s="9">
        <v>1200</v>
      </c>
      <c r="E2859" s="9">
        <f>+Tablo3[[#This Row],[Birim Fiyat]]*Tablo3[[#This Row],[Satış Adet]]</f>
        <v>3600</v>
      </c>
      <c r="F2859" s="9">
        <v>1200</v>
      </c>
      <c r="G2859" t="s">
        <v>10</v>
      </c>
      <c r="H2859" t="s">
        <v>24</v>
      </c>
    </row>
    <row r="2860" spans="1:8" x14ac:dyDescent="0.25">
      <c r="A2860" t="s">
        <v>12</v>
      </c>
      <c r="B2860" t="s">
        <v>53</v>
      </c>
      <c r="C2860">
        <v>3</v>
      </c>
      <c r="D2860" s="9">
        <v>7530</v>
      </c>
      <c r="E2860" s="9">
        <f>+Tablo3[[#This Row],[Birim Fiyat]]*Tablo3[[#This Row],[Satış Adet]]</f>
        <v>22590</v>
      </c>
      <c r="F2860" s="9">
        <v>4590</v>
      </c>
      <c r="G2860" t="s">
        <v>10</v>
      </c>
      <c r="H2860" t="s">
        <v>24</v>
      </c>
    </row>
    <row r="2861" spans="1:8" x14ac:dyDescent="0.25">
      <c r="A2861" t="s">
        <v>46</v>
      </c>
      <c r="B2861" t="s">
        <v>28</v>
      </c>
      <c r="C2861">
        <v>1</v>
      </c>
      <c r="D2861" s="9">
        <v>1200</v>
      </c>
      <c r="E2861" s="9">
        <f>+Tablo3[[#This Row],[Birim Fiyat]]*Tablo3[[#This Row],[Satış Adet]]</f>
        <v>1200</v>
      </c>
      <c r="F2861" s="9">
        <v>400</v>
      </c>
      <c r="G2861" t="s">
        <v>10</v>
      </c>
      <c r="H2861" t="s">
        <v>14</v>
      </c>
    </row>
    <row r="2862" spans="1:8" x14ac:dyDescent="0.25">
      <c r="A2862" t="s">
        <v>36</v>
      </c>
      <c r="B2862" t="s">
        <v>31</v>
      </c>
      <c r="C2862">
        <v>3</v>
      </c>
      <c r="D2862" s="9">
        <v>1800</v>
      </c>
      <c r="E2862" s="9">
        <f>+Tablo3[[#This Row],[Birim Fiyat]]*Tablo3[[#This Row],[Satış Adet]]</f>
        <v>5400</v>
      </c>
      <c r="F2862" s="9">
        <v>3000</v>
      </c>
      <c r="G2862" t="s">
        <v>10</v>
      </c>
      <c r="H2862" t="s">
        <v>44</v>
      </c>
    </row>
    <row r="2863" spans="1:8" x14ac:dyDescent="0.25">
      <c r="A2863" t="s">
        <v>8</v>
      </c>
      <c r="B2863" t="s">
        <v>25</v>
      </c>
      <c r="C2863">
        <v>1</v>
      </c>
      <c r="D2863" s="9">
        <v>7250</v>
      </c>
      <c r="E2863" s="9">
        <f>+Tablo3[[#This Row],[Birim Fiyat]]*Tablo3[[#This Row],[Satış Adet]]</f>
        <v>7250</v>
      </c>
      <c r="F2863" s="9">
        <v>2250</v>
      </c>
      <c r="G2863" t="s">
        <v>10</v>
      </c>
      <c r="H2863" t="s">
        <v>52</v>
      </c>
    </row>
    <row r="2864" spans="1:8" x14ac:dyDescent="0.25">
      <c r="A2864" t="s">
        <v>38</v>
      </c>
      <c r="B2864" t="s">
        <v>41</v>
      </c>
      <c r="C2864">
        <v>3</v>
      </c>
      <c r="D2864" s="9">
        <v>1490</v>
      </c>
      <c r="E2864" s="9">
        <f>+Tablo3[[#This Row],[Birim Fiyat]]*Tablo3[[#This Row],[Satış Adet]]</f>
        <v>4470</v>
      </c>
      <c r="F2864" s="9">
        <v>2070</v>
      </c>
      <c r="G2864" t="s">
        <v>10</v>
      </c>
      <c r="H2864" t="s">
        <v>52</v>
      </c>
    </row>
    <row r="2865" spans="1:8" x14ac:dyDescent="0.25">
      <c r="A2865" t="s">
        <v>38</v>
      </c>
      <c r="B2865" t="s">
        <v>51</v>
      </c>
      <c r="C2865">
        <v>1</v>
      </c>
      <c r="D2865" s="9">
        <v>1200</v>
      </c>
      <c r="E2865" s="9">
        <f>+Tablo3[[#This Row],[Birim Fiyat]]*Tablo3[[#This Row],[Satış Adet]]</f>
        <v>1200</v>
      </c>
      <c r="F2865" s="9">
        <v>400</v>
      </c>
      <c r="G2865" t="s">
        <v>10</v>
      </c>
      <c r="H2865" t="s">
        <v>44</v>
      </c>
    </row>
    <row r="2866" spans="1:8" x14ac:dyDescent="0.25">
      <c r="A2866" t="s">
        <v>12</v>
      </c>
      <c r="B2866" t="s">
        <v>34</v>
      </c>
      <c r="C2866">
        <v>1</v>
      </c>
      <c r="D2866" s="9">
        <v>8000</v>
      </c>
      <c r="E2866" s="9">
        <f>+Tablo3[[#This Row],[Birim Fiyat]]*Tablo3[[#This Row],[Satış Adet]]</f>
        <v>8000</v>
      </c>
      <c r="F2866" s="9">
        <v>2000</v>
      </c>
      <c r="G2866" t="s">
        <v>10</v>
      </c>
      <c r="H2866" t="s">
        <v>44</v>
      </c>
    </row>
    <row r="2867" spans="1:8" x14ac:dyDescent="0.25">
      <c r="A2867" t="s">
        <v>30</v>
      </c>
      <c r="B2867" t="s">
        <v>13</v>
      </c>
      <c r="C2867">
        <v>1</v>
      </c>
      <c r="D2867" s="9">
        <v>1400</v>
      </c>
      <c r="E2867" s="9">
        <f>+Tablo3[[#This Row],[Birim Fiyat]]*Tablo3[[#This Row],[Satış Adet]]</f>
        <v>1400</v>
      </c>
      <c r="F2867" s="9">
        <v>600</v>
      </c>
      <c r="G2867" t="s">
        <v>10</v>
      </c>
      <c r="H2867" t="s">
        <v>39</v>
      </c>
    </row>
    <row r="2868" spans="1:8" x14ac:dyDescent="0.25">
      <c r="A2868" t="s">
        <v>67</v>
      </c>
      <c r="B2868" t="s">
        <v>19</v>
      </c>
      <c r="C2868">
        <v>1</v>
      </c>
      <c r="D2868" s="9">
        <v>1350</v>
      </c>
      <c r="E2868" s="9">
        <f>+Tablo3[[#This Row],[Birim Fiyat]]*Tablo3[[#This Row],[Satış Adet]]</f>
        <v>1350</v>
      </c>
      <c r="F2868" s="9">
        <v>550</v>
      </c>
      <c r="G2868" t="s">
        <v>10</v>
      </c>
      <c r="H2868" t="s">
        <v>27</v>
      </c>
    </row>
    <row r="2869" spans="1:8" x14ac:dyDescent="0.25">
      <c r="A2869" t="s">
        <v>36</v>
      </c>
      <c r="B2869" t="s">
        <v>51</v>
      </c>
      <c r="C2869">
        <v>1</v>
      </c>
      <c r="D2869" s="9">
        <v>1200</v>
      </c>
      <c r="E2869" s="9">
        <f>+Tablo3[[#This Row],[Birim Fiyat]]*Tablo3[[#This Row],[Satış Adet]]</f>
        <v>1200</v>
      </c>
      <c r="F2869" s="9">
        <v>400</v>
      </c>
      <c r="G2869" t="s">
        <v>10</v>
      </c>
      <c r="H2869" t="s">
        <v>27</v>
      </c>
    </row>
    <row r="2870" spans="1:8" x14ac:dyDescent="0.25">
      <c r="A2870" t="s">
        <v>30</v>
      </c>
      <c r="B2870" t="s">
        <v>54</v>
      </c>
      <c r="C2870">
        <v>1</v>
      </c>
      <c r="D2870" s="9">
        <v>5300</v>
      </c>
      <c r="E2870" s="9">
        <f>+Tablo3[[#This Row],[Birim Fiyat]]*Tablo3[[#This Row],[Satış Adet]]</f>
        <v>5300</v>
      </c>
      <c r="F2870" s="9">
        <v>1300</v>
      </c>
      <c r="G2870" t="s">
        <v>10</v>
      </c>
      <c r="H2870" t="s">
        <v>20</v>
      </c>
    </row>
    <row r="2871" spans="1:8" x14ac:dyDescent="0.25">
      <c r="A2871" t="s">
        <v>38</v>
      </c>
      <c r="B2871" t="s">
        <v>37</v>
      </c>
      <c r="C2871">
        <v>3</v>
      </c>
      <c r="D2871" s="9">
        <v>10590</v>
      </c>
      <c r="E2871" s="9">
        <f>+Tablo3[[#This Row],[Birim Fiyat]]*Tablo3[[#This Row],[Satış Adet]]</f>
        <v>31770</v>
      </c>
      <c r="F2871" s="9">
        <v>13770</v>
      </c>
      <c r="G2871" t="s">
        <v>10</v>
      </c>
      <c r="H2871" t="s">
        <v>11</v>
      </c>
    </row>
    <row r="2872" spans="1:8" x14ac:dyDescent="0.25">
      <c r="A2872" t="s">
        <v>22</v>
      </c>
      <c r="B2872" t="s">
        <v>50</v>
      </c>
      <c r="C2872">
        <v>1</v>
      </c>
      <c r="D2872" s="9">
        <v>1250</v>
      </c>
      <c r="E2872" s="9">
        <f>+Tablo3[[#This Row],[Birim Fiyat]]*Tablo3[[#This Row],[Satış Adet]]</f>
        <v>1250</v>
      </c>
      <c r="F2872" s="9">
        <v>450</v>
      </c>
      <c r="G2872" t="s">
        <v>10</v>
      </c>
      <c r="H2872" t="s">
        <v>39</v>
      </c>
    </row>
    <row r="2873" spans="1:8" x14ac:dyDescent="0.25">
      <c r="A2873" t="s">
        <v>48</v>
      </c>
      <c r="B2873" t="s">
        <v>51</v>
      </c>
      <c r="C2873">
        <v>1</v>
      </c>
      <c r="D2873" s="9">
        <v>1200</v>
      </c>
      <c r="E2873" s="9">
        <f>+Tablo3[[#This Row],[Birim Fiyat]]*Tablo3[[#This Row],[Satış Adet]]</f>
        <v>1200</v>
      </c>
      <c r="F2873" s="9">
        <v>400</v>
      </c>
      <c r="G2873" t="s">
        <v>10</v>
      </c>
      <c r="H2873" t="s">
        <v>20</v>
      </c>
    </row>
    <row r="2874" spans="1:8" x14ac:dyDescent="0.25">
      <c r="A2874" t="s">
        <v>22</v>
      </c>
      <c r="B2874" t="s">
        <v>13</v>
      </c>
      <c r="C2874">
        <v>3</v>
      </c>
      <c r="D2874" s="9">
        <v>1400</v>
      </c>
      <c r="E2874" s="9">
        <f>+Tablo3[[#This Row],[Birim Fiyat]]*Tablo3[[#This Row],[Satış Adet]]</f>
        <v>4200</v>
      </c>
      <c r="F2874" s="9">
        <v>1800</v>
      </c>
      <c r="G2874" t="s">
        <v>10</v>
      </c>
      <c r="H2874" t="s">
        <v>35</v>
      </c>
    </row>
    <row r="2875" spans="1:8" x14ac:dyDescent="0.25">
      <c r="A2875" t="s">
        <v>48</v>
      </c>
      <c r="B2875" t="s">
        <v>53</v>
      </c>
      <c r="C2875">
        <v>2</v>
      </c>
      <c r="D2875" s="9">
        <v>7530</v>
      </c>
      <c r="E2875" s="9">
        <f>+Tablo3[[#This Row],[Birim Fiyat]]*Tablo3[[#This Row],[Satış Adet]]</f>
        <v>15060</v>
      </c>
      <c r="F2875" s="9">
        <v>3060</v>
      </c>
      <c r="G2875" t="s">
        <v>10</v>
      </c>
      <c r="H2875" t="s">
        <v>24</v>
      </c>
    </row>
    <row r="2876" spans="1:8" x14ac:dyDescent="0.25">
      <c r="A2876" t="s">
        <v>30</v>
      </c>
      <c r="B2876" t="s">
        <v>23</v>
      </c>
      <c r="C2876">
        <v>1</v>
      </c>
      <c r="D2876" s="9">
        <v>7600</v>
      </c>
      <c r="E2876" s="9">
        <f>+Tablo3[[#This Row],[Birim Fiyat]]*Tablo3[[#This Row],[Satış Adet]]</f>
        <v>7600</v>
      </c>
      <c r="F2876" s="9">
        <v>1600</v>
      </c>
      <c r="G2876" t="s">
        <v>10</v>
      </c>
      <c r="H2876" t="s">
        <v>27</v>
      </c>
    </row>
    <row r="2877" spans="1:8" x14ac:dyDescent="0.25">
      <c r="A2877" t="s">
        <v>48</v>
      </c>
      <c r="B2877" t="s">
        <v>55</v>
      </c>
      <c r="C2877">
        <v>1</v>
      </c>
      <c r="D2877" s="9">
        <v>1500</v>
      </c>
      <c r="E2877" s="9">
        <f>+Tablo3[[#This Row],[Birim Fiyat]]*Tablo3[[#This Row],[Satış Adet]]</f>
        <v>1500</v>
      </c>
      <c r="F2877" s="9">
        <v>700</v>
      </c>
      <c r="G2877" t="s">
        <v>10</v>
      </c>
      <c r="H2877" t="s">
        <v>17</v>
      </c>
    </row>
    <row r="2878" spans="1:8" x14ac:dyDescent="0.25">
      <c r="A2878" t="s">
        <v>38</v>
      </c>
      <c r="B2878" t="s">
        <v>21</v>
      </c>
      <c r="C2878">
        <v>2</v>
      </c>
      <c r="D2878" s="9">
        <v>2180</v>
      </c>
      <c r="E2878" s="9">
        <f>+Tablo3[[#This Row],[Birim Fiyat]]*Tablo3[[#This Row],[Satış Adet]]</f>
        <v>4360</v>
      </c>
      <c r="F2878" s="9">
        <v>1360</v>
      </c>
      <c r="G2878" t="s">
        <v>10</v>
      </c>
      <c r="H2878" t="s">
        <v>11</v>
      </c>
    </row>
    <row r="2879" spans="1:8" x14ac:dyDescent="0.25">
      <c r="A2879" t="s">
        <v>18</v>
      </c>
      <c r="B2879" t="s">
        <v>21</v>
      </c>
      <c r="C2879">
        <v>1</v>
      </c>
      <c r="D2879" s="9">
        <v>2180</v>
      </c>
      <c r="E2879" s="9">
        <f>+Tablo3[[#This Row],[Birim Fiyat]]*Tablo3[[#This Row],[Satış Adet]]</f>
        <v>2180</v>
      </c>
      <c r="F2879" s="9">
        <v>680</v>
      </c>
      <c r="G2879" t="s">
        <v>10</v>
      </c>
      <c r="H2879" t="s">
        <v>40</v>
      </c>
    </row>
    <row r="2880" spans="1:8" x14ac:dyDescent="0.25">
      <c r="A2880" t="s">
        <v>38</v>
      </c>
      <c r="B2880" t="s">
        <v>45</v>
      </c>
      <c r="C2880">
        <v>1</v>
      </c>
      <c r="D2880" s="9">
        <v>5775</v>
      </c>
      <c r="E2880" s="9">
        <f>+Tablo3[[#This Row],[Birim Fiyat]]*Tablo3[[#This Row],[Satış Adet]]</f>
        <v>5775</v>
      </c>
      <c r="F2880" s="9">
        <v>1775</v>
      </c>
      <c r="G2880" t="s">
        <v>10</v>
      </c>
      <c r="H2880" t="s">
        <v>44</v>
      </c>
    </row>
    <row r="2881" spans="1:8" x14ac:dyDescent="0.25">
      <c r="A2881" t="s">
        <v>38</v>
      </c>
      <c r="B2881" t="s">
        <v>26</v>
      </c>
      <c r="C2881">
        <v>3</v>
      </c>
      <c r="D2881" s="9">
        <v>1100</v>
      </c>
      <c r="E2881" s="9">
        <f>+Tablo3[[#This Row],[Birim Fiyat]]*Tablo3[[#This Row],[Satış Adet]]</f>
        <v>3300</v>
      </c>
      <c r="F2881" s="9">
        <v>900</v>
      </c>
      <c r="G2881" t="s">
        <v>10</v>
      </c>
      <c r="H2881" t="s">
        <v>11</v>
      </c>
    </row>
    <row r="2882" spans="1:8" x14ac:dyDescent="0.25">
      <c r="A2882" t="s">
        <v>46</v>
      </c>
      <c r="B2882" t="s">
        <v>45</v>
      </c>
      <c r="C2882">
        <v>1</v>
      </c>
      <c r="D2882" s="9">
        <v>5775</v>
      </c>
      <c r="E2882" s="9">
        <f>+Tablo3[[#This Row],[Birim Fiyat]]*Tablo3[[#This Row],[Satış Adet]]</f>
        <v>5775</v>
      </c>
      <c r="F2882" s="9">
        <v>1775</v>
      </c>
      <c r="G2882" t="s">
        <v>10</v>
      </c>
      <c r="H2882" t="s">
        <v>39</v>
      </c>
    </row>
    <row r="2883" spans="1:8" x14ac:dyDescent="0.25">
      <c r="A2883" t="s">
        <v>33</v>
      </c>
      <c r="B2883" t="s">
        <v>19</v>
      </c>
      <c r="C2883">
        <v>1</v>
      </c>
      <c r="D2883" s="9">
        <v>1350</v>
      </c>
      <c r="E2883" s="9">
        <f>+Tablo3[[#This Row],[Birim Fiyat]]*Tablo3[[#This Row],[Satış Adet]]</f>
        <v>1350</v>
      </c>
      <c r="F2883" s="9">
        <v>550</v>
      </c>
      <c r="G2883" t="s">
        <v>10</v>
      </c>
      <c r="H2883" t="s">
        <v>17</v>
      </c>
    </row>
    <row r="2884" spans="1:8" x14ac:dyDescent="0.25">
      <c r="A2884" t="s">
        <v>8</v>
      </c>
      <c r="B2884" t="s">
        <v>23</v>
      </c>
      <c r="C2884">
        <v>3</v>
      </c>
      <c r="D2884" s="9">
        <v>7600</v>
      </c>
      <c r="E2884" s="9">
        <f>+Tablo3[[#This Row],[Birim Fiyat]]*Tablo3[[#This Row],[Satış Adet]]</f>
        <v>22800</v>
      </c>
      <c r="F2884" s="9">
        <v>4800</v>
      </c>
      <c r="G2884" t="s">
        <v>10</v>
      </c>
      <c r="H2884" t="s">
        <v>39</v>
      </c>
    </row>
    <row r="2885" spans="1:8" x14ac:dyDescent="0.25">
      <c r="A2885" t="s">
        <v>15</v>
      </c>
      <c r="B2885" t="s">
        <v>25</v>
      </c>
      <c r="C2885">
        <v>3</v>
      </c>
      <c r="D2885" s="9">
        <v>7250</v>
      </c>
      <c r="E2885" s="9">
        <f>+Tablo3[[#This Row],[Birim Fiyat]]*Tablo3[[#This Row],[Satış Adet]]</f>
        <v>21750</v>
      </c>
      <c r="F2885" s="9">
        <v>6750</v>
      </c>
      <c r="G2885" t="s">
        <v>10</v>
      </c>
      <c r="H2885" t="s">
        <v>42</v>
      </c>
    </row>
    <row r="2886" spans="1:8" x14ac:dyDescent="0.25">
      <c r="A2886" t="s">
        <v>48</v>
      </c>
      <c r="B2886" t="s">
        <v>41</v>
      </c>
      <c r="C2886">
        <v>2</v>
      </c>
      <c r="D2886" s="9">
        <v>1490</v>
      </c>
      <c r="E2886" s="9">
        <f>+Tablo3[[#This Row],[Birim Fiyat]]*Tablo3[[#This Row],[Satış Adet]]</f>
        <v>2980</v>
      </c>
      <c r="F2886" s="9">
        <v>1380</v>
      </c>
      <c r="G2886" t="s">
        <v>10</v>
      </c>
      <c r="H2886" t="s">
        <v>44</v>
      </c>
    </row>
    <row r="2887" spans="1:8" x14ac:dyDescent="0.25">
      <c r="A2887" t="s">
        <v>18</v>
      </c>
      <c r="B2887" t="s">
        <v>41</v>
      </c>
      <c r="C2887">
        <v>2</v>
      </c>
      <c r="D2887" s="9">
        <v>1490</v>
      </c>
      <c r="E2887" s="9">
        <f>+Tablo3[[#This Row],[Birim Fiyat]]*Tablo3[[#This Row],[Satış Adet]]</f>
        <v>2980</v>
      </c>
      <c r="F2887" s="9">
        <v>1380</v>
      </c>
      <c r="G2887" t="s">
        <v>10</v>
      </c>
      <c r="H2887" t="s">
        <v>24</v>
      </c>
    </row>
    <row r="2888" spans="1:8" x14ac:dyDescent="0.25">
      <c r="A2888" t="s">
        <v>36</v>
      </c>
      <c r="B2888" t="s">
        <v>32</v>
      </c>
      <c r="C2888">
        <v>2</v>
      </c>
      <c r="D2888" s="9">
        <v>1090</v>
      </c>
      <c r="E2888" s="9">
        <f>+Tablo3[[#This Row],[Birim Fiyat]]*Tablo3[[#This Row],[Satış Adet]]</f>
        <v>2180</v>
      </c>
      <c r="F2888" s="9">
        <v>580</v>
      </c>
      <c r="G2888" t="s">
        <v>10</v>
      </c>
      <c r="H2888" t="s">
        <v>39</v>
      </c>
    </row>
    <row r="2889" spans="1:8" x14ac:dyDescent="0.25">
      <c r="A2889" t="s">
        <v>36</v>
      </c>
      <c r="B2889" t="s">
        <v>28</v>
      </c>
      <c r="C2889">
        <v>3</v>
      </c>
      <c r="D2889" s="9">
        <v>1200</v>
      </c>
      <c r="E2889" s="9">
        <f>+Tablo3[[#This Row],[Birim Fiyat]]*Tablo3[[#This Row],[Satış Adet]]</f>
        <v>3600</v>
      </c>
      <c r="F2889" s="9">
        <v>1200</v>
      </c>
      <c r="G2889" t="s">
        <v>10</v>
      </c>
      <c r="H2889" t="s">
        <v>14</v>
      </c>
    </row>
    <row r="2890" spans="1:8" x14ac:dyDescent="0.25">
      <c r="A2890" t="s">
        <v>48</v>
      </c>
      <c r="B2890" t="s">
        <v>32</v>
      </c>
      <c r="C2890">
        <v>2</v>
      </c>
      <c r="D2890" s="9">
        <v>1090</v>
      </c>
      <c r="E2890" s="9">
        <f>+Tablo3[[#This Row],[Birim Fiyat]]*Tablo3[[#This Row],[Satış Adet]]</f>
        <v>2180</v>
      </c>
      <c r="F2890" s="9">
        <v>580</v>
      </c>
      <c r="G2890" t="s">
        <v>10</v>
      </c>
      <c r="H2890" t="s">
        <v>20</v>
      </c>
    </row>
  </sheetData>
  <dataConsolidate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5C54-F270-459D-9FF9-65F82EC3FA02}">
  <dimension ref="A1:I70"/>
  <sheetViews>
    <sheetView zoomScale="85" zoomScaleNormal="85" workbookViewId="0">
      <selection activeCell="F15" sqref="F15"/>
    </sheetView>
  </sheetViews>
  <sheetFormatPr defaultRowHeight="15" x14ac:dyDescent="0.25"/>
  <cols>
    <col min="1" max="1" width="16.28515625" bestFit="1" customWidth="1"/>
    <col min="2" max="2" width="20.5703125" bestFit="1" customWidth="1"/>
    <col min="3" max="3" width="22" bestFit="1" customWidth="1"/>
    <col min="4" max="5" width="16.7109375" bestFit="1" customWidth="1"/>
    <col min="6" max="6" width="23.42578125" bestFit="1" customWidth="1"/>
    <col min="7" max="7" width="20.7109375" bestFit="1" customWidth="1"/>
    <col min="8" max="8" width="16.7109375" bestFit="1" customWidth="1"/>
    <col min="9" max="9" width="20.140625" bestFit="1" customWidth="1"/>
    <col min="10" max="12" width="16.7109375" bestFit="1" customWidth="1"/>
    <col min="13" max="14" width="13.140625" bestFit="1" customWidth="1"/>
  </cols>
  <sheetData>
    <row r="1" spans="1:9" ht="18.75" x14ac:dyDescent="0.3">
      <c r="A1" s="49" t="s">
        <v>74</v>
      </c>
      <c r="B1" s="50"/>
      <c r="C1" s="50"/>
      <c r="H1" s="5" t="s">
        <v>76</v>
      </c>
      <c r="I1" s="6"/>
    </row>
    <row r="2" spans="1:9" x14ac:dyDescent="0.25">
      <c r="A2" s="2" t="s">
        <v>68</v>
      </c>
      <c r="B2" s="3" t="s">
        <v>70</v>
      </c>
      <c r="C2" s="3" t="s">
        <v>72</v>
      </c>
      <c r="H2" s="2" t="s">
        <v>68</v>
      </c>
      <c r="I2" s="3" t="s">
        <v>4</v>
      </c>
    </row>
    <row r="3" spans="1:9" x14ac:dyDescent="0.25">
      <c r="A3" s="4" t="s">
        <v>22</v>
      </c>
      <c r="B3" s="3">
        <v>2255130</v>
      </c>
      <c r="C3" s="3">
        <v>655130</v>
      </c>
      <c r="H3" s="4" t="s">
        <v>29</v>
      </c>
      <c r="I3" s="3">
        <v>2777940</v>
      </c>
    </row>
    <row r="4" spans="1:9" x14ac:dyDescent="0.25">
      <c r="A4" s="4" t="s">
        <v>36</v>
      </c>
      <c r="B4" s="3">
        <v>3166730</v>
      </c>
      <c r="C4" s="3">
        <v>1098330</v>
      </c>
      <c r="H4" s="4" t="s">
        <v>17</v>
      </c>
      <c r="I4" s="3">
        <v>2216245</v>
      </c>
    </row>
    <row r="5" spans="1:9" x14ac:dyDescent="0.25">
      <c r="A5" s="4" t="s">
        <v>46</v>
      </c>
      <c r="B5" s="3">
        <v>1903115</v>
      </c>
      <c r="C5" s="3">
        <v>541115</v>
      </c>
      <c r="H5" s="4" t="s">
        <v>27</v>
      </c>
      <c r="I5" s="3">
        <v>2534590</v>
      </c>
    </row>
    <row r="6" spans="1:9" x14ac:dyDescent="0.25">
      <c r="A6" s="4" t="s">
        <v>18</v>
      </c>
      <c r="B6" s="3">
        <v>1008710</v>
      </c>
      <c r="C6" s="3">
        <v>332410</v>
      </c>
      <c r="H6" s="4" t="s">
        <v>39</v>
      </c>
      <c r="I6" s="3">
        <v>2450585</v>
      </c>
    </row>
    <row r="7" spans="1:9" x14ac:dyDescent="0.25">
      <c r="A7" s="4" t="s">
        <v>15</v>
      </c>
      <c r="B7" s="3">
        <v>3410970</v>
      </c>
      <c r="C7" s="3">
        <v>972270</v>
      </c>
      <c r="H7" s="4" t="s">
        <v>42</v>
      </c>
      <c r="I7" s="3">
        <v>2709440</v>
      </c>
    </row>
    <row r="8" spans="1:9" x14ac:dyDescent="0.25">
      <c r="A8" s="4" t="s">
        <v>67</v>
      </c>
      <c r="B8" s="3">
        <v>2368440</v>
      </c>
      <c r="C8" s="3">
        <v>750940</v>
      </c>
      <c r="H8" s="4" t="s">
        <v>14</v>
      </c>
      <c r="I8" s="3">
        <v>2277785</v>
      </c>
    </row>
    <row r="9" spans="1:9" x14ac:dyDescent="0.25">
      <c r="A9" s="4" t="s">
        <v>38</v>
      </c>
      <c r="B9" s="3">
        <v>2452505</v>
      </c>
      <c r="C9" s="3">
        <v>929005</v>
      </c>
      <c r="H9" s="4" t="s">
        <v>24</v>
      </c>
      <c r="I9" s="3">
        <v>2369710</v>
      </c>
    </row>
    <row r="10" spans="1:9" x14ac:dyDescent="0.25">
      <c r="A10" s="4" t="s">
        <v>8</v>
      </c>
      <c r="B10" s="3">
        <v>2762610</v>
      </c>
      <c r="C10" s="3">
        <v>833410</v>
      </c>
      <c r="H10" s="4" t="s">
        <v>52</v>
      </c>
      <c r="I10" s="3">
        <v>2308105</v>
      </c>
    </row>
    <row r="11" spans="1:9" x14ac:dyDescent="0.25">
      <c r="A11" s="4" t="s">
        <v>30</v>
      </c>
      <c r="B11" s="3">
        <v>2960670</v>
      </c>
      <c r="C11" s="3">
        <v>916070</v>
      </c>
      <c r="H11" s="4" t="s">
        <v>40</v>
      </c>
      <c r="I11" s="3">
        <v>2224770</v>
      </c>
    </row>
    <row r="12" spans="1:9" x14ac:dyDescent="0.25">
      <c r="A12" s="4" t="s">
        <v>12</v>
      </c>
      <c r="B12" s="3">
        <v>3828925</v>
      </c>
      <c r="C12" s="3">
        <v>1012925</v>
      </c>
      <c r="H12" s="4" t="s">
        <v>11</v>
      </c>
      <c r="I12" s="3">
        <v>2200840</v>
      </c>
    </row>
    <row r="13" spans="1:9" x14ac:dyDescent="0.25">
      <c r="A13" s="4" t="s">
        <v>33</v>
      </c>
      <c r="B13" s="3">
        <v>1800540</v>
      </c>
      <c r="C13" s="3">
        <v>550340</v>
      </c>
      <c r="H13" s="4" t="s">
        <v>20</v>
      </c>
      <c r="I13" s="3">
        <v>2045210</v>
      </c>
    </row>
    <row r="14" spans="1:9" x14ac:dyDescent="0.25">
      <c r="A14" s="4" t="s">
        <v>48</v>
      </c>
      <c r="B14" s="3">
        <v>2515870</v>
      </c>
      <c r="C14" s="3">
        <v>629970</v>
      </c>
      <c r="H14" s="4" t="s">
        <v>44</v>
      </c>
      <c r="I14" s="3">
        <v>2221530</v>
      </c>
    </row>
    <row r="15" spans="1:9" x14ac:dyDescent="0.25">
      <c r="A15" s="4" t="s">
        <v>69</v>
      </c>
      <c r="B15" s="3">
        <v>30434215</v>
      </c>
      <c r="C15" s="3">
        <v>9221915</v>
      </c>
      <c r="H15" s="4" t="s">
        <v>35</v>
      </c>
      <c r="I15" s="3">
        <v>2097465</v>
      </c>
    </row>
    <row r="16" spans="1:9" x14ac:dyDescent="0.25">
      <c r="H16" s="4" t="s">
        <v>69</v>
      </c>
      <c r="I16" s="3">
        <v>30434215</v>
      </c>
    </row>
    <row r="45" spans="1:9" ht="15.75" x14ac:dyDescent="0.25">
      <c r="A45" s="51" t="s">
        <v>77</v>
      </c>
      <c r="B45" s="52"/>
      <c r="H45" s="47" t="s">
        <v>75</v>
      </c>
      <c r="I45" s="48"/>
    </row>
    <row r="46" spans="1:9" x14ac:dyDescent="0.25">
      <c r="A46" s="2" t="s">
        <v>68</v>
      </c>
      <c r="B46" s="8" t="s">
        <v>73</v>
      </c>
      <c r="H46" s="2" t="s">
        <v>68</v>
      </c>
      <c r="I46" s="7" t="s">
        <v>71</v>
      </c>
    </row>
    <row r="47" spans="1:9" x14ac:dyDescent="0.25">
      <c r="A47" s="4" t="s">
        <v>9</v>
      </c>
      <c r="B47" s="8">
        <v>400</v>
      </c>
      <c r="H47" s="4" t="s">
        <v>10</v>
      </c>
      <c r="I47" s="7">
        <v>1274290</v>
      </c>
    </row>
    <row r="48" spans="1:9" x14ac:dyDescent="0.25">
      <c r="A48" s="4" t="s">
        <v>54</v>
      </c>
      <c r="B48" s="8">
        <v>232</v>
      </c>
      <c r="H48" s="4" t="s">
        <v>47</v>
      </c>
      <c r="I48" s="7">
        <v>1582010</v>
      </c>
    </row>
    <row r="49" spans="1:9" x14ac:dyDescent="0.25">
      <c r="A49" s="4" t="s">
        <v>37</v>
      </c>
      <c r="B49" s="8">
        <v>269</v>
      </c>
      <c r="H49" s="4" t="s">
        <v>57</v>
      </c>
      <c r="I49" s="7">
        <v>668410</v>
      </c>
    </row>
    <row r="50" spans="1:9" x14ac:dyDescent="0.25">
      <c r="A50" s="4" t="s">
        <v>16</v>
      </c>
      <c r="B50" s="8">
        <v>233</v>
      </c>
      <c r="H50" s="4" t="s">
        <v>58</v>
      </c>
      <c r="I50" s="7">
        <v>2405475</v>
      </c>
    </row>
    <row r="51" spans="1:9" x14ac:dyDescent="0.25">
      <c r="A51" s="4" t="s">
        <v>53</v>
      </c>
      <c r="B51" s="8">
        <v>271</v>
      </c>
      <c r="H51" s="4" t="s">
        <v>59</v>
      </c>
      <c r="I51" s="7">
        <v>3756370</v>
      </c>
    </row>
    <row r="52" spans="1:9" x14ac:dyDescent="0.25">
      <c r="A52" s="4" t="s">
        <v>34</v>
      </c>
      <c r="B52" s="8">
        <v>148</v>
      </c>
      <c r="H52" s="4" t="s">
        <v>60</v>
      </c>
      <c r="I52" s="7">
        <v>3857420</v>
      </c>
    </row>
    <row r="53" spans="1:9" x14ac:dyDescent="0.25">
      <c r="A53" s="4" t="s">
        <v>23</v>
      </c>
      <c r="B53" s="8">
        <v>659</v>
      </c>
      <c r="H53" s="4" t="s">
        <v>61</v>
      </c>
      <c r="I53" s="7">
        <v>2057110</v>
      </c>
    </row>
    <row r="54" spans="1:9" x14ac:dyDescent="0.25">
      <c r="A54" s="4" t="s">
        <v>41</v>
      </c>
      <c r="B54" s="8">
        <v>425</v>
      </c>
      <c r="H54" s="4" t="s">
        <v>62</v>
      </c>
      <c r="I54" s="7">
        <v>4706900</v>
      </c>
    </row>
    <row r="55" spans="1:9" x14ac:dyDescent="0.25">
      <c r="A55" s="4" t="s">
        <v>55</v>
      </c>
      <c r="B55" s="8">
        <v>268</v>
      </c>
      <c r="H55" s="4" t="s">
        <v>63</v>
      </c>
      <c r="I55" s="7">
        <v>2635840</v>
      </c>
    </row>
    <row r="56" spans="1:9" x14ac:dyDescent="0.25">
      <c r="A56" s="4" t="s">
        <v>45</v>
      </c>
      <c r="B56" s="8">
        <v>133</v>
      </c>
      <c r="H56" s="4" t="s">
        <v>64</v>
      </c>
      <c r="I56" s="7">
        <v>2571535</v>
      </c>
    </row>
    <row r="57" spans="1:9" x14ac:dyDescent="0.25">
      <c r="A57" s="4" t="s">
        <v>25</v>
      </c>
      <c r="B57" s="8">
        <v>611</v>
      </c>
      <c r="H57" s="4" t="s">
        <v>65</v>
      </c>
      <c r="I57" s="7">
        <v>2075190</v>
      </c>
    </row>
    <row r="58" spans="1:9" x14ac:dyDescent="0.25">
      <c r="A58" s="4" t="s">
        <v>43</v>
      </c>
      <c r="B58" s="8">
        <v>360</v>
      </c>
      <c r="H58" s="4" t="s">
        <v>66</v>
      </c>
      <c r="I58" s="7">
        <v>2843665</v>
      </c>
    </row>
    <row r="59" spans="1:9" x14ac:dyDescent="0.25">
      <c r="A59" s="4" t="s">
        <v>56</v>
      </c>
      <c r="B59" s="8">
        <v>275</v>
      </c>
      <c r="H59" s="4" t="s">
        <v>69</v>
      </c>
      <c r="I59" s="7">
        <v>30434215</v>
      </c>
    </row>
    <row r="60" spans="1:9" x14ac:dyDescent="0.25">
      <c r="A60" s="4" t="s">
        <v>49</v>
      </c>
      <c r="B60" s="8">
        <v>69</v>
      </c>
    </row>
    <row r="61" spans="1:9" x14ac:dyDescent="0.25">
      <c r="A61" s="4" t="s">
        <v>21</v>
      </c>
      <c r="B61" s="8">
        <v>450</v>
      </c>
    </row>
    <row r="62" spans="1:9" x14ac:dyDescent="0.25">
      <c r="A62" s="4" t="s">
        <v>13</v>
      </c>
      <c r="B62" s="8">
        <v>344</v>
      </c>
    </row>
    <row r="63" spans="1:9" x14ac:dyDescent="0.25">
      <c r="A63" s="4" t="s">
        <v>31</v>
      </c>
      <c r="B63" s="8">
        <v>395</v>
      </c>
    </row>
    <row r="64" spans="1:9" x14ac:dyDescent="0.25">
      <c r="A64" s="4" t="s">
        <v>26</v>
      </c>
      <c r="B64" s="8">
        <v>386</v>
      </c>
    </row>
    <row r="65" spans="1:2" x14ac:dyDescent="0.25">
      <c r="A65" s="4" t="s">
        <v>50</v>
      </c>
      <c r="B65" s="8">
        <v>215</v>
      </c>
    </row>
    <row r="66" spans="1:2" x14ac:dyDescent="0.25">
      <c r="A66" s="4" t="s">
        <v>28</v>
      </c>
      <c r="B66" s="8">
        <v>344</v>
      </c>
    </row>
    <row r="67" spans="1:2" x14ac:dyDescent="0.25">
      <c r="A67" s="4" t="s">
        <v>32</v>
      </c>
      <c r="B67" s="8">
        <v>492</v>
      </c>
    </row>
    <row r="68" spans="1:2" x14ac:dyDescent="0.25">
      <c r="A68" s="4" t="s">
        <v>51</v>
      </c>
      <c r="B68" s="8">
        <v>372</v>
      </c>
    </row>
    <row r="69" spans="1:2" x14ac:dyDescent="0.25">
      <c r="A69" s="4" t="s">
        <v>19</v>
      </c>
      <c r="B69" s="8">
        <v>411</v>
      </c>
    </row>
    <row r="70" spans="1:2" x14ac:dyDescent="0.25">
      <c r="A70" s="4" t="s">
        <v>69</v>
      </c>
      <c r="B70" s="8">
        <v>7762</v>
      </c>
    </row>
  </sheetData>
  <mergeCells count="3">
    <mergeCell ref="H45:I45"/>
    <mergeCell ref="A1:C1"/>
    <mergeCell ref="A45:B45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06DD-6E63-44BE-AFF0-3D018CC756F6}">
  <dimension ref="A1:H2"/>
  <sheetViews>
    <sheetView showGridLines="0" zoomScaleNormal="100" workbookViewId="0">
      <selection activeCell="J7" sqref="J7"/>
    </sheetView>
  </sheetViews>
  <sheetFormatPr defaultRowHeight="15" x14ac:dyDescent="0.25"/>
  <sheetData>
    <row r="1" spans="1:8" x14ac:dyDescent="0.25">
      <c r="A1" s="53" t="s">
        <v>78</v>
      </c>
      <c r="B1" s="54"/>
      <c r="C1" s="54"/>
      <c r="D1" s="54"/>
      <c r="E1" s="54"/>
      <c r="F1" s="54"/>
      <c r="G1" s="54"/>
      <c r="H1" s="54"/>
    </row>
    <row r="2" spans="1:8" x14ac:dyDescent="0.25">
      <c r="A2" s="54"/>
      <c r="B2" s="54"/>
      <c r="C2" s="54"/>
      <c r="D2" s="54"/>
      <c r="E2" s="54"/>
      <c r="F2" s="54"/>
      <c r="G2" s="54"/>
      <c r="H2" s="54"/>
    </row>
  </sheetData>
  <mergeCells count="1">
    <mergeCell ref="A1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Analiz</vt:lpstr>
      <vt:lpstr>Genel Dashboard</vt:lpstr>
      <vt:lpstr>Personel Dashboard</vt:lpstr>
      <vt:lpstr>Per Dashboard Hesap</vt:lpstr>
      <vt:lpstr>Genel DashboardHesap</vt:lpstr>
      <vt:lpstr>Veri Seti</vt:lpstr>
      <vt:lpstr>AnalizEski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mertcan ülker</dc:creator>
  <cp:lastModifiedBy>Erkam Coştu</cp:lastModifiedBy>
  <dcterms:created xsi:type="dcterms:W3CDTF">2025-03-12T08:33:57Z</dcterms:created>
  <dcterms:modified xsi:type="dcterms:W3CDTF">2025-10-20T18:26:16Z</dcterms:modified>
</cp:coreProperties>
</file>